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DCA Main Page" sheetId="1" state="visible" r:id="rId3"/>
    <sheet name="SC4 Data" sheetId="2" state="visible" r:id="rId4"/>
    <sheet name="SC3 Data" sheetId="3" state="visible" r:id="rId5"/>
    <sheet name="Current State" sheetId="4" state="visible" r:id="rId6"/>
    <sheet name="Pareto Analysis" sheetId="5" state="visible" r:id="rId7"/>
    <sheet name="Regional actions" sheetId="6" state="visible" r:id="rId8"/>
    <sheet name="Targets" sheetId="7" state="visible" r:id="rId9"/>
    <sheet name="ETA accuracy Port" sheetId="8" state="visible" r:id="rId10"/>
    <sheet name="POD estimate Accuracy" sheetId="9" state="visible" r:id="rId11"/>
    <sheet name="Evidence - Reference" sheetId="10" state="visible" r:id="rId12"/>
    <sheet name="Evidence - Sync &amp; Plausibility" sheetId="11" state="visible" r:id="rId13"/>
    <sheet name="SC4 Trend" sheetId="12" state="visible" r:id="rId14"/>
    <sheet name="SC3 Trend" sheetId="13" state="visible" r:id="rId15"/>
    <sheet name="SC3 vs SC4" sheetId="14" state="visible" r:id="rId16"/>
  </sheets>
  <definedNames>
    <definedName function="false" hidden="false" localSheetId="0" name="_xlnm.Print_Area" vbProcedure="false">'PDCA Main Page'!$A$1:$V$17</definedName>
    <definedName function="false" hidden="true" localSheetId="2" name="_xlnm._FilterDatabase" vbProcedure="false">'SC3 Data'!$A$4:$AF$24</definedName>
    <definedName function="false" hidden="true" localSheetId="1" name="_xlnm._FilterDatabase" vbProcedure="false">'SC4 Data'!$A$4:$AF$25</definedName>
    <definedName function="false" hidden="false" name="A" vbProcedure="false">#REF!</definedName>
    <definedName function="false" hidden="false" name="Abteilung" vbProcedure="false">#REF!</definedName>
    <definedName function="false" hidden="false" name="BLATTA" vbProcedure="false">#REF!</definedName>
    <definedName function="false" hidden="false" name="Entity" vbProcedure="false">#REF!</definedName>
    <definedName function="false" hidden="false" name="Gesamtprojekt_Status" vbProcedure="false">#REF!</definedName>
    <definedName function="false" hidden="false" name="KZ_TTNR_2003" vbProcedure="false">#REF!</definedName>
    <definedName function="false" hidden="false" name="KZ_TTNR_2004" vbProcedure="false">#REF!</definedName>
    <definedName function="false" hidden="false" name="laufendes_jahr" vbProcedure="false">#REF!</definedName>
    <definedName function="false" hidden="false" name="Mon" vbProcedure="false">#REF!</definedName>
    <definedName function="false" hidden="false" name="M_1" vbProcedure="false">#REF!</definedName>
    <definedName function="false" hidden="false" name="M_2" vbProcedure="false">#REF!</definedName>
    <definedName function="false" hidden="false" name="M_2a" vbProcedure="false">#REF!</definedName>
    <definedName function="false" hidden="false" name="M_2b" vbProcedure="false">#REF!</definedName>
    <definedName function="false" hidden="false" name="M_2c" vbProcedure="false">#REF!</definedName>
    <definedName function="false" hidden="false" name="M_2d" vbProcedure="false">#REF!</definedName>
    <definedName function="false" hidden="false" name="M_3" vbProcedure="false">#REF!</definedName>
    <definedName function="false" hidden="false" name="PB" vbProcedure="false">#REF!</definedName>
    <definedName function="false" hidden="false" name="Period" vbProcedure="false">#REF!</definedName>
    <definedName function="false" hidden="false" name="Pfad" vbProcedure="false">#REF!</definedName>
    <definedName function="false" hidden="false" name="PIVOT" vbProcedure="false">#REF!</definedName>
    <definedName function="false" hidden="false" name="Produktbereich" vbProcedure="false">#REF!</definedName>
    <definedName function="false" hidden="false" name="Projekt" vbProcedure="false">#REF!</definedName>
    <definedName function="false" hidden="false" name="qq" vbProcedure="false">#REF!</definedName>
    <definedName function="false" hidden="false" name="Rechtseinheit" vbProcedure="false">#REF!</definedName>
    <definedName function="false" hidden="true" name="SAPBEXdnldView" vbProcedure="false">"43LW7EU5QZKLQPLJR0JY233HQ"</definedName>
    <definedName function="false" hidden="true" name="SAPBEXrevision" vbProcedure="false">3</definedName>
    <definedName function="false" hidden="true" name="SAPBEXsysID" vbProcedure="false">"PBJ"</definedName>
    <definedName function="false" hidden="true" name="SAPBEXwbID" vbProcedure="false">"3YISBM3Y9HSPQJIGQOUTFG7R2"</definedName>
    <definedName function="false" hidden="false" name="_Mon2" vbProcedure="false">#REF!</definedName>
    <definedName function="false" hidden="false" name="_Mon3" vbProcedure="false">#REF!</definedName>
    <definedName function="false" hidden="false" name="_Mon4" vbProcedure="false">#REF!</definedName>
    <definedName function="false" hidden="false" name="___mds_view_data___" vbProcedure="false">#REF!</definedName>
    <definedName function="false" hidden="false" localSheetId="5" name="x_x__MailAutoSig" vbProcedure="false">'Regional actions'!$F$4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Alberto La Mantia</author>
    <author>Dudek Jaroslaw (GS/PSD32)</author>
    <author>Grund Martin (CP/TSC-EU)</author>
    <author>Tuerksen Utku (CP/PUQ3)</author>
  </authors>
  <commentList>
    <comment ref="C17" authorId="3">
      <text>
        <r>
          <rPr>
            <sz val="10"/>
            <rFont val="Arial"/>
            <family val="2"/>
          </rPr>
          <t xml:space="preserve">- low (minor business impact, e. g.: loss of BI tool)
- medium (medium business impact, e. g.: loss of engineering software, loss of Skype)
- high (major business impact, e. g.: loss of ERP system)
- unknown</t>
        </r>
      </text>
    </comment>
    <comment ref="D106" authorId="1">
      <text>
        <r>
          <rPr>
            <sz val="10"/>
            <rFont val="Arial"/>
            <family val="2"/>
          </rPr>
          <t xml:space="preserve">Dudek Jaroslaw (GS/PSD32):
MRC Managerial Root Caus
TRC Technical Root Cause
Bug-Fix
Others</t>
        </r>
      </text>
    </comment>
    <comment ref="G7" authorId="0">
      <text>
        <r>
          <rPr>
            <sz val="10"/>
            <rFont val="Arial"/>
            <family val="2"/>
          </rPr>
          <t xml:space="preserve">Alberto La Mantia:
Update the stats</t>
        </r>
      </text>
    </comment>
    <comment ref="H7" authorId="0">
      <text>
        <r>
          <rPr>
            <sz val="10"/>
            <rFont val="Arial"/>
            <family val="2"/>
          </rPr>
          <t xml:space="preserve">Alberto La Mantia:
split the columns from months to 2 weeks</t>
        </r>
      </text>
    </comment>
    <comment ref="S106" authorId="2">
      <text>
        <r>
          <rPr>
            <sz val="10"/>
            <rFont val="Arial"/>
            <family val="2"/>
          </rPr>
          <t xml:space="preserve">Estimated impact of measure on overall performance. 
</t>
        </r>
      </text>
    </comment>
  </commentList>
</comments>
</file>

<file path=xl/sharedStrings.xml><?xml version="1.0" encoding="utf-8"?>
<sst xmlns="http://schemas.openxmlformats.org/spreadsheetml/2006/main" count="1341" uniqueCount="533">
  <si>
    <t xml:space="preserve">PDCA Chart
05.02.2026</t>
  </si>
  <si>
    <t xml:space="preserve">Problem</t>
  </si>
  <si>
    <t xml:space="preserve">Missing milestones &amp; timeliness</t>
  </si>
  <si>
    <t xml:space="preserve">Scope</t>
  </si>
  <si>
    <t xml:space="preserve">SF</t>
  </si>
  <si>
    <t xml:space="preserve">Lane</t>
  </si>
  <si>
    <t xml:space="preserve">Nov '25</t>
  </si>
  <si>
    <t xml:space="preserve">Dec '25</t>
  </si>
  <si>
    <t xml:space="preserve">Jan '26</t>
  </si>
  <si>
    <t xml:space="preserve">Feb '26 F</t>
  </si>
  <si>
    <t xml:space="preserve">Mar '26 F</t>
  </si>
  <si>
    <t xml:space="preserve">Apr '26 F</t>
  </si>
  <si>
    <t xml:space="preserve">May '26 F</t>
  </si>
  <si>
    <t xml:space="preserve">Jun '26 F</t>
  </si>
  <si>
    <t xml:space="preserve">Jul '26 F</t>
  </si>
  <si>
    <t xml:space="preserve">Aug '26 F</t>
  </si>
  <si>
    <t xml:space="preserve">Sep '26 F</t>
  </si>
  <si>
    <t xml:space="preserve">Oct '26 F</t>
  </si>
  <si>
    <t xml:space="preserve">YTD</t>
  </si>
  <si>
    <t xml:space="preserve">Responsible</t>
  </si>
  <si>
    <t xml:space="preserve">Completeness (Critical)</t>
  </si>
  <si>
    <t xml:space="preserve">Timeliness (Critical)</t>
  </si>
  <si>
    <t xml:space="preserve">Maersk MOF execution</t>
  </si>
  <si>
    <t xml:space="preserve">Completeness (All)</t>
  </si>
  <si>
    <t xml:space="preserve">N/A</t>
  </si>
  <si>
    <t xml:space="preserve">Timeliness (All)</t>
  </si>
  <si>
    <t xml:space="preserve">ETA accuracy 2P</t>
  </si>
  <si>
    <t xml:space="preserve">ETA Accuracy 2D</t>
  </si>
  <si>
    <t xml:space="preserve">SC Reference Completeness (CIV or DN)</t>
  </si>
  <si>
    <t xml:space="preserve">Target</t>
  </si>
  <si>
    <t xml:space="preserve">Timeliness Target (Apr)</t>
  </si>
  <si>
    <t xml:space="preserve">Nr</t>
  </si>
  <si>
    <t xml:space="preserve">Main Problems</t>
  </si>
  <si>
    <t xml:space="preserve">Product
Impact</t>
  </si>
  <si>
    <t xml:space="preserve">Category</t>
  </si>
  <si>
    <t xml:space="preserve">W01</t>
  </si>
  <si>
    <t xml:space="preserve">W02</t>
  </si>
  <si>
    <t xml:space="preserve">W03</t>
  </si>
  <si>
    <t xml:space="preserve">W04</t>
  </si>
  <si>
    <t xml:space="preserve">W05</t>
  </si>
  <si>
    <t xml:space="preserve">W06</t>
  </si>
  <si>
    <t xml:space="preserve">W07</t>
  </si>
  <si>
    <t xml:space="preserve">W08</t>
  </si>
  <si>
    <t xml:space="preserve">W09</t>
  </si>
  <si>
    <t xml:space="preserve">W10</t>
  </si>
  <si>
    <t xml:space="preserve">W11</t>
  </si>
  <si>
    <t xml:space="preserve">W12</t>
  </si>
  <si>
    <t xml:space="preserve">SC4 – S00 - Shipment created (Actual)</t>
  </si>
  <si>
    <t xml:space="preserve">high</t>
  </si>
  <si>
    <t xml:space="preserve">SC4 – S02 - Collected (Estimated)</t>
  </si>
  <si>
    <t xml:space="preserve">SC4 – S02 - Collected (Actual)</t>
  </si>
  <si>
    <t xml:space="preserve">SC4 – S46 - Documents rcvd from shipper (Actual)</t>
  </si>
  <si>
    <t xml:space="preserve">medium</t>
  </si>
  <si>
    <t xml:space="preserve">SC4 – S10 - On hand at origin SVC (Actual)</t>
  </si>
  <si>
    <t xml:space="preserve">SC4 – S11 - On hand at origin Hub/CC (Actual)</t>
  </si>
  <si>
    <t xml:space="preserve">SC4 – S16 - Shipment booked with carrier (Actual)</t>
  </si>
  <si>
    <t xml:space="preserve">SC4 – S17 - Tendered carrier (Actual)</t>
  </si>
  <si>
    <t xml:space="preserve">SC4 – S50 - Received origin CFS (Actual)</t>
  </si>
  <si>
    <t xml:space="preserve">SC4 – S04 - Vessel/flight departed (Estimated)</t>
  </si>
  <si>
    <t xml:space="preserve">SC4 – S04 - Vessel/flight departed (Actual)</t>
  </si>
  <si>
    <t xml:space="preserve">SC4 – S07 - Vessel/flight arrived (Estimated)</t>
  </si>
  <si>
    <t xml:space="preserve">SC4 – S07 - Vessel/flight arrived (Actual)</t>
  </si>
  <si>
    <t xml:space="preserve">SC4 – S51 - Arrived destination CFS (Actual)</t>
  </si>
  <si>
    <t xml:space="preserve">SC4 – S18 - Recovered from carrier (Actual)</t>
  </si>
  <si>
    <t xml:space="preserve">SC4 – S12 - On hand at destination Hub/CC (Actual)</t>
  </si>
  <si>
    <t xml:space="preserve">SC4 – S13 - On hand at destination SVC (Actual)</t>
  </si>
  <si>
    <t xml:space="preserve">SC4 – S45 - Handover to broker (Actual)</t>
  </si>
  <si>
    <t xml:space="preserve">SC4 – S05 - In delivery (Actual)</t>
  </si>
  <si>
    <t xml:space="preserve">SC4 – S31 - Delivered (Estimated)</t>
  </si>
  <si>
    <t xml:space="preserve">SC4 – S31 - Delivered (Actual)</t>
  </si>
  <si>
    <t xml:space="preserve">SC3 – S60 - Pre-Booking confirmed (Actual)</t>
  </si>
  <si>
    <t xml:space="preserve">SC3 – S52 - Empty Container picked up (Actual)</t>
  </si>
  <si>
    <t xml:space="preserve">SC3 – S02 - Collected (Actual)</t>
  </si>
  <si>
    <t xml:space="preserve">SC3 – S02 - Collected (Estimated)</t>
  </si>
  <si>
    <t xml:space="preserve">SC3 – S10 - On hand at origin SVC (Actual)</t>
  </si>
  <si>
    <t xml:space="preserve">SC3 – S50 - Received origin CFS (Actual)</t>
  </si>
  <si>
    <t xml:space="preserve">SC3 – S53 - Full Container loaded on vessel (Actual)</t>
  </si>
  <si>
    <t xml:space="preserve">SC3 – S04 - Vessel/flight departed (Actual)</t>
  </si>
  <si>
    <t xml:space="preserve">SC3 – S04 - Vessel/flight departed (Estimated)</t>
  </si>
  <si>
    <t xml:space="preserve">SC3 – S07 - Vessel/flight arrived (Actual)</t>
  </si>
  <si>
    <t xml:space="preserve">SC3 – S07 - Vessel/flight arrived (Estimated)</t>
  </si>
  <si>
    <t xml:space="preserve">SC3 – S54 - Full Container discharge (Actual)</t>
  </si>
  <si>
    <t xml:space="preserve">SC3 – S51 - Arrived destination CFS (Actual)</t>
  </si>
  <si>
    <t xml:space="preserve">SC3 – S13 - On hand at destination SVC (Actual)</t>
  </si>
  <si>
    <t xml:space="preserve">SC3 – S45 - Handover to broker (Actual)</t>
  </si>
  <si>
    <t xml:space="preserve">SC3 – S45 - Handover to broker (Estimated)</t>
  </si>
  <si>
    <t xml:space="preserve">SC3 – S05 - In delivery (Actual)</t>
  </si>
  <si>
    <t xml:space="preserve">SC3 – S31 - Delivered (Actual)</t>
  </si>
  <si>
    <t xml:space="preserve">SC3 – S31 - Delivered (Estimated)</t>
  </si>
  <si>
    <t xml:space="preserve">SC3 – S55 - Empty Container returned (Actual)</t>
  </si>
  <si>
    <t xml:space="preserve">For "to Port" Shipments, milestone estimates are not received 7 days before of the actual Milestone event</t>
  </si>
  <si>
    <t xml:space="preserve">For "to Door" Shipments, milestone estimates are not received 7 days before of the actual Milestone event</t>
  </si>
  <si>
    <t xml:space="preserve">ETA accuracy 2D</t>
  </si>
  <si>
    <t xml:space="preserve">Milestones received by Bosch do not contain the CIV or DN reference</t>
  </si>
  <si>
    <t xml:space="preserve">Reference Completeness (SC4)</t>
  </si>
  <si>
    <t xml:space="preserve">Milestone containing CIV or DN reference do not have the correct data</t>
  </si>
  <si>
    <t xml:space="preserve">Reference Quality (SC4)</t>
  </si>
  <si>
    <t xml:space="preserve">Milestones sent to Bosch do not follow a plausible date order</t>
  </si>
  <si>
    <t xml:space="preserve">Plausability</t>
  </si>
  <si>
    <t xml:space="preserve">Nr.</t>
  </si>
  <si>
    <t xml:space="preserve">Measures</t>
  </si>
  <si>
    <t xml:space="preserve">Link to main problems</t>
  </si>
  <si>
    <t xml:space="preserve">Impact
(%)</t>
  </si>
  <si>
    <t xml:space="preserve">Status</t>
  </si>
  <si>
    <t xml:space="preserve">Action</t>
  </si>
  <si>
    <t xml:space="preserve">Review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</si>
  <si>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</si>
  <si>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</si>
  <si>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</si>
  <si>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</si>
  <si>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</si>
  <si>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</si>
  <si>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</si>
  <si>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</si>
  <si>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</si>
  <si>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</si>
  <si>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TS to review and address the data fields completition across Maersk systems (CW1, ALP, Seeburger) causing failures in the EDI delivery of critical milestones to Bosch system</t>
  </si>
  <si>
    <t xml:space="preserve">1,8</t>
  </si>
  <si>
    <t xml:space="preserve">Completeness</t>
  </si>
  <si>
    <t xml:space="preserve">Maersk ( Akhil)</t>
  </si>
  <si>
    <t xml:space="preserve">r</t>
  </si>
  <si>
    <t xml:space="preserve">s</t>
  </si>
  <si>
    <t xml:space="preserve">8-12%</t>
  </si>
  <si>
    <t xml:space="preserve">P</t>
  </si>
  <si>
    <t xml:space="preserve">Immediate</t>
  </si>
  <si>
    <t xml:space="preserve">2,9</t>
  </si>
  <si>
    <t xml:space="preserve">Timeliness</t>
  </si>
  <si>
    <t xml:space="preserve">10-15%</t>
  </si>
  <si>
    <t xml:space="preserve">Optmise automation flow of ETD / ETA Milestones in operation system (CW1)</t>
  </si>
  <si>
    <t xml:space="preserve">Maersk (Timmy)</t>
  </si>
  <si>
    <t xml:space="preserve">85-90%</t>
  </si>
  <si>
    <t xml:space="preserve">Ramp up SC3 Volume from 40% to 80%</t>
  </si>
  <si>
    <t xml:space="preserve">Bosch</t>
  </si>
  <si>
    <t xml:space="preserve">4-8%</t>
  </si>
  <si>
    <t xml:space="preserve">10-14%</t>
  </si>
  <si>
    <t xml:space="preserve">Reference Quality</t>
  </si>
  <si>
    <t xml:space="preserve">10-12%</t>
  </si>
  <si>
    <t xml:space="preserve">Optimise automation flow of ETD / ETA Milestones in operation system (CW1)</t>
  </si>
  <si>
    <t xml:space="preserve">Implement Mandatory Field Validation in CW1 , causing EDI faliure</t>
  </si>
  <si>
    <t xml:space="preserve">5-8%</t>
  </si>
  <si>
    <t xml:space="preserve">Review Feasibility of Compliance AI Tool Matching Invoice &amp; Delivery Note Numbers</t>
  </si>
  <si>
    <t xml:space="preserve">Maersk (Harsh)</t>
  </si>
  <si>
    <t xml:space="preserve">5-7%</t>
  </si>
  <si>
    <t xml:space="preserve">Review the legacy system shipments flow for the branch in Japan</t>
  </si>
  <si>
    <t xml:space="preserve">Maersk ( Josh)</t>
  </si>
  <si>
    <t xml:space="preserve">2-4%</t>
  </si>
  <si>
    <t xml:space="preserve">Review the legacy system shipments flow for the branch in Japan </t>
  </si>
  <si>
    <t xml:space="preserve">Add Plausibility Measures into the Control Tower Dashboard</t>
  </si>
  <si>
    <t xml:space="preserve">MAersk ( Jacob)</t>
  </si>
  <si>
    <t xml:space="preserve">Implement date sequence field validation in CW1 for Milestone</t>
  </si>
  <si>
    <t xml:space="preserve">Retrigger missing Milestones for delivered Shipments</t>
  </si>
  <si>
    <t xml:space="preserve">Maersk ( Alberto)</t>
  </si>
  <si>
    <t xml:space="preserve">Dedicated Ops owner is 3 most afftected Regions (GCA + NEC + CSE) to focus on completness of Manual milestones S02, S31, S00</t>
  </si>
  <si>
    <t xml:space="preserve">Maersk (Ops)</t>
  </si>
  <si>
    <t xml:space="preserve">Dedicated Ops owner is 3 most afftected Regions (GCA + NEC + CSE) to focus on Timeliness of Manual milestones S02, S31, S00</t>
  </si>
  <si>
    <t xml:space="preserve">4-6%</t>
  </si>
  <si>
    <t xml:space="preserve">Status:</t>
  </si>
  <si>
    <t xml:space="preserve">Measure:</t>
  </si>
  <si>
    <t xml:space="preserve">P        C Activity finished</t>
  </si>
  <si>
    <t xml:space="preserve">P = Responsibility and due date defined</t>
  </si>
  <si>
    <t xml:space="preserve">D</t>
  </si>
  <si>
    <t xml:space="preserve"> D = Activity finished</t>
  </si>
  <si>
    <t xml:space="preserve">r = Planned beginning</t>
  </si>
  <si>
    <t xml:space="preserve">s = Planned end</t>
  </si>
  <si>
    <t xml:space="preserve">C</t>
  </si>
  <si>
    <t xml:space="preserve">C = Intermediate result achieved</t>
  </si>
  <si>
    <t xml:space="preserve">A</t>
  </si>
  <si>
    <t xml:space="preserve">A = Effectiveness proven</t>
  </si>
  <si>
    <t xml:space="preserve">p</t>
  </si>
  <si>
    <t xml:space="preserve">p = Actual beginning</t>
  </si>
  <si>
    <t xml:space="preserve">q</t>
  </si>
  <si>
    <t xml:space="preserve">q = Actual end</t>
  </si>
  <si>
    <t xml:space="preserve">Timeline</t>
  </si>
  <si>
    <t xml:space="preserve">measurements &amp; solution</t>
  </si>
  <si>
    <t xml:space="preserve">What is it for them</t>
  </si>
  <si>
    <t xml:space="preserve">SC4 - Weekly Milestone Data</t>
  </si>
  <si>
    <t xml:space="preserve">Critical Milestones: S00, S02, S04, S07, S31, S45</t>
  </si>
  <si>
    <t xml:space="preserve">Week 1</t>
  </si>
  <si>
    <t xml:space="preserve">Week 2</t>
  </si>
  <si>
    <t xml:space="preserve">Week 3</t>
  </si>
  <si>
    <t xml:space="preserve">Week 4</t>
  </si>
  <si>
    <t xml:space="preserve">Week 5</t>
  </si>
  <si>
    <t xml:space="preserve">Week 6</t>
  </si>
  <si>
    <t xml:space="preserve">Milestone</t>
  </si>
  <si>
    <t xml:space="preserve">Type</t>
  </si>
  <si>
    <t xml:space="preserve">Required</t>
  </si>
  <si>
    <t xml:space="preserve">Available</t>
  </si>
  <si>
    <t xml:space="preserve">In Time</t>
  </si>
  <si>
    <t xml:space="preserve">S00 - Shipment created</t>
  </si>
  <si>
    <t xml:space="preserve">Actual</t>
  </si>
  <si>
    <t xml:space="preserve">S02 - Collected</t>
  </si>
  <si>
    <t xml:space="preserve">Estimated</t>
  </si>
  <si>
    <t xml:space="preserve">S46 - Documents rcvd from shipper</t>
  </si>
  <si>
    <t xml:space="preserve">S10 - On hand at origin SVC</t>
  </si>
  <si>
    <t xml:space="preserve">S11 - On hand at origin Hub/ CC</t>
  </si>
  <si>
    <t xml:space="preserve">S16 - Shipment booked with carrier</t>
  </si>
  <si>
    <t xml:space="preserve">S17 - Tendered carrier</t>
  </si>
  <si>
    <t xml:space="preserve">S50 - Received origin CFS</t>
  </si>
  <si>
    <t xml:space="preserve">S04 - Vessel/ flight departed</t>
  </si>
  <si>
    <t xml:space="preserve">S07 - Vessel/ flight arrived</t>
  </si>
  <si>
    <t xml:space="preserve">S51 - Arrived destination CFS</t>
  </si>
  <si>
    <t xml:space="preserve">S18 - Recovered from carrier</t>
  </si>
  <si>
    <t xml:space="preserve">S12 - On hand at destination Hub/ CC</t>
  </si>
  <si>
    <t xml:space="preserve">S13 - On hand at destination SVC</t>
  </si>
  <si>
    <t xml:space="preserve">S45 - Handover to broker</t>
  </si>
  <si>
    <t xml:space="preserve">S05 - In delivery</t>
  </si>
  <si>
    <t xml:space="preserve">S31 - Delivered</t>
  </si>
  <si>
    <t xml:space="preserve">SC3 - Weekly Milestone Data</t>
  </si>
  <si>
    <t xml:space="preserve">Critical Milestones: S02, S04, S07, S31, S45</t>
  </si>
  <si>
    <t xml:space="preserve">S60 - Pre-Booking confirmed</t>
  </si>
  <si>
    <t xml:space="preserve">S52 - Empty Container picked up</t>
  </si>
  <si>
    <t xml:space="preserve">S53 - Full Container loaded on vessel</t>
  </si>
  <si>
    <t xml:space="preserve">S54 - Full Container discharge from vessel</t>
  </si>
  <si>
    <t xml:space="preserve">S55 - Empty Container returned</t>
  </si>
  <si>
    <t xml:space="preserve">MAERSK Milestone Performance - Current State Analysis</t>
  </si>
  <si>
    <t xml:space="preserve">Overall Performance Summary</t>
  </si>
  <si>
    <t xml:space="preserve">Metric</t>
  </si>
  <si>
    <t xml:space="preserve">Current</t>
  </si>
  <si>
    <t xml:space="preserve">Gap</t>
  </si>
  <si>
    <t xml:space="preserve">Total Status Codes Required</t>
  </si>
  <si>
    <t xml:space="preserve">Overall Completion Rate</t>
  </si>
  <si>
    <t xml:space="preserve">Overall Timeliness Rate</t>
  </si>
  <si>
    <t xml:space="preserve">Milestone Performance Details</t>
  </si>
  <si>
    <t xml:space="preserve">Completion %</t>
  </si>
  <si>
    <t xml:space="preserve">Timeliness %</t>
  </si>
  <si>
    <t xml:space="preserve">Completion Gap</t>
  </si>
  <si>
    <t xml:space="preserve">Timeliness Gap</t>
  </si>
  <si>
    <t xml:space="preserve">Total Impact</t>
  </si>
  <si>
    <t xml:space="preserve">Cumulative %</t>
  </si>
  <si>
    <t xml:space="preserve">S61 - Pre-Booking declined</t>
  </si>
  <si>
    <t xml:space="preserve">Pareto Analysis - 80/20 Impact</t>
  </si>
  <si>
    <t xml:space="preserve">Key Insight: Top 11 milestones (48% of total) contribute 80% of the performance impact</t>
  </si>
  <si>
    <t xml:space="preserve">Rank</t>
  </si>
  <si>
    <t xml:space="preserve">Cumulative Impact</t>
  </si>
  <si>
    <t xml:space="preserve">Critical</t>
  </si>
  <si>
    <t xml:space="preserve">Container Level</t>
  </si>
  <si>
    <t xml:space="preserve">Region</t>
  </si>
  <si>
    <t xml:space="preserve">Action Item</t>
  </si>
  <si>
    <t xml:space="preserve">Metrics</t>
  </si>
  <si>
    <t xml:space="preserve">Priority</t>
  </si>
  <si>
    <t xml:space="preserve">Owner</t>
  </si>
  <si>
    <t xml:space="preserve">Name</t>
  </si>
  <si>
    <t xml:space="preserve">ETA</t>
  </si>
  <si>
    <t xml:space="preserve">EUR</t>
  </si>
  <si>
    <t xml:space="preserve">Check and confirm resourcing and FTE capacity to reach target by end April for the 3 areas: NEC, EME and CSE</t>
  </si>
  <si>
    <t xml:space="preserve">Missing Milestones</t>
  </si>
  <si>
    <t xml:space="preserve">P0</t>
  </si>
  <si>
    <t xml:space="preserve">Area and Region LCL Ops leader</t>
  </si>
  <si>
    <t xml:space="preserve">Christine Kühl</t>
  </si>
  <si>
    <t xml:space="preserve">Completed, all areas confirmed capacity needs and approvals needed.</t>
  </si>
  <si>
    <t xml:space="preserve">APA</t>
  </si>
  <si>
    <t xml:space="preserve">Check and confirm resourcing and FTE capacity to reach target by end April for the 3 areas: GCA, SEA, MEK</t>
  </si>
  <si>
    <t xml:space="preserve">Jos Raaymakers</t>
  </si>
  <si>
    <t xml:space="preserve">SEA confirmed capacity.  GCA to confirm back by 06-Feb.</t>
  </si>
  <si>
    <t xml:space="preserve">Improve reporting quality of milestone completeness (with filters) to enable operations to be proactive.</t>
  </si>
  <si>
    <t xml:space="preserve">Central reporting team</t>
  </si>
  <si>
    <t xml:space="preserve">Daily reporting to be enhanced for ops to be more proactive. Call on Monday to be followed by report refining.</t>
  </si>
  <si>
    <t xml:space="preserve">GCA</t>
  </si>
  <si>
    <t xml:space="preserve">Conduct root cause analysis for 1195 missing milestones</t>
  </si>
  <si>
    <t xml:space="preserve">Regional Ops Lead</t>
  </si>
  <si>
    <t xml:space="preserve">In Progress</t>
  </si>
  <si>
    <t xml:space="preserve">Implement mandatory field validation at booking for 1446 milestones</t>
  </si>
  <si>
    <t xml:space="preserve">Missing Mandatory</t>
  </si>
  <si>
    <t xml:space="preserve">Not Started</t>
  </si>
  <si>
    <t xml:space="preserve">CSE</t>
  </si>
  <si>
    <t xml:space="preserve">Reverse declining trend (661→701) milestones missing - Stop the bleeding</t>
  </si>
  <si>
    <t xml:space="preserve">Fix 1521 missing mandatory information fields</t>
  </si>
  <si>
    <t xml:space="preserve">NEC</t>
  </si>
  <si>
    <t xml:space="preserve">Continue improvement trend (892→753) - Accelerate</t>
  </si>
  <si>
    <t xml:space="preserve">Address 2676 mandatory info gaps (highest volume)</t>
  </si>
  <si>
    <t xml:space="preserve">Data Quality Team</t>
  </si>
  <si>
    <t xml:space="preserve">EME</t>
  </si>
  <si>
    <t xml:space="preserve">Sustain improvement</t>
  </si>
  <si>
    <t xml:space="preserve">P1</t>
  </si>
  <si>
    <t xml:space="preserve">Focus on Mandatory Fields missing (198)</t>
  </si>
  <si>
    <t xml:space="preserve">SEA</t>
  </si>
  <si>
    <t xml:space="preserve">Reduce 275 missing milestones through standardization</t>
  </si>
  <si>
    <t xml:space="preserve">Focus on Mandatory Fields (303)</t>
  </si>
  <si>
    <t xml:space="preserve">MEK</t>
  </si>
  <si>
    <t xml:space="preserve">Maintain strong performance (121 missing) - Monitor</t>
  </si>
  <si>
    <t xml:space="preserve">P2</t>
  </si>
  <si>
    <t xml:space="preserve">NEA</t>
  </si>
  <si>
    <t xml:space="preserve">Slight improvement opportunity (151→&lt;100)</t>
  </si>
  <si>
    <t xml:space="preserve">Metrics name</t>
  </si>
  <si>
    <t xml:space="preserve">2025.11 </t>
  </si>
  <si>
    <t xml:space="preserve">2025.12</t>
  </si>
  <si>
    <t xml:space="preserve">2026.04 Target</t>
  </si>
  <si>
    <t xml:space="preserve">Week 1-3</t>
  </si>
  <si>
    <t xml:space="preserve">(Maersk proposal)</t>
  </si>
  <si>
    <t xml:space="preserve">(Bosch proposal)</t>
  </si>
  <si>
    <t xml:space="preserve">Comments</t>
  </si>
  <si>
    <t xml:space="preserve">Milestone Completeness ( S02,S04,S07,S31) </t>
  </si>
  <si>
    <t xml:space="preserve">✅ ACHIEVABLE : 
- Fix top 3 Missing fields in CW1 (Process/Tech)
- Path toward 80% SC3 booking (Bosch)
- Sustainable fix by stricter validation in Workflows (Process/Tech)</t>
  </si>
  <si>
    <t xml:space="preserve">Milestone Timeliness ( S02,S04,S07,S31) </t>
  </si>
  <si>
    <t xml:space="preserve">??</t>
  </si>
  <si>
    <t xml:space="preserve">⚠️ STRETCH and EDI DEPENDENT: 
-  85% ONLY achievable at 80% SC3 (Bosch)
- With Dedicated Control tower and proactive update we can hit Close to 60% (Operations)</t>
  </si>
  <si>
    <t xml:space="preserve">Milestone Completeness ( All) </t>
  </si>
  <si>
    <t xml:space="preserve">Not Measured</t>
  </si>
  <si>
    <t xml:space="preserve">✅ ACHIEVABLE
-  Fix top 3 Missing fields in CW1 yields 18,6 % increase
- Can be achieved with due diligance from CT on proactively updating missing fields (Operations)</t>
  </si>
  <si>
    <t xml:space="preserve">Milestone Timeliness (All) </t>
  </si>
  <si>
    <t xml:space="preserve">⚠️ EDI DEPENDENT 
- The timeliness metrics can't be met with current EDI ratio, SC3 booking needs to be at ~75% to hit 80 % timeliness or ~80% to achieve 85% timeliness</t>
  </si>
  <si>
    <t xml:space="preserve">SC4 Refrence Completeness</t>
  </si>
  <si>
    <t xml:space="preserve">-DN OR CIV Number at 91 % for Field present. But filtering out for Junk value it stands at 80 %; 
- Conversion of SC4 --&gt; SC3 will drastically improve accuracy
Data to be verifiied on wrong refrence by end of next week - Shared by Bosch on Wednesday EOD</t>
  </si>
  <si>
    <t xml:space="preserve">ETA accuracy/reliability 2P shipments</t>
  </si>
  <si>
    <t xml:space="preserve">Data to be analyzed by next week </t>
  </si>
  <si>
    <t xml:space="preserve">ETA accuracy/reliability 2D shipments</t>
  </si>
  <si>
    <t xml:space="preserve">Port Shipment ETA Accuracy — January 2026 ARR</t>
  </si>
  <si>
    <t xml:space="preserve">1235 Housebills with ARR in January 2026 | Dual-view: ≥7 Day Lead Time vs Any Lead Time</t>
  </si>
  <si>
    <t xml:space="preserve">VIEW 1: ETA Published ≥7 Days Before ARR</t>
  </si>
  <si>
    <t xml:space="preserve">VIEW 2: Latest ETA (Any Lead Time)</t>
  </si>
  <si>
    <t xml:space="preserve">Total Jan HBs</t>
  </si>
  <si>
    <t xml:space="preserve">With ≥7d ETA</t>
  </si>
  <si>
    <t xml:space="preserve">ETA &lt;7d only</t>
  </si>
  <si>
    <t xml:space="preserve">No ETA</t>
  </si>
  <si>
    <t xml:space="preserve">With ETA</t>
  </si>
  <si>
    <t xml:space="preserve">Missing ETA</t>
  </si>
  <si>
    <t xml:space="preserve">Median Dev</t>
  </si>
  <si>
    <t xml:space="preserve">1.2h</t>
  </si>
  <si>
    <t xml:space="preserve">Of the 65 with ≥7d ETA:</t>
  </si>
  <si>
    <t xml:space="preserve">Of the 1175 with any ETA:</t>
  </si>
  <si>
    <t xml:space="preserve">Within ±48h</t>
  </si>
  <si>
    <t xml:space="preserve">29.2%</t>
  </si>
  <si>
    <t xml:space="preserve">92.9%</t>
  </si>
  <si>
    <t xml:space="preserve">Late (ARR after ETA)</t>
  </si>
  <si>
    <t xml:space="preserve">60.0%</t>
  </si>
  <si>
    <t xml:space="preserve">6.6%</t>
  </si>
  <si>
    <t xml:space="preserve">Early (ARR before ETA)</t>
  </si>
  <si>
    <t xml:space="preserve">10.8%</t>
  </si>
  <si>
    <t xml:space="preserve">0.6%</t>
  </si>
  <si>
    <t xml:space="preserve">≥7d Accuracy (of matched): 19/65 = 29.2%</t>
  </si>
  <si>
    <t xml:space="preserve">Any-lead Accuracy (of matched): 1091/1175 = 92.9%</t>
  </si>
  <si>
    <t xml:space="preserve">≥7d Accuracy (overall): 19/1235 = 1.5%</t>
  </si>
  <si>
    <t xml:space="preserve">Any-lead Accuracy (overall): 1091/1235 = 88.3%</t>
  </si>
  <si>
    <t xml:space="preserve">Median deviation: 50.2h | Mean: 75.8h</t>
  </si>
  <si>
    <t xml:space="preserve">Count</t>
  </si>
  <si>
    <t xml:space="preserve">Late</t>
  </si>
  <si>
    <t xml:space="preserve">Early</t>
  </si>
  <si>
    <t xml:space="preserve">ETA &lt;7d (no qualifying)</t>
  </si>
  <si>
    <t xml:space="preserve">Door Shipment POD Accuracy — Dual View Analysis</t>
  </si>
  <si>
    <t xml:space="preserve">2642 Housebills with actual POD | POD_ estimate accuracy at ≥7 Day vs Any Lead Time</t>
  </si>
  <si>
    <t xml:space="preserve">VIEW 1: POD_ Published ≥7 Days Before POD</t>
  </si>
  <si>
    <t xml:space="preserve">VIEW 2: Latest POD_ (Any Lead Time)</t>
  </si>
  <si>
    <t xml:space="preserve">Total HBs</t>
  </si>
  <si>
    <t xml:space="preserve">With ≥7d POD_</t>
  </si>
  <si>
    <t xml:space="preserve">POD_ &lt;7d only</t>
  </si>
  <si>
    <t xml:space="preserve">No POD_</t>
  </si>
  <si>
    <t xml:space="preserve">With POD_</t>
  </si>
  <si>
    <t xml:space="preserve">Missing POD_</t>
  </si>
  <si>
    <t xml:space="preserve">1.7h</t>
  </si>
  <si>
    <t xml:space="preserve">Of the 2520 with ≥7d POD_:</t>
  </si>
  <si>
    <t xml:space="preserve">Of the 2570 with any POD_:</t>
  </si>
  <si>
    <t xml:space="preserve">33.3%</t>
  </si>
  <si>
    <t xml:space="preserve">59.1%</t>
  </si>
  <si>
    <t xml:space="preserve">64.2%</t>
  </si>
  <si>
    <t xml:space="preserve">39.0%</t>
  </si>
  <si>
    <t xml:space="preserve">2.5%</t>
  </si>
  <si>
    <t xml:space="preserve">1.8%</t>
  </si>
  <si>
    <t xml:space="preserve">≥7d Accuracy (of matched): 840/2520 = 33.3%</t>
  </si>
  <si>
    <t xml:space="preserve">Any-lead Accuracy (matched): 1520/2570 = 59.1%</t>
  </si>
  <si>
    <t xml:space="preserve">≥7d Accuracy (overall): 840/2642 = 31.8%</t>
  </si>
  <si>
    <t xml:space="preserve">Any-lead Accuracy (overall): 1520/2642 = 57.5%</t>
  </si>
  <si>
    <t xml:space="preserve">Median deviation: 209.3h | Mean: 848.8h</t>
  </si>
  <si>
    <t xml:space="preserve">Retroactive POD_ (published after POD): 701 HBs excluded</t>
  </si>
  <si>
    <t xml:space="preserve">POD_ &lt;7d</t>
  </si>
  <si>
    <t xml:space="preserve">REFERENCE COMPLETENESS — Evidence (Updated 16-Feb Meeting)</t>
  </si>
  <si>
    <t xml:space="preserve">16-FEB MEETING KEY DECISIONS:</t>
  </si>
  <si>
    <t xml:space="preserve">1. NO universal DN/CIV format exists — varies by supplier (Bosch internal = 10-digit SAP, externals vary)</t>
  </si>
  <si>
    <t xml:space="preserve">2. Per-supplier, document position IS consistent — basis for AI/OCR approach</t>
  </si>
  <si>
    <t xml:space="preserve">3. Bosch has already done annotation work for OCR — will share with Maersk</t>
  </si>
  <si>
    <t xml:space="preserve">4. Prior German shipment OCR attempt failed (readability &lt;1%) — handwritten, fax, German docs</t>
  </si>
  <si>
    <t xml:space="preserve">5. Chinese supplier docs are standard format — better OCR candidate</t>
  </si>
  <si>
    <t xml:space="preserve">6. Joint AI mini-project to kick off Thursday afternoon</t>
  </si>
  <si>
    <t xml:space="preserve">7. Even 50% automation is a good step forward (Bosch quote)</t>
  </si>
  <si>
    <t xml:space="preserve">8. Maersk to review operational playbook for correct data entry procedures</t>
  </si>
  <si>
    <t xml:space="preserve">9. EDI regex fix needed: IV/INV/iv/Inv variants must all transmit correctly</t>
  </si>
  <si>
    <t xml:space="preserve">Current State:</t>
  </si>
  <si>
    <t xml:space="preserve">SC4 Reference Completeness: ~65% (Jan W4) → Target 95%</t>
  </si>
  <si>
    <t xml:space="preserve">DN/CIV field present: 91%, after junk filter: ~80%</t>
  </si>
  <si>
    <t xml:space="preserve">Two issue types: (A) Refs in docs but not registered, (B) Registered but not in InTrack</t>
  </si>
  <si>
    <t xml:space="preserve">SC4→SC3 conversion will reduce this problem significantly</t>
  </si>
  <si>
    <t xml:space="preserve">EDI Regex Fix — Format Variants Found</t>
  </si>
  <si>
    <t xml:space="preserve">Current Input</t>
  </si>
  <si>
    <t xml:space="preserve">Should Match As</t>
  </si>
  <si>
    <t xml:space="preserve">EDI Transmitted?</t>
  </si>
  <si>
    <t xml:space="preserve">Fix</t>
  </si>
  <si>
    <t xml:space="preserve">IV:ABC123</t>
  </si>
  <si>
    <t xml:space="preserve">Commercial Invoice</t>
  </si>
  <si>
    <t xml:space="preserve">Yes</t>
  </si>
  <si>
    <t xml:space="preserve">OK</t>
  </si>
  <si>
    <t xml:space="preserve">INV:ABC123</t>
  </si>
  <si>
    <t xml:space="preserve">No — format mismatch</t>
  </si>
  <si>
    <t xml:space="preserve">Regex fix</t>
  </si>
  <si>
    <t xml:space="preserve">inv : ABC123</t>
  </si>
  <si>
    <t xml:space="preserve">No — lowercase + spaces</t>
  </si>
  <si>
    <t xml:space="preserve">I N V:ABC123</t>
  </si>
  <si>
    <t xml:space="preserve">No — spaces in prefix</t>
  </si>
  <si>
    <t xml:space="preserve">DN N/A</t>
  </si>
  <si>
    <t xml:space="preserve">Delivery Note</t>
  </si>
  <si>
    <t xml:space="preserve">Yes — but junk value</t>
  </si>
  <si>
    <t xml:space="preserve">Validation fix</t>
  </si>
  <si>
    <t xml:space="preserve">IV:</t>
  </si>
  <si>
    <t xml:space="preserve">Yes — but empty</t>
  </si>
  <si>
    <t xml:space="preserve">DN:</t>
  </si>
  <si>
    <t xml:space="preserve">SYNC, DTL &amp; PLAUSIBILITY — Deep Analysis (16-Feb)</t>
  </si>
  <si>
    <t xml:space="preserve">THREE-SOURCE SYNC: ROOT CAUSE (from 16-Feb meeting)</t>
  </si>
  <si>
    <t xml:space="preserve">CargoWise → Track &amp; Trace Excel: SAME data, full operational extract</t>
  </si>
  <si>
    <t xml:space="preserve">CargoWise → Maersk.com: Generic/public subset (standard offering only)</t>
  </si>
  <si>
    <t xml:space="preserve">CargoWise → Seeburger DTL → EDI to Bosch: Quality checks FILTER messages</t>
  </si>
  <si>
    <t xml:space="preserve">ROOT CAUSE: When DTL checks fail → message blocked → Bosch sees 'missing milestone'</t>
  </si>
  <si>
    <t xml:space="preserve">Error log exists internally but no structured feedback loop to operations</t>
  </si>
  <si>
    <t xml:space="preserve">PDCA REQUIRED: Document DTL checks, establish ops feedback loop, log monitoring</t>
  </si>
  <si>
    <t xml:space="preserve">SC3/SC4 DOUBLE BOOKING (NEW from meeting)</t>
  </si>
  <si>
    <t xml:space="preserve">~1/3 of shipments labeled SC4 were actually received as SC3</t>
  </si>
  <si>
    <t xml:space="preserve">Cause: Incomplete SC3 → operator follows up via email → converts to SC4</t>
  </si>
  <si>
    <t xml:space="preserve">Bosch suppliers also send emails when SC3 exists → creates duplicates</t>
  </si>
  <si>
    <t xml:space="preserve">Fix (Maersk): Eurolog S09 + reason O01 to close duplicates (Karina)</t>
  </si>
  <si>
    <t xml:space="preserve">Fix (Bosch): Instruct suppliers to stop emails when SC3 exists</t>
  </si>
  <si>
    <t xml:space="preserve">MILESTONE INCONSISTENCY — DEEP ANALYSIS (662 Shipments, 1,500 Records)</t>
  </si>
  <si>
    <t xml:space="preserve">Value</t>
  </si>
  <si>
    <t xml:space="preserve">Significance</t>
  </si>
  <si>
    <t xml:space="preserve">Total records in dataset</t>
  </si>
  <si>
    <t xml:space="preserve">1,500</t>
  </si>
  <si>
    <t xml:space="preserve">Across ETA (1,000) and ATA (500) violations</t>
  </si>
  <si>
    <t xml:space="preserve">Unique affected HBLs</t>
  </si>
  <si>
    <t xml:space="preserve">550 of 662 (83%)</t>
  </si>
  <si>
    <t xml:space="preserve">Vast majority of flagged shipments have real issues</t>
  </si>
  <si>
    <t xml:space="preserve">ETA sequence violations</t>
  </si>
  <si>
    <t xml:space="preserve">475 unique HBLs</t>
  </si>
  <si>
    <t xml:space="preserve">Estimates with impossible date order</t>
  </si>
  <si>
    <t xml:space="preserve">ATA sequence violations</t>
  </si>
  <si>
    <t xml:space="preserve">76 unique HBLs</t>
  </si>
  <si>
    <t xml:space="preserve">ACTUALS recorded in wrong order — data quality failure</t>
  </si>
  <si>
    <t xml:space="preserve">Dominant issue</t>
  </si>
  <si>
    <t xml:space="preserve">POD &gt; Delivery (83%)</t>
  </si>
  <si>
    <t xml:space="preserve">Port arrival dated after door delivery — physically impossible</t>
  </si>
  <si>
    <t xml:space="preserve">NON TMC / SC4 share</t>
  </si>
  <si>
    <t xml:space="preserve">63% of ETA violations</t>
  </si>
  <si>
    <t xml:space="preserve">Manual entry is the primary root cause (300 HBLs)</t>
  </si>
  <si>
    <t xml:space="preserve">61-90 day gap cluster</t>
  </si>
  <si>
    <t xml:space="preserve">31% of POD&gt;Delivery</t>
  </si>
  <si>
    <t xml:space="preserve">Suggests bulk upload / template error pattern</t>
  </si>
  <si>
    <t xml:space="preserve">ATA median gap</t>
  </si>
  <si>
    <t xml:space="preserve">73 days</t>
  </si>
  <si>
    <t xml:space="preserve">Actuals MORE wrong than estimates — operators entering out-of-sequence</t>
  </si>
  <si>
    <t xml:space="preserve">ETA median gap</t>
  </si>
  <si>
    <t xml:space="preserve">15 days</t>
  </si>
  <si>
    <t xml:space="preserve">Estimates are wrong but less severely than actuals</t>
  </si>
  <si>
    <t xml:space="preserve">DUPLICATION CLARIFICATION:</t>
  </si>
  <si>
    <t xml:space="preserve">Multiple ETA rows per HBL = VALID (estimates get revised; 51% of HBLs have 2+ revisions)</t>
  </si>
  <si>
    <t xml:space="preserve">ATA rows: duplicated with IDENTICAL dates (multiple containers/TOs per shipment)</t>
  </si>
  <si>
    <t xml:space="preserve">No conflicting actual dates found — ATA duplication is structural, not a data quality issue</t>
  </si>
  <si>
    <t xml:space="preserve">The 76 ATA violations are genuine sequence errors, not duplication artifacts</t>
  </si>
  <si>
    <t xml:space="preserve">POD &gt; DELIVERY GAP SEVERITY (1,010 records — 83% of all violations)</t>
  </si>
  <si>
    <t xml:space="preserve">Bucket</t>
  </si>
  <si>
    <t xml:space="preserve">ETA Records</t>
  </si>
  <si>
    <t xml:space="preserve">ATA Records</t>
  </si>
  <si>
    <t xml:space="preserve">% of Total</t>
  </si>
  <si>
    <t xml:space="preserve">Likely Cause</t>
  </si>
  <si>
    <t xml:space="preserve">1-7 days</t>
  </si>
  <si>
    <t xml:space="preserve">309</t>
  </si>
  <si>
    <t xml:space="preserve">52</t>
  </si>
  <si>
    <t xml:space="preserve">35.7%</t>
  </si>
  <si>
    <t xml:space="preserve">Timezone / rounding — low severity but still invalid</t>
  </si>
  <si>
    <t xml:space="preserve">8-30 days</t>
  </si>
  <si>
    <t xml:space="preserve">171</t>
  </si>
  <si>
    <t xml:space="preserve">28</t>
  </si>
  <si>
    <t xml:space="preserve">19.7%</t>
  </si>
  <si>
    <t xml:space="preserve">Operator error — medium severity</t>
  </si>
  <si>
    <t xml:space="preserve">31-60 days</t>
  </si>
  <si>
    <t xml:space="preserve">99</t>
  </si>
  <si>
    <t xml:space="preserve">13</t>
  </si>
  <si>
    <t xml:space="preserve">11.1%</t>
  </si>
  <si>
    <t xml:space="preserve">Wrong milestone updated — high severity</t>
  </si>
  <si>
    <t xml:space="preserve">61-90 days</t>
  </si>
  <si>
    <t xml:space="preserve">278</t>
  </si>
  <si>
    <t xml:space="preserve">32</t>
  </si>
  <si>
    <t xml:space="preserve">30.7%</t>
  </si>
  <si>
    <t xml:space="preserve">Bulk upload / template error — SYSTEMIC pattern</t>
  </si>
  <si>
    <t xml:space="preserve">&gt;90 days</t>
  </si>
  <si>
    <t xml:space="preserve">22</t>
  </si>
  <si>
    <t xml:space="preserve">6</t>
  </si>
  <si>
    <t xml:space="preserve">2.8%</t>
  </si>
  <si>
    <t xml:space="preserve">Data corruption — critical (up to 367 days)</t>
  </si>
  <si>
    <t xml:space="preserve">PROPOSED PLAUSIBILITY RULES (for dashboard — committed Nov '25, OVERDUE)</t>
  </si>
  <si>
    <t xml:space="preserve">Rule</t>
  </si>
  <si>
    <t xml:space="preserve">Condition</t>
  </si>
  <si>
    <t xml:space="preserve">Severity</t>
  </si>
  <si>
    <t xml:space="preserve">Auto-Action</t>
  </si>
  <si>
    <t xml:space="preserve">Expected Catch</t>
  </si>
  <si>
    <t xml:space="preserve">Seq: POD &gt; Delivery</t>
  </si>
  <si>
    <t xml:space="preserve">Port Discharge after Door Delivery</t>
  </si>
  <si>
    <t xml:space="preserve">Block + alert</t>
  </si>
  <si>
    <t xml:space="preserve">83% of violations</t>
  </si>
  <si>
    <t xml:space="preserve">Seq: POL &gt; POD</t>
  </si>
  <si>
    <t xml:space="preserve">Vessel departure after port arrival</t>
  </si>
  <si>
    <t xml:space="preserve">4% of violations</t>
  </si>
  <si>
    <t xml:space="preserve">Seq: Pickup &gt; POL</t>
  </si>
  <si>
    <t xml:space="preserve">Collection after vessel departure</t>
  </si>
  <si>
    <t xml:space="preserve">8% of violations</t>
  </si>
  <si>
    <t xml:space="preserve">Gap: &gt;60d between stages</t>
  </si>
  <si>
    <t xml:space="preserve">Unrealistic transit gap</t>
  </si>
  <si>
    <t xml:space="preserve">Warning</t>
  </si>
  <si>
    <t xml:space="preserve">Flag for review</t>
  </si>
  <si>
    <t xml:space="preserve">31% severity bucket</t>
  </si>
  <si>
    <t xml:space="preserve">ATA gap &gt; 73d</t>
  </si>
  <si>
    <t xml:space="preserve">Actuals with extreme gaps</t>
  </si>
  <si>
    <t xml:space="preserve">Lock record</t>
  </si>
  <si>
    <t xml:space="preserve">76 ATA HBLs</t>
  </si>
  <si>
    <t xml:space="preserve">Retroactive: ETA after ATA</t>
  </si>
  <si>
    <t xml:space="preserve">Estimate updated after actual</t>
  </si>
  <si>
    <t xml:space="preserve">Prevent edit</t>
  </si>
  <si>
    <t xml:space="preserve">701+ HBLs (POD data)</t>
  </si>
  <si>
    <t xml:space="preserve">Bulk: &gt;50 same-day edits</t>
  </si>
  <si>
    <t xml:space="preserve">Mass update pattern detection</t>
  </si>
  <si>
    <t xml:space="preserve">Flag batch</t>
  </si>
  <si>
    <t xml:space="preserve">Dec 12: 994 HBLs</t>
  </si>
  <si>
    <t xml:space="preserve">ESCALATION: Dashboard + rules committed Nov '25. Mimel aware. Must show progress Thursday 19-Feb.</t>
  </si>
  <si>
    <t xml:space="preserve">SC4 - Week-over-Week Trend Summary</t>
  </si>
  <si>
    <t xml:space="preserve">CRITICAL MILESTONES (S00, S02, S04, S07, S31, S45)</t>
  </si>
  <si>
    <t xml:space="preserve">W1→W4
Delta</t>
  </si>
  <si>
    <t xml:space="preserve">Critical Milestone Averages</t>
  </si>
  <si>
    <t xml:space="preserve">Avg Completeness</t>
  </si>
  <si>
    <t xml:space="preserve">Avg Timeliness</t>
  </si>
  <si>
    <t xml:space="preserve">ALL MILESTONES - AVERAGES</t>
  </si>
  <si>
    <t xml:space="preserve">SC3 - Week-over-Week Trend Summary</t>
  </si>
  <si>
    <t xml:space="preserve">CRITICAL MILESTONES (S02, S04, S07, S31, S45)</t>
  </si>
  <si>
    <t xml:space="preserve">SC3 vs SC4 - Critical Milestone Comparison (Week 4 Latest)</t>
  </si>
  <si>
    <t xml:space="preserve">SC3 Completeness</t>
  </si>
  <si>
    <t xml:space="preserve">SC3 Timeliness</t>
  </si>
  <si>
    <t xml:space="preserve">SC4 Completeness</t>
  </si>
  <si>
    <t xml:space="preserve">SC4 Timeliness</t>
  </si>
  <si>
    <t xml:space="preserve">W1→W4</t>
  </si>
  <si>
    <t xml:space="preserve">SC4 Only - S00 (Shipment Created)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</si>
</sst>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s&quot;tan&quot;d&quot;ar&quot;d"/>
    <numFmt numFmtId="166" formatCode="@"/>
    <numFmt numFmtId="167" formatCode="0%"/>
    <numFmt numFmtId="168" formatCode="0"/>
    <numFmt numFmtId="169" formatCode="0.0"/>
    <numFmt numFmtId="170" formatCode="0.0%"/>
    <numFmt numFmtId="171" formatCode="dd/mm/yy;@"/>
    <numFmt numFmtId="172" formatCode="#,##0"/>
    <numFmt numFmtId="173" formatCode="d\-mmm\-yy"/>
    <numFmt numFmtId="174" formatCode="mmm\-yy"/>
    <numFmt numFmtId="175" formatCode="0.00%"/>
    <numFmt numFmtId="176" formatCode="\+0%;\-0%"/>
    <numFmt numFmtId="177" formatCode="\+0.0%;\-0.0%"/>
  </numFmts>
  <fonts count="77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8"/>
      <color theme="0"/>
      <name val="Arial"/>
      <family val="2"/>
      <charset val="1"/>
    </font>
    <font>
      <b val="true"/>
      <sz val="18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6600"/>
      <name val="Cambria"/>
      <family val="0"/>
      <charset val="1"/>
    </font>
    <font>
      <b val="true"/>
      <sz val="12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20"/>
      <color rgb="FF000000"/>
      <name val="Wingdings 3"/>
      <family val="1"/>
      <charset val="2"/>
    </font>
    <font>
      <sz val="8"/>
      <name val="Arial"/>
      <family val="2"/>
      <charset val="1"/>
    </font>
    <font>
      <b val="true"/>
      <sz val="22"/>
      <name val="PDCA"/>
      <family val="0"/>
      <charset val="1"/>
    </font>
    <font>
      <b val="true"/>
      <i val="true"/>
      <sz val="10"/>
      <name val="Arial"/>
      <family val="2"/>
      <charset val="1"/>
    </font>
    <font>
      <i val="true"/>
      <sz val="20"/>
      <color rgb="FF000000"/>
      <name val="Wingdings 3"/>
      <family val="1"/>
      <charset val="2"/>
    </font>
    <font>
      <b val="true"/>
      <sz val="10"/>
      <color rgb="FF000000"/>
      <name val="Bosch Office Sans"/>
      <family val="2"/>
      <charset val="1"/>
    </font>
    <font>
      <sz val="8"/>
      <color rgb="FF000000"/>
      <name val="Bosch Office Sans"/>
      <family val="2"/>
      <charset val="1"/>
    </font>
    <font>
      <sz val="10"/>
      <color rgb="FF000000"/>
      <name val="Bosch Office Sans"/>
      <family val="2"/>
      <charset val="1"/>
    </font>
    <font>
      <b val="true"/>
      <sz val="10"/>
      <name val="Bosch Office Sans"/>
      <family val="2"/>
      <charset val="1"/>
    </font>
    <font>
      <b val="true"/>
      <sz val="28"/>
      <color rgb="FF000000"/>
      <name val="PDCA"/>
      <family val="0"/>
      <charset val="1"/>
    </font>
    <font>
      <sz val="10"/>
      <name val="Bosch Office Sans"/>
      <family val="2"/>
      <charset val="1"/>
    </font>
    <font>
      <sz val="28"/>
      <color rgb="FF000000"/>
      <name val="PDCA"/>
      <family val="0"/>
      <charset val="1"/>
    </font>
    <font>
      <sz val="6"/>
      <color rgb="FF000000"/>
      <name val="Arial"/>
      <family val="2"/>
      <charset val="1"/>
    </font>
    <font>
      <sz val="1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Calibri"/>
      <family val="2"/>
    </font>
    <font>
      <b val="true"/>
      <sz val="14"/>
      <color rgb="FF1F3864"/>
      <name val="Arial"/>
      <family val="2"/>
      <charset val="1"/>
    </font>
    <font>
      <i val="true"/>
      <sz val="10"/>
      <color rgb="FFCC0000"/>
      <name val="Arial"/>
      <family val="2"/>
      <charset val="1"/>
    </font>
    <font>
      <b val="true"/>
      <sz val="11"/>
      <color rgb="FFFFFFFF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4"/>
      <color rgb="FF2E75B6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rgb="FF212121"/>
      <name val="Maersk Text"/>
      <family val="0"/>
      <charset val="1"/>
    </font>
    <font>
      <b val="true"/>
      <sz val="10"/>
      <color theme="0"/>
      <name val="Aptos"/>
      <family val="0"/>
      <charset val="1"/>
    </font>
    <font>
      <sz val="10"/>
      <color theme="1"/>
      <name val="Aptos"/>
      <family val="0"/>
      <charset val="1"/>
    </font>
    <font>
      <i val="true"/>
      <sz val="10"/>
      <color theme="1"/>
      <name val="Aptos"/>
      <family val="0"/>
      <charset val="1"/>
    </font>
    <font>
      <sz val="10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sz val="10"/>
      <color rgb="FFFF0000"/>
      <name val="Aptos"/>
      <family val="0"/>
      <charset val="1"/>
    </font>
    <font>
      <i val="true"/>
      <sz val="10"/>
      <color rgb="FFFF0000"/>
      <name val="Calibri"/>
      <family val="2"/>
      <charset val="1"/>
    </font>
    <font>
      <b val="true"/>
      <sz val="16"/>
      <color rgb="FF1F3864"/>
      <name val="Arial"/>
      <family val="2"/>
      <charset val="1"/>
    </font>
    <font>
      <sz val="9"/>
      <color rgb="FF666666"/>
      <name val="Arial"/>
      <family val="2"/>
      <charset val="1"/>
    </font>
    <font>
      <b val="true"/>
      <sz val="13"/>
      <color rgb="FFC00000"/>
      <name val="Arial"/>
      <family val="2"/>
      <charset val="1"/>
    </font>
    <font>
      <b val="true"/>
      <sz val="13"/>
      <color rgb="FF1F3864"/>
      <name val="Arial"/>
      <family val="2"/>
      <charset val="1"/>
    </font>
    <font>
      <b val="true"/>
      <sz val="12"/>
      <color rgb="FFC00000"/>
      <name val="Arial"/>
      <family val="2"/>
      <charset val="1"/>
    </font>
    <font>
      <b val="true"/>
      <sz val="12"/>
      <color rgb="FF1F3864"/>
      <name val="Arial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FFFFFF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sz val="10"/>
      <color rgb="FF404040"/>
      <name val="Calibri"/>
      <family val="2"/>
      <charset val="1"/>
    </font>
    <font>
      <b val="true"/>
      <sz val="11"/>
      <color rgb="FF1F4E79"/>
      <name val="Calibri"/>
      <family val="2"/>
      <charset val="1"/>
    </font>
    <font>
      <b val="true"/>
      <sz val="12"/>
      <color rgb="FFC00000"/>
      <name val="Calibri"/>
      <family val="2"/>
      <charset val="1"/>
    </font>
    <font>
      <b val="true"/>
      <sz val="10"/>
      <color rgb="FFC00000"/>
      <name val="Calibri"/>
      <family val="2"/>
      <charset val="1"/>
    </font>
    <font>
      <b val="true"/>
      <sz val="14"/>
      <color rgb="FF7030A0"/>
      <name val="Calibri"/>
      <family val="2"/>
      <charset val="1"/>
    </font>
    <font>
      <b val="true"/>
      <sz val="11"/>
      <color rgb="FF7030A0"/>
      <name val="Calibri"/>
      <family val="2"/>
      <charset val="1"/>
    </font>
    <font>
      <b val="true"/>
      <sz val="11"/>
      <color rgb="FF1F3864"/>
      <name val="Arial"/>
      <family val="2"/>
      <charset val="1"/>
    </font>
    <font>
      <sz val="10"/>
      <color rgb="FFCC0000"/>
      <name val="Arial"/>
      <family val="2"/>
      <charset val="1"/>
    </font>
    <font>
      <sz val="10"/>
      <color rgb="FF008000"/>
      <name val="Arial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2F2"/>
      </patternFill>
    </fill>
    <fill>
      <patternFill patternType="solid">
        <fgColor rgb="FF0070C0"/>
        <bgColor rgb="FF2E75B6"/>
      </patternFill>
    </fill>
    <fill>
      <patternFill patternType="solid">
        <fgColor theme="0" tint="-0.05"/>
        <bgColor rgb="FFFFF2F2"/>
      </patternFill>
    </fill>
    <fill>
      <patternFill patternType="solid">
        <fgColor theme="0" tint="-0.15"/>
        <bgColor rgb="FFD6E4F0"/>
      </patternFill>
    </fill>
    <fill>
      <patternFill patternType="solid">
        <fgColor rgb="FF1F3864"/>
        <bgColor rgb="FF1E2761"/>
      </patternFill>
    </fill>
    <fill>
      <patternFill patternType="solid">
        <fgColor rgb="FF2F5496"/>
        <bgColor rgb="FF1F4E79"/>
      </patternFill>
    </fill>
    <fill>
      <patternFill patternType="solid">
        <fgColor rgb="FF4472C4"/>
        <bgColor rgb="FF4672A8"/>
      </patternFill>
    </fill>
    <fill>
      <patternFill patternType="solid">
        <fgColor rgb="FFFFF2CC"/>
        <bgColor rgb="FFFFF4CC"/>
      </patternFill>
    </fill>
    <fill>
      <patternFill patternType="solid">
        <fgColor rgb="FF2E75B6"/>
        <bgColor rgb="FF4472C4"/>
      </patternFill>
    </fill>
    <fill>
      <patternFill patternType="solid">
        <fgColor rgb="FFFFF4CC"/>
        <bgColor rgb="FFFFF2CC"/>
      </patternFill>
    </fill>
    <fill>
      <patternFill patternType="solid">
        <fgColor rgb="FF1E2761"/>
        <bgColor rgb="FF1F3864"/>
      </patternFill>
    </fill>
    <fill>
      <patternFill patternType="solid">
        <fgColor rgb="FFF96167"/>
        <bgColor rgb="FFED7D31"/>
      </patternFill>
    </fill>
    <fill>
      <patternFill patternType="solid">
        <fgColor rgb="FFFFF9C4"/>
        <bgColor rgb="FFFFF4CC"/>
      </patternFill>
    </fill>
    <fill>
      <patternFill patternType="solid">
        <fgColor rgb="FFFFB74D"/>
        <bgColor rgb="FFF4B183"/>
      </patternFill>
    </fill>
    <fill>
      <patternFill patternType="solid">
        <fgColor rgb="FF64B5F6"/>
        <bgColor rgb="FF4BACC6"/>
      </patternFill>
    </fill>
    <fill>
      <patternFill patternType="solid">
        <fgColor rgb="FFFFFF00"/>
        <bgColor rgb="FFFFEB9C"/>
      </patternFill>
    </fill>
    <fill>
      <patternFill patternType="solid">
        <fgColor rgb="FFFFF2F2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C6EFCE"/>
        <bgColor rgb="FFD6E4F0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2CC"/>
      </patternFill>
    </fill>
    <fill>
      <patternFill patternType="solid">
        <fgColor rgb="FFED7D31"/>
        <bgColor rgb="FFDC853E"/>
      </patternFill>
    </fill>
    <fill>
      <patternFill patternType="solid">
        <fgColor rgb="FF1F4E79"/>
        <bgColor rgb="FF2F5496"/>
      </patternFill>
    </fill>
    <fill>
      <patternFill patternType="solid">
        <fgColor rgb="FF7030A0"/>
        <bgColor rgb="FF725990"/>
      </patternFill>
    </fill>
    <fill>
      <patternFill patternType="solid">
        <fgColor rgb="FFF4B183"/>
        <bgColor rgb="FFFFB74D"/>
      </patternFill>
    </fill>
  </fills>
  <borders count="5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>
        <color rgb="FFB4C6E7"/>
      </left>
      <right/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/>
      <right/>
      <top style="thin">
        <color rgb="FF9BC2E6"/>
      </top>
      <bottom style="thin">
        <color rgb="FF9BC2E6"/>
      </bottom>
      <diagonal/>
    </border>
    <border diagonalUp="false" diagonalDown="false">
      <left/>
      <right style="thin">
        <color rgb="FF9BC2E6"/>
      </right>
      <top style="thin">
        <color rgb="FF9BC2E6"/>
      </top>
      <bottom style="thin">
        <color rgb="FF9BC2E6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center" textRotation="90" wrapText="false" indent="0" shrinkToFit="false"/>
      <protection locked="true" hidden="false"/>
    </xf>
    <xf numFmtId="166" fontId="6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4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2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2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6" fillId="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0" fillId="2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5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5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2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2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2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3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4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4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1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1" fillId="0" borderId="2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22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0" borderId="2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1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2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3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3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2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33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1" fontId="21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2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6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7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1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1" fillId="0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10" borderId="4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1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11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6" fillId="12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8" fillId="0" borderId="4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8" fillId="0" borderId="4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13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8" fillId="0" borderId="4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4" borderId="4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48" fillId="0" borderId="4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14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5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16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3" borderId="3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0" fillId="3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0" fillId="3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1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51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2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1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51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3" fillId="17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1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4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4" fillId="0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5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17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4" fillId="17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4" fillId="17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4" fillId="17" borderId="2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5" fillId="17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3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7" fillId="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6" fillId="0" borderId="4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3" fillId="0" borderId="4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3" fillId="0" borderId="4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7" fillId="0" borderId="4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0" fillId="1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1" fillId="1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8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6" fillId="2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8" fillId="0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4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1" fillId="0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4" fillId="25" borderId="5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4" fillId="19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6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75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6" fillId="9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7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7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8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3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6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Standard 2" xfId="22"/>
  </cellStyles>
  <dxfs count="6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472C4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9BBB59"/>
      <rgbColor rgb="FF0000FF"/>
      <rgbColor rgb="FFFFFF00"/>
      <rgbColor rgb="FFFF00FF"/>
      <rgbColor rgb="FFFFF2F2"/>
      <rgbColor rgb="FFC00000"/>
      <rgbColor rgb="FF008000"/>
      <rgbColor rgb="FF2F5496"/>
      <rgbColor rgb="FF666666"/>
      <rgbColor rgb="FF4F81BD"/>
      <rgbColor rgb="FF2E75B6"/>
      <rgbColor rgb="FFCCCCCC"/>
      <rgbColor rgb="FF8064A2"/>
      <rgbColor rgb="FF8EA5CA"/>
      <rgbColor rgb="FFAB4744"/>
      <rgbColor rgb="FFFFF9C4"/>
      <rgbColor rgb="FFD6E4F0"/>
      <rgbColor rgb="FF595959"/>
      <rgbColor rgb="FFF96167"/>
      <rgbColor rgb="FF0070C0"/>
      <rgbColor rgb="FFB4C6E7"/>
      <rgbColor rgb="FF000080"/>
      <rgbColor rgb="FFFF00FF"/>
      <rgbColor rgb="FFFFF4CC"/>
      <rgbColor rgb="FFFFF2CC"/>
      <rgbColor rgb="FFDC853E"/>
      <rgbColor rgb="FFCC0000"/>
      <rgbColor rgb="FF4672A8"/>
      <rgbColor rgb="FF0000FF"/>
      <rgbColor rgb="FF64B5F6"/>
      <rgbColor rgb="FFF2F2F2"/>
      <rgbColor rgb="FFC6EFCE"/>
      <rgbColor rgb="FFFFEB9C"/>
      <rgbColor rgb="FF9BC2E6"/>
      <rgbColor rgb="FFF4B183"/>
      <rgbColor rgb="FFD9D9D9"/>
      <rgbColor rgb="FFFFC7CE"/>
      <rgbColor rgb="FF4472C4"/>
      <rgbColor rgb="FF4BACC6"/>
      <rgbColor rgb="FF92D050"/>
      <rgbColor rgb="FFFFB74D"/>
      <rgbColor rgb="FFED7D31"/>
      <rgbColor rgb="FFFF6600"/>
      <rgbColor rgb="FF725990"/>
      <rgbColor rgb="FF8AA64F"/>
      <rgbColor rgb="FF1F3864"/>
      <rgbColor rgb="FF4299B0"/>
      <rgbColor rgb="FF1F4E79"/>
      <rgbColor rgb="FF212121"/>
      <rgbColor rgb="FFC0504D"/>
      <rgbColor rgb="FF7030A0"/>
      <rgbColor rgb="FF1E2761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81514233040652"/>
          <c:y val="0.129623513870542"/>
          <c:w val="0.81551729525357"/>
          <c:h val="0.7602377807133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'PDCA Main Page'!$D$8:$F$8</c:f>
              <c:strCache>
                <c:ptCount val="1"/>
                <c:pt idx="0">
                  <c:v>Completeness (Critical)</c:v>
                </c:pt>
              </c:strCache>
            </c:strRef>
          </c:tx>
          <c:spPr>
            <a:solidFill>
              <a:srgbClr val="4672a8"/>
            </a:solidFill>
            <a:ln w="0">
              <a:noFill/>
            </a:ln>
          </c:spPr>
          <c:invertIfNegative val="0"/>
          <c:dPt>
            <c:idx val="4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4672a8"/>
              </a:solidFill>
              <a:ln w="3240">
                <a:noFill/>
              </a:ln>
            </c:spPr>
          </c:dPt>
          <c:dLbls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Page'!$G$8:$S$8</c:f>
              <c:numCache>
                <c:formatCode>0%</c:formatCode>
                <c:ptCount val="13"/>
                <c:pt idx="0">
                  <c:v>0.82</c:v>
                </c:pt>
                <c:pt idx="1">
                  <c:v>0.84</c:v>
                </c:pt>
                <c:pt idx="2">
                  <c:v>0.861</c:v>
                </c:pt>
              </c:numCache>
            </c:numRef>
          </c:val>
        </c:ser>
        <c:ser>
          <c:idx val="1"/>
          <c:order val="1"/>
          <c:tx>
            <c:strRef>
              <c:f>'PDCA Main Page'!$D$9:$F$9</c:f>
              <c:strCache>
                <c:ptCount val="1"/>
                <c:pt idx="0">
                  <c:v>Timeliness (Critical)</c:v>
                </c:pt>
              </c:strCache>
            </c:strRef>
          </c:tx>
          <c:spPr>
            <a:solidFill>
              <a:srgbClr val="ab474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Page'!$G$9:$S$9</c:f>
              <c:numCache>
                <c:formatCode>0%</c:formatCode>
                <c:ptCount val="13"/>
                <c:pt idx="0">
                  <c:v>0.1</c:v>
                </c:pt>
                <c:pt idx="1">
                  <c:v>0.22</c:v>
                </c:pt>
                <c:pt idx="2">
                  <c:v>0.487</c:v>
                </c:pt>
              </c:numCache>
            </c:numRef>
          </c:val>
        </c:ser>
        <c:ser>
          <c:idx val="2"/>
          <c:order val="2"/>
          <c:tx>
            <c:strRef>
              <c:f>'PDCA Main Page'!$D$10:$F$10</c:f>
              <c:strCache>
                <c:ptCount val="1"/>
                <c:pt idx="0">
                  <c:v>Completeness (All)</c:v>
                </c:pt>
              </c:strCache>
            </c:strRef>
          </c:tx>
          <c:spPr>
            <a:solidFill>
              <a:srgbClr val="8aa64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Page'!$G$10:$S$10</c:f>
              <c:numCache>
                <c:formatCode>0%</c:formatCode>
                <c:ptCount val="13"/>
                <c:pt idx="2">
                  <c:v>0.73</c:v>
                </c:pt>
              </c:numCache>
            </c:numRef>
          </c:val>
        </c:ser>
        <c:ser>
          <c:idx val="3"/>
          <c:order val="3"/>
          <c:tx>
            <c:strRef>
              <c:f>'PDCA Main Page'!$D$11:$F$11</c:f>
              <c:strCache>
                <c:ptCount val="1"/>
                <c:pt idx="0">
                  <c:v>Timeliness (All)</c:v>
                </c:pt>
              </c:strCache>
            </c:strRef>
          </c:tx>
          <c:spPr>
            <a:solidFill>
              <a:srgbClr val="72599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Page'!$G$11:$S$11</c:f>
              <c:numCache>
                <c:formatCode>0%</c:formatCode>
                <c:ptCount val="13"/>
                <c:pt idx="2">
                  <c:v>0.46</c:v>
                </c:pt>
              </c:numCache>
            </c:numRef>
          </c:val>
        </c:ser>
        <c:ser>
          <c:idx val="4"/>
          <c:order val="4"/>
          <c:tx>
            <c:strRef>
              <c:f>'PDCA Main Page'!$D$12:$F$12</c:f>
              <c:strCache>
                <c:ptCount val="1"/>
                <c:pt idx="0">
                  <c:v>ETA accuracy 2P</c:v>
                </c:pt>
              </c:strCache>
            </c:strRef>
          </c:tx>
          <c:spPr>
            <a:solidFill>
              <a:srgbClr val="4299b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Page'!$G$12:$S$12</c:f>
              <c:numCache>
                <c:formatCode>General</c:formatCode>
                <c:ptCount val="13"/>
              </c:numCache>
            </c:numRef>
          </c:val>
        </c:ser>
        <c:ser>
          <c:idx val="5"/>
          <c:order val="5"/>
          <c:tx>
            <c:strRef>
              <c:f>'PDCA Main Page'!$D$14:$F$14</c:f>
              <c:strCache>
                <c:ptCount val="1"/>
                <c:pt idx="0">
                  <c:v>SC Reference Completeness (CIV or DN)</c:v>
                </c:pt>
              </c:strCache>
            </c:strRef>
          </c:tx>
          <c:spPr>
            <a:solidFill>
              <a:srgbClr val="dc853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Page'!$G$14:$S$14</c:f>
              <c:numCache>
                <c:formatCode>0%</c:formatCode>
                <c:ptCount val="13"/>
                <c:pt idx="2">
                  <c:v>0.8</c:v>
                </c:pt>
              </c:numCache>
            </c:numRef>
          </c:val>
        </c:ser>
        <c:gapWidth val="150"/>
        <c:overlap val="0"/>
        <c:axId val="73822348"/>
        <c:axId val="35197410"/>
      </c:barChart>
      <c:lineChart>
        <c:grouping val="standard"/>
        <c:varyColors val="0"/>
        <c:ser>
          <c:idx val="6"/>
          <c:order val="6"/>
          <c:tx>
            <c:strRef>
              <c:f>'PDCA Main Page'!$D$13:$F$13</c:f>
              <c:strCache>
                <c:ptCount val="1"/>
                <c:pt idx="0">
                  <c:v>ETA Accuracy 2D</c:v>
                </c:pt>
              </c:strCache>
            </c:strRef>
          </c:tx>
          <c:spPr>
            <a:solidFill>
              <a:srgbClr val="8ea5ca"/>
            </a:solidFill>
            <a:ln w="28440">
              <a:solidFill>
                <a:srgbClr val="8ea5ca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Page'!$G$13:$S$13</c:f>
              <c:numCache>
                <c:formatCode>General</c:formatCode>
                <c:ptCount val="13"/>
              </c:numCache>
            </c:numRef>
          </c:val>
          <c:smooth val="0"/>
        </c:ser>
        <c:ser>
          <c:idx val="7"/>
          <c:order val="7"/>
          <c:tx>
            <c:strRef>
              <c:f>'PDCA Main Page'!$D$15:$F$15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ff0000"/>
            </a:solidFill>
            <a:ln w="2844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'PDCA Main Page'!$G$7:$S$7</c:f>
              <c:strCache>
                <c:ptCount val="13"/>
                <c:pt idx="0">
                  <c:v>Nov '25</c:v>
                </c:pt>
                <c:pt idx="1">
                  <c:v>Dec '25</c:v>
                </c:pt>
                <c:pt idx="2">
                  <c:v>Jan '26</c:v>
                </c:pt>
                <c:pt idx="3">
                  <c:v>Feb '26 F</c:v>
                </c:pt>
                <c:pt idx="4">
                  <c:v>Mar '26 F</c:v>
                </c:pt>
                <c:pt idx="5">
                  <c:v>Apr '26 F</c:v>
                </c:pt>
                <c:pt idx="6">
                  <c:v>May '26 F</c:v>
                </c:pt>
                <c:pt idx="7">
                  <c:v>Jun '26 F</c:v>
                </c:pt>
                <c:pt idx="8">
                  <c:v>Jul '26 F</c:v>
                </c:pt>
                <c:pt idx="9">
                  <c:v>Aug '26 F</c:v>
                </c:pt>
                <c:pt idx="10">
                  <c:v>Sep '26 F</c:v>
                </c:pt>
                <c:pt idx="11">
                  <c:v>Oct '26 F</c:v>
                </c:pt>
                <c:pt idx="12">
                  <c:v>YTD</c:v>
                </c:pt>
              </c:strCache>
            </c:strRef>
          </c:cat>
          <c:val>
            <c:numRef>
              <c:f>'PDCA Main Page'!$G$15:$S$15</c:f>
              <c:numCache>
                <c:formatCode>0%</c:formatCode>
                <c:ptCount val="13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  <c:pt idx="4">
                  <c:v>0.95</c:v>
                </c:pt>
                <c:pt idx="5">
                  <c:v>0.95</c:v>
                </c:pt>
                <c:pt idx="6">
                  <c:v>0.95</c:v>
                </c:pt>
                <c:pt idx="7">
                  <c:v>0.95</c:v>
                </c:pt>
                <c:pt idx="8">
                  <c:v>0.95</c:v>
                </c:pt>
                <c:pt idx="9">
                  <c:v>0.95</c:v>
                </c:pt>
                <c:pt idx="10">
                  <c:v>0.95</c:v>
                </c:pt>
                <c:pt idx="11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3822348"/>
        <c:axId val="35197410"/>
      </c:lineChart>
      <c:catAx>
        <c:axId val="73822348"/>
        <c:scaling>
          <c:orientation val="minMax"/>
        </c:scaling>
        <c:delete val="0"/>
        <c:axPos val="b"/>
        <c:numFmt formatCode="@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5197410"/>
        <c:crossesAt val="0"/>
        <c:auto val="1"/>
        <c:lblAlgn val="ctr"/>
        <c:lblOffset val="100"/>
        <c:noMultiLvlLbl val="0"/>
      </c:catAx>
      <c:valAx>
        <c:axId val="35197410"/>
        <c:scaling>
          <c:orientation val="minMax"/>
          <c:max val="1"/>
        </c:scaling>
        <c:delete val="0"/>
        <c:axPos val="l"/>
        <c:numFmt formatCode="0%" sourceLinked="0"/>
        <c:majorTickMark val="out"/>
        <c:minorTickMark val="none"/>
        <c:tickLblPos val="nextTo"/>
        <c:spPr>
          <a:ln w="3240">
            <a:solidFill>
              <a:srgbClr val="000000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3822348"/>
        <c:crosses val="autoZero"/>
        <c:crossBetween val="between"/>
        <c:majorUnit val="0.1"/>
      </c:valAx>
      <c:spPr>
        <a:solidFill>
          <a:srgbClr val="ffffff"/>
        </a:solidFill>
        <a:ln w="0">
          <a:noFill/>
        </a:ln>
      </c:spPr>
    </c:plotArea>
    <c:legend>
      <c:legendPos val="t"/>
      <c:layout>
        <c:manualLayout>
          <c:xMode val="edge"/>
          <c:yMode val="edge"/>
          <c:x val="0.160908648830081"/>
          <c:y val="0.00185412456030695"/>
          <c:w val="0.8269015077213"/>
          <c:h val="0.17673877345668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'ETA accuracy Port'!$B$18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'ETA accuracy Port'!$A$19:$A$23</c:f>
              <c:strCache>
                <c:ptCount val="5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ETA &lt;7d (no qualifying)</c:v>
                </c:pt>
                <c:pt idx="4">
                  <c:v>No ETA</c:v>
                </c:pt>
              </c:strCache>
            </c:strRef>
          </c:cat>
          <c:val>
            <c:numRef>
              <c:f>'ETA accuracy Port'!$B$19:$B$23</c:f>
              <c:numCache>
                <c:formatCode>General</c:formatCode>
                <c:ptCount val="5"/>
                <c:pt idx="0">
                  <c:v>19</c:v>
                </c:pt>
                <c:pt idx="1">
                  <c:v>39</c:v>
                </c:pt>
                <c:pt idx="2">
                  <c:v>7</c:v>
                </c:pt>
                <c:pt idx="3">
                  <c:v>1165</c:v>
                </c:pt>
                <c:pt idx="4">
                  <c:v>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'ETA accuracy Port'!$G$18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'ETA accuracy Port'!$F$19:$F$22</c:f>
              <c:strCache>
                <c:ptCount val="4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Missing ETA</c:v>
                </c:pt>
              </c:strCache>
            </c:strRef>
          </c:cat>
          <c:val>
            <c:numRef>
              <c:f>'ETA accuracy Port'!$G$19:$G$22</c:f>
              <c:numCache>
                <c:formatCode>General</c:formatCode>
                <c:ptCount val="4"/>
                <c:pt idx="0">
                  <c:v>1091</c:v>
                </c:pt>
                <c:pt idx="1">
                  <c:v>77</c:v>
                </c:pt>
                <c:pt idx="2">
                  <c:v>7</c:v>
                </c:pt>
                <c:pt idx="3">
                  <c:v>5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View 1: ≥7 Day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'POD estimate Accuracy'!$B$18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'POD estimate Accuracy'!$A$19:$A$23</c:f>
              <c:strCache>
                <c:ptCount val="5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POD_ &lt;7d</c:v>
                </c:pt>
                <c:pt idx="4">
                  <c:v>No POD_</c:v>
                </c:pt>
              </c:strCache>
            </c:strRef>
          </c:cat>
          <c:val>
            <c:numRef>
              <c:f>'POD estimate Accuracy'!$B$19:$B$23</c:f>
              <c:numCache>
                <c:formatCode>General</c:formatCode>
                <c:ptCount val="5"/>
                <c:pt idx="0">
                  <c:v>840</c:v>
                </c:pt>
                <c:pt idx="1">
                  <c:v>1617</c:v>
                </c:pt>
                <c:pt idx="2">
                  <c:v>63</c:v>
                </c:pt>
                <c:pt idx="3">
                  <c:v>120</c:v>
                </c:pt>
                <c:pt idx="4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GB" sz="1800" strike="noStrike" u="none">
                <a:solidFill>
                  <a:srgbClr val="000000"/>
                </a:solidFill>
                <a:uFillTx/>
                <a:latin typeface="Calibri"/>
              </a:rPr>
              <a:t>View 2: Any Lead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'POD estimate Accuracy'!$G$18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trike="noStrike" u="non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'POD estimate Accuracy'!$F$19:$F$22</c:f>
              <c:strCache>
                <c:ptCount val="4"/>
                <c:pt idx="0">
                  <c:v>Within ±48h</c:v>
                </c:pt>
                <c:pt idx="1">
                  <c:v>Late</c:v>
                </c:pt>
                <c:pt idx="2">
                  <c:v>Early</c:v>
                </c:pt>
                <c:pt idx="3">
                  <c:v>Missing POD_</c:v>
                </c:pt>
              </c:strCache>
            </c:strRef>
          </c:cat>
          <c:val>
            <c:numRef>
              <c:f>'POD estimate Accuracy'!$G$19:$G$22</c:f>
              <c:numCache>
                <c:formatCode>General</c:formatCode>
                <c:ptCount val="4"/>
                <c:pt idx="0">
                  <c:v>1520</c:v>
                </c:pt>
                <c:pt idx="1">
                  <c:v>1003</c:v>
                </c:pt>
                <c:pt idx="2">
                  <c:v>47</c:v>
                </c:pt>
                <c:pt idx="3">
                  <c:v>2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2.png"/><Relationship Id="rId9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187920</xdr:colOff>
      <xdr:row>0</xdr:row>
      <xdr:rowOff>38160</xdr:rowOff>
    </xdr:from>
    <xdr:to>
      <xdr:col>18</xdr:col>
      <xdr:colOff>653400</xdr:colOff>
      <xdr:row>5</xdr:row>
      <xdr:rowOff>189000</xdr:rowOff>
    </xdr:to>
    <xdr:graphicFrame>
      <xdr:nvGraphicFramePr>
        <xdr:cNvPr id="0" name="Chart 1"/>
        <xdr:cNvGraphicFramePr/>
      </xdr:nvGraphicFramePr>
      <xdr:xfrm>
        <a:off x="9138240" y="38160"/>
        <a:ext cx="11520720" cy="2179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674640</xdr:colOff>
      <xdr:row>0</xdr:row>
      <xdr:rowOff>406440</xdr:rowOff>
    </xdr:from>
    <xdr:to>
      <xdr:col>24</xdr:col>
      <xdr:colOff>335880</xdr:colOff>
      <xdr:row>3</xdr:row>
      <xdr:rowOff>174960</xdr:rowOff>
    </xdr:to>
    <xdr:pic>
      <xdr:nvPicPr>
        <xdr:cNvPr id="1" name="Grafik 17" descr="Ampel_gelb.png"/>
        <xdr:cNvPicPr/>
      </xdr:nvPicPr>
      <xdr:blipFill>
        <a:blip r:embed="rId2"/>
        <a:stretch/>
      </xdr:blipFill>
      <xdr:spPr>
        <a:xfrm>
          <a:off x="24262920" y="406440"/>
          <a:ext cx="483480" cy="1263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470520</xdr:colOff>
      <xdr:row>0</xdr:row>
      <xdr:rowOff>407520</xdr:rowOff>
    </xdr:from>
    <xdr:to>
      <xdr:col>24</xdr:col>
      <xdr:colOff>973800</xdr:colOff>
      <xdr:row>3</xdr:row>
      <xdr:rowOff>170640</xdr:rowOff>
    </xdr:to>
    <xdr:pic>
      <xdr:nvPicPr>
        <xdr:cNvPr id="2" name="Grafik 19" descr="Ampel_grün.png"/>
        <xdr:cNvPicPr/>
      </xdr:nvPicPr>
      <xdr:blipFill>
        <a:blip r:embed="rId3"/>
        <a:stretch/>
      </xdr:blipFill>
      <xdr:spPr>
        <a:xfrm>
          <a:off x="24881040" y="407520"/>
          <a:ext cx="503280" cy="125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128160</xdr:colOff>
      <xdr:row>0</xdr:row>
      <xdr:rowOff>410040</xdr:rowOff>
    </xdr:from>
    <xdr:to>
      <xdr:col>23</xdr:col>
      <xdr:colOff>630000</xdr:colOff>
      <xdr:row>3</xdr:row>
      <xdr:rowOff>173160</xdr:rowOff>
    </xdr:to>
    <xdr:pic>
      <xdr:nvPicPr>
        <xdr:cNvPr id="3" name="Grafik 9" descr="Ampel_rot.png"/>
        <xdr:cNvPicPr/>
      </xdr:nvPicPr>
      <xdr:blipFill>
        <a:blip r:embed="rId4"/>
        <a:stretch/>
      </xdr:blipFill>
      <xdr:spPr>
        <a:xfrm>
          <a:off x="23716440" y="410040"/>
          <a:ext cx="501840" cy="1258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48600</xdr:colOff>
      <xdr:row>0</xdr:row>
      <xdr:rowOff>475560</xdr:rowOff>
    </xdr:from>
    <xdr:to>
      <xdr:col>5</xdr:col>
      <xdr:colOff>82440</xdr:colOff>
      <xdr:row>3</xdr:row>
      <xdr:rowOff>235440</xdr:rowOff>
    </xdr:to>
    <xdr:pic>
      <xdr:nvPicPr>
        <xdr:cNvPr id="4" name="Grafik 18" descr="Ampel_rot.png"/>
        <xdr:cNvPicPr/>
      </xdr:nvPicPr>
      <xdr:blipFill>
        <a:blip r:embed="rId5"/>
        <a:stretch/>
      </xdr:blipFill>
      <xdr:spPr>
        <a:xfrm>
          <a:off x="10573200" y="475560"/>
          <a:ext cx="492840" cy="125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40680</xdr:colOff>
      <xdr:row>0</xdr:row>
      <xdr:rowOff>516960</xdr:rowOff>
    </xdr:from>
    <xdr:to>
      <xdr:col>5</xdr:col>
      <xdr:colOff>82080</xdr:colOff>
      <xdr:row>4</xdr:row>
      <xdr:rowOff>8640</xdr:rowOff>
    </xdr:to>
    <xdr:pic>
      <xdr:nvPicPr>
        <xdr:cNvPr id="5" name="Grafik 19" descr="Ampel_grün.png"/>
        <xdr:cNvPicPr/>
      </xdr:nvPicPr>
      <xdr:blipFill>
        <a:blip r:embed="rId6"/>
        <a:stretch/>
      </xdr:blipFill>
      <xdr:spPr>
        <a:xfrm>
          <a:off x="10565280" y="516960"/>
          <a:ext cx="500400" cy="1253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54360</xdr:colOff>
      <xdr:row>0</xdr:row>
      <xdr:rowOff>516960</xdr:rowOff>
    </xdr:from>
    <xdr:to>
      <xdr:col>5</xdr:col>
      <xdr:colOff>88920</xdr:colOff>
      <xdr:row>4</xdr:row>
      <xdr:rowOff>8640</xdr:rowOff>
    </xdr:to>
    <xdr:pic>
      <xdr:nvPicPr>
        <xdr:cNvPr id="6" name="Grafik 9" descr="Ampel_rot.png"/>
        <xdr:cNvPicPr/>
      </xdr:nvPicPr>
      <xdr:blipFill>
        <a:blip r:embed="rId7"/>
        <a:stretch/>
      </xdr:blipFill>
      <xdr:spPr>
        <a:xfrm>
          <a:off x="10578960" y="516960"/>
          <a:ext cx="493560" cy="125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54360</xdr:colOff>
      <xdr:row>0</xdr:row>
      <xdr:rowOff>506520</xdr:rowOff>
    </xdr:from>
    <xdr:to>
      <xdr:col>5</xdr:col>
      <xdr:colOff>94320</xdr:colOff>
      <xdr:row>4</xdr:row>
      <xdr:rowOff>6480</xdr:rowOff>
    </xdr:to>
    <xdr:pic>
      <xdr:nvPicPr>
        <xdr:cNvPr id="7" name="Grafik 19" descr="Ampel_grün.png"/>
        <xdr:cNvPicPr/>
      </xdr:nvPicPr>
      <xdr:blipFill>
        <a:blip r:embed="rId8"/>
        <a:stretch/>
      </xdr:blipFill>
      <xdr:spPr>
        <a:xfrm>
          <a:off x="10578960" y="506520"/>
          <a:ext cx="498960" cy="1262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54360</xdr:colOff>
      <xdr:row>0</xdr:row>
      <xdr:rowOff>506520</xdr:rowOff>
    </xdr:from>
    <xdr:to>
      <xdr:col>5</xdr:col>
      <xdr:colOff>88560</xdr:colOff>
      <xdr:row>4</xdr:row>
      <xdr:rowOff>13680</xdr:rowOff>
    </xdr:to>
    <xdr:pic>
      <xdr:nvPicPr>
        <xdr:cNvPr id="8" name="Grafik 17" descr="Ampel_gelb.png"/>
        <xdr:cNvPicPr/>
      </xdr:nvPicPr>
      <xdr:blipFill>
        <a:blip r:embed="rId9"/>
        <a:stretch/>
      </xdr:blipFill>
      <xdr:spPr>
        <a:xfrm>
          <a:off x="10578960" y="506520"/>
          <a:ext cx="493200" cy="12693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56520</xdr:rowOff>
    </xdr:from>
    <xdr:to>
      <xdr:col>3</xdr:col>
      <xdr:colOff>50760</xdr:colOff>
      <xdr:row>42</xdr:row>
      <xdr:rowOff>35280</xdr:rowOff>
    </xdr:to>
    <xdr:graphicFrame>
      <xdr:nvGraphicFramePr>
        <xdr:cNvPr id="9" name="Chart 1"/>
        <xdr:cNvGraphicFramePr/>
      </xdr:nvGraphicFramePr>
      <xdr:xfrm>
        <a:off x="0" y="4590360"/>
        <a:ext cx="5078520" cy="35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56520</xdr:rowOff>
    </xdr:from>
    <xdr:to>
      <xdr:col>9</xdr:col>
      <xdr:colOff>3240</xdr:colOff>
      <xdr:row>42</xdr:row>
      <xdr:rowOff>35280</xdr:rowOff>
    </xdr:to>
    <xdr:graphicFrame>
      <xdr:nvGraphicFramePr>
        <xdr:cNvPr id="10" name="Chart 2"/>
        <xdr:cNvGraphicFramePr/>
      </xdr:nvGraphicFramePr>
      <xdr:xfrm>
        <a:off x="7565400" y="4590360"/>
        <a:ext cx="5078160" cy="35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56520</xdr:rowOff>
    </xdr:from>
    <xdr:to>
      <xdr:col>4</xdr:col>
      <xdr:colOff>3240</xdr:colOff>
      <xdr:row>42</xdr:row>
      <xdr:rowOff>35280</xdr:rowOff>
    </xdr:to>
    <xdr:graphicFrame>
      <xdr:nvGraphicFramePr>
        <xdr:cNvPr id="11" name="Chart 1"/>
        <xdr:cNvGraphicFramePr/>
      </xdr:nvGraphicFramePr>
      <xdr:xfrm>
        <a:off x="0" y="4590360"/>
        <a:ext cx="5078160" cy="35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56520</xdr:rowOff>
    </xdr:from>
    <xdr:to>
      <xdr:col>9</xdr:col>
      <xdr:colOff>3240</xdr:colOff>
      <xdr:row>42</xdr:row>
      <xdr:rowOff>35280</xdr:rowOff>
    </xdr:to>
    <xdr:graphicFrame>
      <xdr:nvGraphicFramePr>
        <xdr:cNvPr id="12" name="Chart 2"/>
        <xdr:cNvGraphicFramePr/>
      </xdr:nvGraphicFramePr>
      <xdr:xfrm>
        <a:off x="6343560" y="4590360"/>
        <a:ext cx="5078160" cy="359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431640</xdr:colOff>
      <xdr:row>5</xdr:row>
      <xdr:rowOff>165240</xdr:rowOff>
    </xdr:from>
    <xdr:to>
      <xdr:col>15</xdr:col>
      <xdr:colOff>439920</xdr:colOff>
      <xdr:row>37</xdr:row>
      <xdr:rowOff>43200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8326080" y="1289160"/>
          <a:ext cx="7993440" cy="6031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A1:W134"/>
  <sheetViews>
    <sheetView showFormulas="false" showGridLines="false" showRowColHeaders="true" showZeros="true" rightToLeft="false" tabSelected="true" showOutlineSymbols="true" defaultGridColor="true" view="normal" topLeftCell="A76" colorId="64" zoomScale="138" zoomScaleNormal="138" zoomScalePageLayoutView="100" workbookViewId="0">
      <selection pane="topLeft" activeCell="S17" activeCellId="0" sqref="S17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92.66"/>
    <col collapsed="false" customWidth="true" hidden="false" outlineLevel="0" max="3" min="3" style="1" width="27.16"/>
    <col collapsed="false" customWidth="true" hidden="false" outlineLevel="0" max="4" min="4" style="1" width="22.33"/>
    <col collapsed="false" customWidth="true" hidden="false" outlineLevel="0" max="5" min="5" style="1" width="6.51"/>
    <col collapsed="false" customWidth="true" hidden="false" outlineLevel="0" max="6" min="6" style="1" width="16"/>
    <col collapsed="false" customWidth="true" hidden="false" outlineLevel="0" max="20" min="7" style="1" width="9.33"/>
    <col collapsed="false" customWidth="true" hidden="false" outlineLevel="0" max="21" min="21" style="1" width="13.67"/>
    <col collapsed="false" customWidth="true" hidden="false" outlineLevel="0" max="22" min="22" style="1" width="9.33"/>
    <col collapsed="false" customWidth="true" hidden="false" outlineLevel="0" max="23" min="23" style="1" width="9.16"/>
    <col collapsed="false" customWidth="true" hidden="false" outlineLevel="0" max="24" min="24" style="1" width="11.67"/>
    <col collapsed="false" customWidth="true" hidden="false" outlineLevel="0" max="25" min="25" style="1" width="14.67"/>
    <col collapsed="false" customWidth="true" hidden="false" outlineLevel="0" max="256" min="26" style="1" width="9.16"/>
    <col collapsed="false" customWidth="false" hidden="false" outlineLevel="0" max="16384" min="257" style="1" width="11.5"/>
  </cols>
  <sheetData>
    <row r="1" customFormat="false" ht="75.75" hidden="false" customHeight="true" outlineLevel="0" collapsed="false">
      <c r="A1" s="2" t="s">
        <v>0</v>
      </c>
      <c r="B1" s="2"/>
      <c r="C1" s="2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</row>
    <row r="2" customFormat="false" ht="21" hidden="false" customHeight="true" outlineLevel="0" collapsed="false">
      <c r="A2" s="6" t="s">
        <v>1</v>
      </c>
      <c r="B2" s="6"/>
      <c r="C2" s="7"/>
      <c r="D2" s="8"/>
      <c r="E2" s="8"/>
      <c r="F2" s="9"/>
      <c r="G2" s="9"/>
      <c r="H2" s="9"/>
      <c r="T2" s="10"/>
    </row>
    <row r="3" customFormat="false" ht="21" hidden="false" customHeight="true" outlineLevel="0" collapsed="false">
      <c r="A3" s="11"/>
      <c r="B3" s="12" t="s">
        <v>2</v>
      </c>
      <c r="C3" s="13"/>
      <c r="D3" s="14"/>
      <c r="E3" s="14"/>
      <c r="F3" s="15"/>
      <c r="G3" s="15"/>
      <c r="H3" s="15"/>
      <c r="T3" s="10"/>
    </row>
    <row r="4" customFormat="false" ht="21" hidden="false" customHeight="true" outlineLevel="0" collapsed="false">
      <c r="A4" s="6" t="s">
        <v>3</v>
      </c>
      <c r="B4" s="16"/>
      <c r="C4" s="7"/>
      <c r="F4" s="15"/>
      <c r="G4" s="15"/>
      <c r="H4" s="15"/>
      <c r="T4" s="10"/>
    </row>
    <row r="5" customFormat="false" ht="21" hidden="false" customHeight="true" outlineLevel="0" collapsed="false">
      <c r="A5" s="11" t="s">
        <v>4</v>
      </c>
      <c r="B5" s="12"/>
      <c r="C5" s="13"/>
      <c r="T5" s="10"/>
    </row>
    <row r="6" customFormat="false" ht="21" hidden="false" customHeight="true" outlineLevel="0" collapsed="false">
      <c r="A6" s="16" t="s">
        <v>5</v>
      </c>
      <c r="B6" s="17"/>
      <c r="C6" s="7"/>
      <c r="T6" s="10"/>
    </row>
    <row r="7" customFormat="false" ht="21" hidden="false" customHeight="true" outlineLevel="0" collapsed="false">
      <c r="A7" s="18"/>
      <c r="B7" s="19"/>
      <c r="C7" s="20"/>
      <c r="D7" s="21"/>
      <c r="E7" s="21"/>
      <c r="F7" s="21"/>
      <c r="G7" s="22" t="s">
        <v>6</v>
      </c>
      <c r="H7" s="23" t="s">
        <v>7</v>
      </c>
      <c r="I7" s="24" t="s">
        <v>8</v>
      </c>
      <c r="J7" s="25" t="s">
        <v>9</v>
      </c>
      <c r="K7" s="25" t="s">
        <v>10</v>
      </c>
      <c r="L7" s="25" t="s">
        <v>11</v>
      </c>
      <c r="M7" s="25" t="s">
        <v>12</v>
      </c>
      <c r="N7" s="25" t="s">
        <v>13</v>
      </c>
      <c r="O7" s="25" t="s">
        <v>14</v>
      </c>
      <c r="P7" s="25" t="s">
        <v>15</v>
      </c>
      <c r="Q7" s="25" t="s">
        <v>16</v>
      </c>
      <c r="R7" s="25" t="s">
        <v>17</v>
      </c>
      <c r="S7" s="26" t="s">
        <v>18</v>
      </c>
      <c r="T7" s="27"/>
      <c r="U7" s="28"/>
      <c r="V7" s="28"/>
    </row>
    <row r="8" customFormat="false" ht="15.75" hidden="false" customHeight="true" outlineLevel="0" collapsed="false">
      <c r="A8" s="6" t="s">
        <v>19</v>
      </c>
      <c r="B8" s="16"/>
      <c r="C8" s="29"/>
      <c r="D8" s="30" t="s">
        <v>20</v>
      </c>
      <c r="E8" s="30"/>
      <c r="F8" s="30"/>
      <c r="G8" s="31" t="n">
        <v>0.82</v>
      </c>
      <c r="H8" s="32" t="n">
        <v>0.84</v>
      </c>
      <c r="I8" s="33" t="n">
        <v>0.861</v>
      </c>
      <c r="J8" s="34"/>
      <c r="K8" s="35"/>
      <c r="L8" s="36"/>
      <c r="M8" s="37"/>
      <c r="N8" s="37"/>
      <c r="O8" s="38"/>
      <c r="P8" s="38"/>
      <c r="Q8" s="38"/>
      <c r="R8" s="38"/>
      <c r="S8" s="39"/>
      <c r="T8" s="40"/>
      <c r="U8" s="41"/>
      <c r="V8" s="41"/>
    </row>
    <row r="9" customFormat="false" ht="15.75" hidden="false" customHeight="true" outlineLevel="0" collapsed="false">
      <c r="A9" s="42"/>
      <c r="B9" s="43"/>
      <c r="C9" s="43"/>
      <c r="D9" s="44" t="s">
        <v>21</v>
      </c>
      <c r="E9" s="44"/>
      <c r="F9" s="44"/>
      <c r="G9" s="45" t="n">
        <v>0.1</v>
      </c>
      <c r="H9" s="32" t="n">
        <v>0.22</v>
      </c>
      <c r="I9" s="33" t="n">
        <v>0.487</v>
      </c>
      <c r="J9" s="34"/>
      <c r="K9" s="35"/>
      <c r="L9" s="35"/>
      <c r="M9" s="38"/>
      <c r="N9" s="38"/>
      <c r="O9" s="38"/>
      <c r="P9" s="38"/>
      <c r="Q9" s="38"/>
      <c r="R9" s="38"/>
      <c r="S9" s="39"/>
      <c r="T9" s="40"/>
      <c r="U9" s="41"/>
      <c r="V9" s="41"/>
    </row>
    <row r="10" customFormat="false" ht="15.75" hidden="false" customHeight="true" outlineLevel="0" collapsed="false">
      <c r="A10" s="46"/>
      <c r="B10" s="47" t="s">
        <v>22</v>
      </c>
      <c r="C10" s="48"/>
      <c r="D10" s="30" t="s">
        <v>23</v>
      </c>
      <c r="E10" s="30"/>
      <c r="F10" s="30"/>
      <c r="G10" s="31" t="s">
        <v>24</v>
      </c>
      <c r="H10" s="32" t="s">
        <v>24</v>
      </c>
      <c r="I10" s="33" t="n">
        <v>0.73</v>
      </c>
      <c r="J10" s="34"/>
      <c r="K10" s="35"/>
      <c r="L10" s="35"/>
      <c r="M10" s="38"/>
      <c r="N10" s="38"/>
      <c r="O10" s="38"/>
      <c r="P10" s="38"/>
      <c r="Q10" s="38"/>
      <c r="R10" s="38"/>
      <c r="S10" s="39"/>
      <c r="T10" s="40"/>
      <c r="U10" s="41"/>
      <c r="V10" s="41"/>
    </row>
    <row r="11" customFormat="false" ht="15.75" hidden="false" customHeight="true" outlineLevel="0" collapsed="false">
      <c r="A11" s="49"/>
      <c r="B11" s="49"/>
      <c r="C11" s="49"/>
      <c r="D11" s="30" t="s">
        <v>25</v>
      </c>
      <c r="E11" s="30"/>
      <c r="F11" s="30"/>
      <c r="G11" s="50" t="s">
        <v>24</v>
      </c>
      <c r="H11" s="51" t="s">
        <v>24</v>
      </c>
      <c r="I11" s="33" t="n">
        <v>0.46</v>
      </c>
      <c r="J11" s="34"/>
      <c r="K11" s="34"/>
      <c r="L11" s="34"/>
      <c r="M11" s="52"/>
      <c r="N11" s="52"/>
      <c r="O11" s="52"/>
      <c r="P11" s="52"/>
      <c r="Q11" s="52"/>
      <c r="R11" s="52"/>
      <c r="S11" s="39"/>
      <c r="T11" s="40"/>
      <c r="U11" s="41"/>
      <c r="V11" s="41"/>
    </row>
    <row r="12" customFormat="false" ht="15.75" hidden="false" customHeight="true" outlineLevel="0" collapsed="false">
      <c r="A12" s="49"/>
      <c r="B12" s="49"/>
      <c r="C12" s="49"/>
      <c r="D12" s="30" t="s">
        <v>26</v>
      </c>
      <c r="E12" s="53"/>
      <c r="F12" s="53"/>
      <c r="G12" s="50"/>
      <c r="H12" s="51"/>
      <c r="I12" s="54"/>
      <c r="J12" s="34"/>
      <c r="K12" s="34"/>
      <c r="L12" s="34"/>
      <c r="M12" s="52"/>
      <c r="N12" s="52"/>
      <c r="O12" s="52"/>
      <c r="P12" s="52"/>
      <c r="Q12" s="52"/>
      <c r="R12" s="52"/>
      <c r="S12" s="39"/>
      <c r="T12" s="40"/>
      <c r="U12" s="41"/>
      <c r="V12" s="41"/>
    </row>
    <row r="13" customFormat="false" ht="15.75" hidden="false" customHeight="true" outlineLevel="0" collapsed="false">
      <c r="A13" s="49"/>
      <c r="B13" s="49"/>
      <c r="C13" s="49"/>
      <c r="D13" s="30" t="s">
        <v>27</v>
      </c>
      <c r="E13" s="53"/>
      <c r="F13" s="53"/>
      <c r="G13" s="50"/>
      <c r="H13" s="51"/>
      <c r="I13" s="54"/>
      <c r="J13" s="34"/>
      <c r="K13" s="34"/>
      <c r="L13" s="34"/>
      <c r="M13" s="52"/>
      <c r="N13" s="52"/>
      <c r="O13" s="52"/>
      <c r="P13" s="52"/>
      <c r="Q13" s="52"/>
      <c r="R13" s="52"/>
      <c r="S13" s="39"/>
      <c r="T13" s="40"/>
      <c r="U13" s="41"/>
      <c r="V13" s="41"/>
    </row>
    <row r="14" customFormat="false" ht="15.75" hidden="false" customHeight="true" outlineLevel="0" collapsed="false">
      <c r="A14" s="55"/>
      <c r="D14" s="56" t="s">
        <v>28</v>
      </c>
      <c r="E14" s="56"/>
      <c r="F14" s="56"/>
      <c r="G14" s="50" t="s">
        <v>24</v>
      </c>
      <c r="H14" s="51" t="s">
        <v>24</v>
      </c>
      <c r="I14" s="54" t="n">
        <v>0.8</v>
      </c>
      <c r="J14" s="34"/>
      <c r="K14" s="35"/>
      <c r="L14" s="35"/>
      <c r="M14" s="57"/>
      <c r="N14" s="57"/>
      <c r="O14" s="57"/>
      <c r="P14" s="57"/>
      <c r="Q14" s="57"/>
      <c r="R14" s="57"/>
      <c r="S14" s="58"/>
      <c r="T14" s="40"/>
      <c r="U14" s="41"/>
      <c r="V14" s="41"/>
    </row>
    <row r="15" customFormat="false" ht="15.75" hidden="false" customHeight="true" outlineLevel="0" collapsed="false">
      <c r="A15" s="59"/>
      <c r="B15" s="43"/>
      <c r="C15" s="60"/>
      <c r="D15" s="61" t="s">
        <v>29</v>
      </c>
      <c r="E15" s="61"/>
      <c r="F15" s="61"/>
      <c r="G15" s="62" t="n">
        <v>0.95</v>
      </c>
      <c r="H15" s="62" t="n">
        <v>0.95</v>
      </c>
      <c r="I15" s="62" t="n">
        <v>0.95</v>
      </c>
      <c r="J15" s="62" t="n">
        <v>0.95</v>
      </c>
      <c r="K15" s="62" t="n">
        <v>0.95</v>
      </c>
      <c r="L15" s="62" t="n">
        <v>0.95</v>
      </c>
      <c r="M15" s="62" t="n">
        <v>0.95</v>
      </c>
      <c r="N15" s="62" t="n">
        <v>0.95</v>
      </c>
      <c r="O15" s="62" t="n">
        <v>0.95</v>
      </c>
      <c r="P15" s="62" t="n">
        <v>0.95</v>
      </c>
      <c r="Q15" s="62" t="n">
        <v>0.95</v>
      </c>
      <c r="R15" s="62" t="n">
        <v>0.95</v>
      </c>
      <c r="S15" s="63"/>
      <c r="T15" s="40"/>
      <c r="U15" s="41"/>
      <c r="V15" s="41"/>
    </row>
    <row r="16" customFormat="false" ht="15.75" hidden="false" customHeight="true" outlineLevel="0" collapsed="false">
      <c r="A16" s="64"/>
      <c r="B16" s="65"/>
      <c r="C16" s="65"/>
      <c r="D16" s="66" t="s">
        <v>30</v>
      </c>
      <c r="E16" s="67"/>
      <c r="F16" s="67"/>
      <c r="G16" s="68"/>
      <c r="H16" s="68"/>
      <c r="I16" s="69"/>
      <c r="J16" s="69"/>
      <c r="K16" s="69"/>
      <c r="L16" s="70" t="n">
        <v>0.7</v>
      </c>
      <c r="M16" s="71" t="n">
        <v>0.95</v>
      </c>
      <c r="N16" s="71" t="n">
        <v>0.95</v>
      </c>
      <c r="O16" s="71" t="n">
        <v>0.95</v>
      </c>
      <c r="P16" s="71" t="n">
        <v>0.95</v>
      </c>
      <c r="Q16" s="71" t="n">
        <v>0.95</v>
      </c>
      <c r="R16" s="71" t="n">
        <v>0.95</v>
      </c>
      <c r="S16" s="68"/>
      <c r="T16" s="72"/>
      <c r="U16" s="73"/>
      <c r="V16" s="73"/>
      <c r="W16" s="74"/>
    </row>
    <row r="17" customFormat="false" ht="33.75" hidden="false" customHeight="true" outlineLevel="0" collapsed="false">
      <c r="A17" s="75" t="s">
        <v>31</v>
      </c>
      <c r="B17" s="76" t="s">
        <v>32</v>
      </c>
      <c r="C17" s="77" t="s">
        <v>33</v>
      </c>
      <c r="D17" s="78" t="s">
        <v>34</v>
      </c>
      <c r="E17" s="78"/>
      <c r="F17" s="78"/>
      <c r="G17" s="79" t="s">
        <v>35</v>
      </c>
      <c r="H17" s="80" t="s">
        <v>36</v>
      </c>
      <c r="I17" s="81" t="s">
        <v>37</v>
      </c>
      <c r="J17" s="82" t="s">
        <v>38</v>
      </c>
      <c r="K17" s="82" t="s">
        <v>39</v>
      </c>
      <c r="L17" s="82" t="s">
        <v>40</v>
      </c>
      <c r="M17" s="82" t="s">
        <v>41</v>
      </c>
      <c r="N17" s="82" t="s">
        <v>42</v>
      </c>
      <c r="O17" s="82" t="s">
        <v>43</v>
      </c>
      <c r="P17" s="82" t="s">
        <v>44</v>
      </c>
      <c r="Q17" s="82" t="s">
        <v>45</v>
      </c>
      <c r="R17" s="82" t="s">
        <v>46</v>
      </c>
      <c r="S17" s="83" t="s">
        <v>18</v>
      </c>
      <c r="T17" s="40"/>
      <c r="U17" s="41"/>
      <c r="V17" s="41"/>
    </row>
    <row r="18" s="8" customFormat="true" ht="12.75" hidden="false" customHeight="true" outlineLevel="0" collapsed="false">
      <c r="A18" s="84" t="n">
        <v>1</v>
      </c>
      <c r="B18" s="85" t="s">
        <v>47</v>
      </c>
      <c r="C18" s="85" t="s">
        <v>48</v>
      </c>
      <c r="D18" s="85" t="s">
        <v>20</v>
      </c>
      <c r="E18" s="85"/>
      <c r="F18" s="85"/>
      <c r="G18" s="86" t="n">
        <f aca="false">'SC4 Data'!F5</f>
        <v>0.52</v>
      </c>
      <c r="H18" s="86" t="n">
        <f aca="false">'SC4 Data'!K5</f>
        <v>0.36</v>
      </c>
      <c r="I18" s="86" t="n">
        <f aca="false">'SC4 Data'!P5</f>
        <v>0.35</v>
      </c>
      <c r="J18" s="86" t="n">
        <f aca="false">'SC4 Data'!U5</f>
        <v>0.5</v>
      </c>
      <c r="K18" s="86" t="n">
        <f aca="false">'SC4 Data'!Z5</f>
        <v>0.552182163187856</v>
      </c>
      <c r="L18" s="86" t="n">
        <f aca="false">'SC4 Data'!AE5</f>
        <v>0.61</v>
      </c>
      <c r="M18" s="87" t="n">
        <f aca="false">'SC4 Data'!AJ5</f>
        <v>0</v>
      </c>
      <c r="N18" s="85"/>
      <c r="O18" s="85"/>
      <c r="P18" s="85"/>
      <c r="Q18" s="85"/>
      <c r="R18" s="85"/>
      <c r="S18" s="85"/>
    </row>
    <row r="19" s="8" customFormat="true" ht="12.75" hidden="false" customHeight="true" outlineLevel="0" collapsed="false">
      <c r="A19" s="84" t="n">
        <v>2</v>
      </c>
      <c r="B19" s="85" t="s">
        <v>47</v>
      </c>
      <c r="C19" s="85" t="s">
        <v>48</v>
      </c>
      <c r="D19" s="85" t="s">
        <v>21</v>
      </c>
      <c r="E19" s="85"/>
      <c r="F19" s="85"/>
      <c r="G19" s="86" t="n">
        <f aca="false">'SC4 Data'!G5</f>
        <v>0.52</v>
      </c>
      <c r="H19" s="86" t="n">
        <f aca="false">'SC4 Data'!L5</f>
        <v>0.36</v>
      </c>
      <c r="I19" s="86" t="n">
        <f aca="false">'SC4 Data'!Q5</f>
        <v>0.35</v>
      </c>
      <c r="J19" s="86" t="n">
        <f aca="false">'SC4 Data'!V5</f>
        <v>0.49</v>
      </c>
      <c r="K19" s="86" t="n">
        <f aca="false">'SC4 Data'!AA5</f>
        <v>0.546489563567362</v>
      </c>
      <c r="L19" s="86" t="n">
        <f aca="false">'SC4 Data'!AF5</f>
        <v>0.6</v>
      </c>
      <c r="M19" s="87" t="n">
        <f aca="false">'SC4 Data'!AK5</f>
        <v>0</v>
      </c>
      <c r="N19" s="85"/>
      <c r="O19" s="85"/>
      <c r="P19" s="85"/>
      <c r="Q19" s="85"/>
      <c r="R19" s="85"/>
      <c r="S19" s="85"/>
    </row>
    <row r="20" s="8" customFormat="true" ht="12.75" hidden="false" customHeight="true" outlineLevel="0" collapsed="false">
      <c r="A20" s="84" t="n">
        <v>3</v>
      </c>
      <c r="B20" s="85" t="s">
        <v>49</v>
      </c>
      <c r="C20" s="85" t="s">
        <v>48</v>
      </c>
      <c r="D20" s="85" t="s">
        <v>20</v>
      </c>
      <c r="E20" s="85"/>
      <c r="F20" s="85"/>
      <c r="G20" s="86" t="n">
        <f aca="false">'SC4 Data'!F6</f>
        <v>0.79</v>
      </c>
      <c r="H20" s="86" t="n">
        <f aca="false">'SC4 Data'!K6</f>
        <v>0.83</v>
      </c>
      <c r="I20" s="86" t="n">
        <f aca="false">'SC4 Data'!P6</f>
        <v>0.85</v>
      </c>
      <c r="J20" s="86" t="n">
        <f aca="false">'SC4 Data'!U6</f>
        <v>0.87</v>
      </c>
      <c r="K20" s="86" t="n">
        <f aca="false">'SC4 Data'!Z6</f>
        <v>0.846733668341708</v>
      </c>
      <c r="L20" s="86" t="n">
        <f aca="false">'SC4 Data'!AE6</f>
        <v>0.9</v>
      </c>
      <c r="M20" s="87" t="n">
        <f aca="false">'SC4 Data'!AJ6</f>
        <v>0</v>
      </c>
      <c r="N20" s="85"/>
      <c r="O20" s="85"/>
      <c r="P20" s="85"/>
      <c r="Q20" s="85"/>
      <c r="R20" s="85"/>
      <c r="S20" s="85"/>
    </row>
    <row r="21" customFormat="false" ht="12.75" hidden="false" customHeight="true" outlineLevel="0" collapsed="false">
      <c r="A21" s="84" t="n">
        <v>4</v>
      </c>
      <c r="B21" s="88" t="s">
        <v>49</v>
      </c>
      <c r="C21" s="88" t="s">
        <v>48</v>
      </c>
      <c r="D21" s="88" t="s">
        <v>21</v>
      </c>
      <c r="E21" s="88"/>
      <c r="F21" s="88"/>
      <c r="G21" s="86" t="n">
        <f aca="false">'SC4 Data'!G6</f>
        <v>0.41</v>
      </c>
      <c r="H21" s="86" t="n">
        <f aca="false">'SC4 Data'!L6</f>
        <v>0.36</v>
      </c>
      <c r="I21" s="86" t="n">
        <f aca="false">'SC4 Data'!Q6</f>
        <v>0.34</v>
      </c>
      <c r="J21" s="86" t="n">
        <f aca="false">'SC4 Data'!V6</f>
        <v>0.43</v>
      </c>
      <c r="K21" s="86" t="n">
        <f aca="false">'SC4 Data'!AA6</f>
        <v>0.527638190954774</v>
      </c>
      <c r="L21" s="86" t="n">
        <f aca="false">'SC4 Data'!AF6</f>
        <v>0.59</v>
      </c>
      <c r="M21" s="89" t="n">
        <f aca="false">'SC4 Data'!AK6</f>
        <v>0</v>
      </c>
      <c r="N21" s="88"/>
      <c r="O21" s="88"/>
      <c r="P21" s="88"/>
      <c r="Q21" s="88"/>
      <c r="R21" s="88"/>
      <c r="S21" s="88"/>
    </row>
    <row r="22" customFormat="false" ht="12.75" hidden="false" customHeight="true" outlineLevel="0" collapsed="false">
      <c r="A22" s="84" t="n">
        <v>5</v>
      </c>
      <c r="B22" s="88" t="s">
        <v>50</v>
      </c>
      <c r="C22" s="88" t="s">
        <v>48</v>
      </c>
      <c r="D22" s="88" t="s">
        <v>20</v>
      </c>
      <c r="E22" s="88"/>
      <c r="F22" s="88"/>
      <c r="G22" s="86" t="n">
        <f aca="false">'SC4 Data'!F7</f>
        <v>0.92</v>
      </c>
      <c r="H22" s="86" t="n">
        <f aca="false">'SC4 Data'!K7</f>
        <v>0.95</v>
      </c>
      <c r="I22" s="86" t="n">
        <f aca="false">'SC4 Data'!P7</f>
        <v>0.88</v>
      </c>
      <c r="J22" s="86" t="n">
        <f aca="false">'SC4 Data'!U7</f>
        <v>0.9</v>
      </c>
      <c r="K22" s="86" t="n">
        <f aca="false">'SC4 Data'!Z7</f>
        <v>0.889447236180904</v>
      </c>
      <c r="L22" s="86" t="n">
        <f aca="false">'SC4 Data'!AE7</f>
        <v>0.9</v>
      </c>
      <c r="M22" s="89" t="n">
        <f aca="false">'SC4 Data'!AJ7</f>
        <v>0</v>
      </c>
      <c r="N22" s="88"/>
      <c r="O22" s="88"/>
      <c r="P22" s="88"/>
      <c r="Q22" s="88"/>
      <c r="R22" s="88"/>
      <c r="S22" s="88"/>
    </row>
    <row r="23" customFormat="false" ht="12.75" hidden="false" customHeight="true" outlineLevel="0" collapsed="false">
      <c r="A23" s="84" t="n">
        <v>6</v>
      </c>
      <c r="B23" s="88" t="s">
        <v>50</v>
      </c>
      <c r="C23" s="88" t="s">
        <v>48</v>
      </c>
      <c r="D23" s="88" t="s">
        <v>21</v>
      </c>
      <c r="E23" s="88"/>
      <c r="F23" s="88"/>
      <c r="G23" s="86" t="n">
        <f aca="false">'SC4 Data'!G7</f>
        <v>0.17</v>
      </c>
      <c r="H23" s="86" t="n">
        <f aca="false">'SC4 Data'!L7</f>
        <v>0.39</v>
      </c>
      <c r="I23" s="86" t="n">
        <f aca="false">'SC4 Data'!Q7</f>
        <v>0.34</v>
      </c>
      <c r="J23" s="86" t="n">
        <f aca="false">'SC4 Data'!V7</f>
        <v>0.4</v>
      </c>
      <c r="K23" s="86" t="n">
        <f aca="false">'SC4 Data'!AA7</f>
        <v>0.329145728643216</v>
      </c>
      <c r="L23" s="86" t="n">
        <f aca="false">'SC4 Data'!AF7</f>
        <v>0.37</v>
      </c>
      <c r="M23" s="89" t="n">
        <f aca="false">'SC4 Data'!AK7</f>
        <v>0</v>
      </c>
      <c r="N23" s="88"/>
      <c r="O23" s="88"/>
      <c r="P23" s="88"/>
      <c r="Q23" s="88"/>
      <c r="R23" s="88"/>
      <c r="S23" s="88"/>
    </row>
    <row r="24" customFormat="false" ht="12.75" hidden="false" customHeight="true" outlineLevel="0" collapsed="false">
      <c r="A24" s="84" t="n">
        <v>7</v>
      </c>
      <c r="B24" s="88" t="s">
        <v>51</v>
      </c>
      <c r="C24" s="88" t="s">
        <v>52</v>
      </c>
      <c r="D24" s="88" t="s">
        <v>23</v>
      </c>
      <c r="E24" s="88"/>
      <c r="F24" s="88"/>
      <c r="G24" s="86" t="n">
        <f aca="false">'SC4 Data'!F8</f>
        <v>0.61</v>
      </c>
      <c r="H24" s="86" t="n">
        <f aca="false">'SC4 Data'!K8</f>
        <v>0.37</v>
      </c>
      <c r="I24" s="86" t="n">
        <f aca="false">'SC4 Data'!P8</f>
        <v>0.41</v>
      </c>
      <c r="J24" s="86" t="n">
        <f aca="false">'SC4 Data'!U8</f>
        <v>0.61</v>
      </c>
      <c r="K24" s="86" t="n">
        <f aca="false">'SC4 Data'!Z8</f>
        <v>0.67741935483871</v>
      </c>
      <c r="L24" s="86" t="n">
        <f aca="false">'SC4 Data'!AE8</f>
        <v>0.73</v>
      </c>
      <c r="M24" s="89" t="n">
        <f aca="false">'SC4 Data'!AJ8</f>
        <v>0</v>
      </c>
      <c r="N24" s="88"/>
      <c r="O24" s="88"/>
      <c r="P24" s="88"/>
      <c r="Q24" s="88"/>
      <c r="R24" s="88"/>
      <c r="S24" s="88"/>
    </row>
    <row r="25" customFormat="false" ht="12.75" hidden="false" customHeight="true" outlineLevel="0" collapsed="false">
      <c r="A25" s="84" t="n">
        <v>8</v>
      </c>
      <c r="B25" s="88" t="s">
        <v>51</v>
      </c>
      <c r="C25" s="88" t="s">
        <v>52</v>
      </c>
      <c r="D25" s="88" t="s">
        <v>25</v>
      </c>
      <c r="E25" s="88"/>
      <c r="F25" s="88"/>
      <c r="G25" s="86" t="n">
        <f aca="false">'SC4 Data'!G8</f>
        <v>0.27</v>
      </c>
      <c r="H25" s="86" t="n">
        <f aca="false">'SC4 Data'!L8</f>
        <v>0.18</v>
      </c>
      <c r="I25" s="86" t="n">
        <f aca="false">'SC4 Data'!Q8</f>
        <v>0.15</v>
      </c>
      <c r="J25" s="86" t="n">
        <f aca="false">'SC4 Data'!V8</f>
        <v>0.31</v>
      </c>
      <c r="K25" s="86" t="n">
        <f aca="false">'SC4 Data'!AA8</f>
        <v>0.313092979127135</v>
      </c>
      <c r="L25" s="86" t="n">
        <f aca="false">'SC4 Data'!AF8</f>
        <v>0.41</v>
      </c>
      <c r="M25" s="89" t="n">
        <f aca="false">'SC4 Data'!AK8</f>
        <v>0</v>
      </c>
      <c r="N25" s="88"/>
      <c r="O25" s="88"/>
      <c r="P25" s="88"/>
      <c r="Q25" s="88"/>
      <c r="R25" s="88"/>
      <c r="S25" s="88"/>
    </row>
    <row r="26" customFormat="false" ht="12.75" hidden="false" customHeight="true" outlineLevel="0" collapsed="false">
      <c r="A26" s="84" t="n">
        <v>9</v>
      </c>
      <c r="B26" s="88" t="s">
        <v>53</v>
      </c>
      <c r="C26" s="88" t="s">
        <v>52</v>
      </c>
      <c r="D26" s="88" t="s">
        <v>23</v>
      </c>
      <c r="E26" s="88"/>
      <c r="F26" s="88"/>
      <c r="G26" s="86" t="n">
        <f aca="false">'SC4 Data'!F9</f>
        <v>0.96</v>
      </c>
      <c r="H26" s="86" t="n">
        <f aca="false">'SC4 Data'!K9</f>
        <v>0.91</v>
      </c>
      <c r="I26" s="86" t="n">
        <f aca="false">'SC4 Data'!P9</f>
        <v>0.83</v>
      </c>
      <c r="J26" s="86" t="n">
        <f aca="false">'SC4 Data'!U9</f>
        <v>0.88</v>
      </c>
      <c r="K26" s="86" t="n">
        <f aca="false">'SC4 Data'!Z9</f>
        <v>0.813106796116505</v>
      </c>
      <c r="L26" s="86" t="n">
        <f aca="false">'SC4 Data'!AE9</f>
        <v>0.9</v>
      </c>
      <c r="M26" s="89" t="n">
        <f aca="false">'SC4 Data'!AJ9</f>
        <v>0</v>
      </c>
      <c r="N26" s="88"/>
      <c r="O26" s="88"/>
      <c r="P26" s="88"/>
      <c r="Q26" s="88"/>
      <c r="R26" s="88"/>
      <c r="S26" s="88"/>
    </row>
    <row r="27" customFormat="false" ht="12.75" hidden="false" customHeight="true" outlineLevel="0" collapsed="false">
      <c r="A27" s="84" t="n">
        <v>10</v>
      </c>
      <c r="B27" s="88" t="s">
        <v>53</v>
      </c>
      <c r="C27" s="88" t="s">
        <v>52</v>
      </c>
      <c r="D27" s="88" t="s">
        <v>25</v>
      </c>
      <c r="E27" s="88"/>
      <c r="F27" s="88"/>
      <c r="G27" s="86" t="n">
        <f aca="false">'SC4 Data'!G9</f>
        <v>0.64</v>
      </c>
      <c r="H27" s="86" t="n">
        <f aca="false">'SC4 Data'!L9</f>
        <v>0.53</v>
      </c>
      <c r="I27" s="86" t="n">
        <f aca="false">'SC4 Data'!Q9</f>
        <v>0.51</v>
      </c>
      <c r="J27" s="86" t="n">
        <f aca="false">'SC4 Data'!V9</f>
        <v>0.49</v>
      </c>
      <c r="K27" s="86" t="n">
        <f aca="false">'SC4 Data'!AA9</f>
        <v>0.470873786407767</v>
      </c>
      <c r="L27" s="86" t="n">
        <f aca="false">'SC4 Data'!AF9</f>
        <v>0.53</v>
      </c>
      <c r="M27" s="89" t="n">
        <f aca="false">'SC4 Data'!AK9</f>
        <v>0</v>
      </c>
      <c r="N27" s="88"/>
      <c r="O27" s="88"/>
      <c r="P27" s="88"/>
      <c r="Q27" s="88"/>
      <c r="R27" s="88"/>
      <c r="S27" s="88"/>
    </row>
    <row r="28" customFormat="false" ht="12.75" hidden="false" customHeight="true" outlineLevel="0" collapsed="false">
      <c r="A28" s="84" t="n">
        <v>11</v>
      </c>
      <c r="B28" s="88" t="s">
        <v>54</v>
      </c>
      <c r="C28" s="88" t="s">
        <v>52</v>
      </c>
      <c r="D28" s="88" t="s">
        <v>23</v>
      </c>
      <c r="E28" s="88"/>
      <c r="F28" s="88"/>
      <c r="G28" s="86" t="n">
        <f aca="false">'SC4 Data'!F10</f>
        <v>0.68</v>
      </c>
      <c r="H28" s="86" t="n">
        <f aca="false">'SC4 Data'!K10</f>
        <v>0.44</v>
      </c>
      <c r="I28" s="86" t="n">
        <f aca="false">'SC4 Data'!P10</f>
        <v>0.46</v>
      </c>
      <c r="J28" s="86" t="n">
        <f aca="false">'SC4 Data'!U10</f>
        <v>0.68</v>
      </c>
      <c r="K28" s="86" t="n">
        <f aca="false">'SC4 Data'!Z10</f>
        <v>0.70873786407767</v>
      </c>
      <c r="L28" s="86" t="n">
        <f aca="false">'SC4 Data'!AE10</f>
        <v>0.82</v>
      </c>
      <c r="M28" s="89" t="n">
        <f aca="false">'SC4 Data'!AJ10</f>
        <v>0</v>
      </c>
      <c r="N28" s="88"/>
      <c r="O28" s="88"/>
      <c r="P28" s="88"/>
      <c r="Q28" s="88"/>
      <c r="R28" s="88"/>
      <c r="S28" s="88"/>
    </row>
    <row r="29" customFormat="false" ht="12.75" hidden="false" customHeight="true" outlineLevel="0" collapsed="false">
      <c r="A29" s="84" t="n">
        <v>12</v>
      </c>
      <c r="B29" s="88" t="s">
        <v>54</v>
      </c>
      <c r="C29" s="88" t="s">
        <v>52</v>
      </c>
      <c r="D29" s="88" t="s">
        <v>25</v>
      </c>
      <c r="E29" s="88"/>
      <c r="F29" s="88"/>
      <c r="G29" s="86" t="n">
        <f aca="false">'SC4 Data'!G10</f>
        <v>0.47</v>
      </c>
      <c r="H29" s="86" t="n">
        <f aca="false">'SC4 Data'!L10</f>
        <v>0.27</v>
      </c>
      <c r="I29" s="86" t="n">
        <f aca="false">'SC4 Data'!Q10</f>
        <v>0.3</v>
      </c>
      <c r="J29" s="86" t="n">
        <f aca="false">'SC4 Data'!V10</f>
        <v>0.36</v>
      </c>
      <c r="K29" s="86" t="n">
        <f aca="false">'SC4 Data'!AA10</f>
        <v>0.398058252427184</v>
      </c>
      <c r="L29" s="86" t="n">
        <f aca="false">'SC4 Data'!AF10</f>
        <v>0.45</v>
      </c>
      <c r="M29" s="89" t="n">
        <f aca="false">'SC4 Data'!AK10</f>
        <v>0</v>
      </c>
      <c r="N29" s="88"/>
      <c r="O29" s="88"/>
      <c r="P29" s="88"/>
      <c r="Q29" s="88"/>
      <c r="R29" s="88"/>
      <c r="S29" s="88"/>
    </row>
    <row r="30" customFormat="false" ht="12.75" hidden="false" customHeight="true" outlineLevel="0" collapsed="false">
      <c r="A30" s="84" t="n">
        <v>13</v>
      </c>
      <c r="B30" s="88" t="s">
        <v>55</v>
      </c>
      <c r="C30" s="88" t="s">
        <v>52</v>
      </c>
      <c r="D30" s="88" t="s">
        <v>23</v>
      </c>
      <c r="E30" s="88"/>
      <c r="F30" s="88"/>
      <c r="G30" s="86" t="n">
        <f aca="false">'SC4 Data'!F11</f>
        <v>0.71</v>
      </c>
      <c r="H30" s="86" t="n">
        <f aca="false">'SC4 Data'!K11</f>
        <v>0.61</v>
      </c>
      <c r="I30" s="86" t="n">
        <f aca="false">'SC4 Data'!P11</f>
        <v>0.61</v>
      </c>
      <c r="J30" s="86" t="n">
        <f aca="false">'SC4 Data'!U11</f>
        <v>0.75</v>
      </c>
      <c r="K30" s="86" t="n">
        <f aca="false">'SC4 Data'!Z11</f>
        <v>0.768500948766603</v>
      </c>
      <c r="L30" s="86" t="n">
        <f aca="false">'SC4 Data'!AE11</f>
        <v>0.79</v>
      </c>
      <c r="M30" s="89" t="n">
        <f aca="false">'SC4 Data'!AJ11</f>
        <v>0</v>
      </c>
      <c r="N30" s="88"/>
      <c r="O30" s="88"/>
      <c r="P30" s="88"/>
      <c r="Q30" s="88"/>
      <c r="R30" s="88"/>
      <c r="S30" s="88"/>
    </row>
    <row r="31" customFormat="false" ht="12.75" hidden="false" customHeight="true" outlineLevel="0" collapsed="false">
      <c r="A31" s="84" t="n">
        <v>14</v>
      </c>
      <c r="B31" s="88" t="s">
        <v>55</v>
      </c>
      <c r="C31" s="88" t="s">
        <v>52</v>
      </c>
      <c r="D31" s="88" t="s">
        <v>25</v>
      </c>
      <c r="E31" s="88"/>
      <c r="F31" s="88"/>
      <c r="G31" s="86" t="n">
        <f aca="false">'SC4 Data'!G11</f>
        <v>0.51</v>
      </c>
      <c r="H31" s="86" t="n">
        <f aca="false">'SC4 Data'!L11</f>
        <v>0.47</v>
      </c>
      <c r="I31" s="86" t="n">
        <f aca="false">'SC4 Data'!Q11</f>
        <v>0.48</v>
      </c>
      <c r="J31" s="86" t="n">
        <f aca="false">'SC4 Data'!V11</f>
        <v>0.61</v>
      </c>
      <c r="K31" s="86" t="n">
        <f aca="false">'SC4 Data'!AA11</f>
        <v>0.61100569259962</v>
      </c>
      <c r="L31" s="86" t="n">
        <f aca="false">'SC4 Data'!AF11</f>
        <v>0.67</v>
      </c>
      <c r="M31" s="89" t="n">
        <f aca="false">'SC4 Data'!AK11</f>
        <v>0</v>
      </c>
      <c r="N31" s="88"/>
      <c r="O31" s="88"/>
      <c r="P31" s="88"/>
      <c r="Q31" s="88"/>
      <c r="R31" s="88"/>
      <c r="S31" s="88"/>
    </row>
    <row r="32" customFormat="false" ht="12.75" hidden="false" customHeight="true" outlineLevel="0" collapsed="false">
      <c r="A32" s="84" t="n">
        <v>15</v>
      </c>
      <c r="B32" s="88" t="s">
        <v>56</v>
      </c>
      <c r="C32" s="88" t="s">
        <v>52</v>
      </c>
      <c r="D32" s="88" t="s">
        <v>23</v>
      </c>
      <c r="E32" s="88"/>
      <c r="F32" s="88"/>
      <c r="G32" s="86" t="n">
        <f aca="false">'SC4 Data'!F12</f>
        <v>0.7</v>
      </c>
      <c r="H32" s="86" t="n">
        <f aca="false">'SC4 Data'!K12</f>
        <v>0.42</v>
      </c>
      <c r="I32" s="86" t="n">
        <f aca="false">'SC4 Data'!P12</f>
        <v>0.42</v>
      </c>
      <c r="J32" s="86" t="n">
        <f aca="false">'SC4 Data'!U12</f>
        <v>0.57</v>
      </c>
      <c r="K32" s="86" t="n">
        <f aca="false">'SC4 Data'!Z12</f>
        <v>0.594660194174757</v>
      </c>
      <c r="L32" s="86" t="n">
        <f aca="false">'SC4 Data'!AE12</f>
        <v>0.62</v>
      </c>
      <c r="M32" s="89" t="n">
        <f aca="false">'SC4 Data'!AJ12</f>
        <v>0</v>
      </c>
      <c r="N32" s="88"/>
      <c r="O32" s="88"/>
      <c r="P32" s="88"/>
      <c r="Q32" s="88"/>
      <c r="R32" s="88"/>
      <c r="S32" s="88"/>
    </row>
    <row r="33" customFormat="false" ht="12.75" hidden="false" customHeight="true" outlineLevel="0" collapsed="false">
      <c r="A33" s="84" t="n">
        <v>16</v>
      </c>
      <c r="B33" s="88" t="s">
        <v>56</v>
      </c>
      <c r="C33" s="88" t="s">
        <v>52</v>
      </c>
      <c r="D33" s="88" t="s">
        <v>25</v>
      </c>
      <c r="E33" s="88"/>
      <c r="F33" s="88"/>
      <c r="G33" s="86" t="n">
        <f aca="false">'SC4 Data'!G12</f>
        <v>0.29</v>
      </c>
      <c r="H33" s="86" t="n">
        <f aca="false">'SC4 Data'!L12</f>
        <v>0.27</v>
      </c>
      <c r="I33" s="86" t="n">
        <f aca="false">'SC4 Data'!Q12</f>
        <v>0.17</v>
      </c>
      <c r="J33" s="86" t="n">
        <f aca="false">'SC4 Data'!V12</f>
        <v>0.3</v>
      </c>
      <c r="K33" s="86" t="n">
        <f aca="false">'SC4 Data'!AA12</f>
        <v>0.327669902912621</v>
      </c>
      <c r="L33" s="86" t="n">
        <f aca="false">'SC4 Data'!AF12</f>
        <v>0.36</v>
      </c>
      <c r="M33" s="89" t="n">
        <f aca="false">'SC4 Data'!AK12</f>
        <v>0</v>
      </c>
      <c r="N33" s="88"/>
      <c r="O33" s="88"/>
      <c r="P33" s="88"/>
      <c r="Q33" s="88"/>
      <c r="R33" s="88"/>
      <c r="S33" s="88"/>
    </row>
    <row r="34" customFormat="false" ht="12.75" hidden="false" customHeight="true" outlineLevel="0" collapsed="false">
      <c r="A34" s="84" t="n">
        <v>17</v>
      </c>
      <c r="B34" s="88" t="s">
        <v>57</v>
      </c>
      <c r="C34" s="88" t="s">
        <v>52</v>
      </c>
      <c r="D34" s="88" t="s">
        <v>23</v>
      </c>
      <c r="E34" s="88"/>
      <c r="F34" s="88"/>
      <c r="G34" s="86" t="n">
        <f aca="false">'SC4 Data'!F13</f>
        <v>0.9</v>
      </c>
      <c r="H34" s="86" t="n">
        <f aca="false">'SC4 Data'!K13</f>
        <v>0.92</v>
      </c>
      <c r="I34" s="86" t="n">
        <f aca="false">'SC4 Data'!P13</f>
        <v>0.77</v>
      </c>
      <c r="J34" s="86" t="n">
        <f aca="false">'SC4 Data'!U13</f>
        <v>0.71</v>
      </c>
      <c r="K34" s="86" t="n">
        <f aca="false">'SC4 Data'!Z13</f>
        <v>0.789237668161435</v>
      </c>
      <c r="L34" s="86" t="n">
        <f aca="false">'SC4 Data'!AE13</f>
        <v>0.67</v>
      </c>
      <c r="M34" s="89" t="n">
        <f aca="false">'SC4 Data'!AJ13</f>
        <v>0</v>
      </c>
      <c r="N34" s="88"/>
      <c r="O34" s="88"/>
      <c r="P34" s="88"/>
      <c r="Q34" s="88"/>
      <c r="R34" s="88"/>
      <c r="S34" s="88"/>
    </row>
    <row r="35" customFormat="false" ht="12.75" hidden="false" customHeight="true" outlineLevel="0" collapsed="false">
      <c r="A35" s="84" t="n">
        <v>18</v>
      </c>
      <c r="B35" s="88" t="s">
        <v>57</v>
      </c>
      <c r="C35" s="88" t="s">
        <v>52</v>
      </c>
      <c r="D35" s="88" t="s">
        <v>25</v>
      </c>
      <c r="E35" s="88"/>
      <c r="F35" s="88"/>
      <c r="G35" s="86" t="n">
        <f aca="false">'SC4 Data'!G13</f>
        <v>0.4</v>
      </c>
      <c r="H35" s="86" t="n">
        <f aca="false">'SC4 Data'!L13</f>
        <v>0.64</v>
      </c>
      <c r="I35" s="86" t="n">
        <f aca="false">'SC4 Data'!Q13</f>
        <v>0.42</v>
      </c>
      <c r="J35" s="86" t="n">
        <f aca="false">'SC4 Data'!V13</f>
        <v>0.33</v>
      </c>
      <c r="K35" s="86" t="n">
        <f aca="false">'SC4 Data'!AA13</f>
        <v>0.439461883408072</v>
      </c>
      <c r="L35" s="86" t="n">
        <f aca="false">'SC4 Data'!AF13</f>
        <v>0.44</v>
      </c>
      <c r="M35" s="89" t="n">
        <f aca="false">'SC4 Data'!AK13</f>
        <v>0</v>
      </c>
      <c r="N35" s="88"/>
      <c r="O35" s="88"/>
      <c r="P35" s="88"/>
      <c r="Q35" s="88"/>
      <c r="R35" s="88"/>
      <c r="S35" s="88"/>
    </row>
    <row r="36" customFormat="false" ht="12.75" hidden="false" customHeight="true" outlineLevel="0" collapsed="false">
      <c r="A36" s="84" t="n">
        <v>19</v>
      </c>
      <c r="B36" s="88" t="s">
        <v>58</v>
      </c>
      <c r="C36" s="88" t="s">
        <v>48</v>
      </c>
      <c r="D36" s="88" t="s">
        <v>20</v>
      </c>
      <c r="E36" s="88"/>
      <c r="F36" s="88"/>
      <c r="G36" s="86" t="n">
        <f aca="false">'SC4 Data'!F14</f>
        <v>0.99</v>
      </c>
      <c r="H36" s="86" t="n">
        <f aca="false">'SC4 Data'!K14</f>
        <v>0.99</v>
      </c>
      <c r="I36" s="86" t="n">
        <f aca="false">'SC4 Data'!P14</f>
        <v>0.96</v>
      </c>
      <c r="J36" s="86" t="n">
        <f aca="false">'SC4 Data'!U14</f>
        <v>0.97</v>
      </c>
      <c r="K36" s="86" t="n">
        <f aca="false">'SC4 Data'!Z14</f>
        <v>0.956356736242884</v>
      </c>
      <c r="L36" s="86" t="n">
        <f aca="false">'SC4 Data'!AE14</f>
        <v>0.97</v>
      </c>
      <c r="M36" s="89" t="n">
        <f aca="false">'SC4 Data'!AJ14</f>
        <v>0</v>
      </c>
      <c r="N36" s="88"/>
      <c r="O36" s="88"/>
      <c r="P36" s="88"/>
      <c r="Q36" s="88"/>
      <c r="R36" s="88"/>
      <c r="S36" s="88"/>
    </row>
    <row r="37" customFormat="false" ht="12.75" hidden="false" customHeight="true" outlineLevel="0" collapsed="false">
      <c r="A37" s="84" t="n">
        <v>20</v>
      </c>
      <c r="B37" s="88" t="s">
        <v>58</v>
      </c>
      <c r="C37" s="88" t="s">
        <v>48</v>
      </c>
      <c r="D37" s="88" t="s">
        <v>21</v>
      </c>
      <c r="E37" s="88"/>
      <c r="F37" s="88"/>
      <c r="G37" s="86" t="n">
        <f aca="false">'SC4 Data'!G14</f>
        <v>0.38</v>
      </c>
      <c r="H37" s="86" t="n">
        <f aca="false">'SC4 Data'!L14</f>
        <v>0.43</v>
      </c>
      <c r="I37" s="86" t="n">
        <f aca="false">'SC4 Data'!Q14</f>
        <v>0.37</v>
      </c>
      <c r="J37" s="86" t="n">
        <f aca="false">'SC4 Data'!V14</f>
        <v>0.43</v>
      </c>
      <c r="K37" s="86" t="n">
        <f aca="false">'SC4 Data'!AA14</f>
        <v>0.487666034155598</v>
      </c>
      <c r="L37" s="86" t="n">
        <f aca="false">'SC4 Data'!AF14</f>
        <v>0.53</v>
      </c>
      <c r="M37" s="89" t="n">
        <f aca="false">'SC4 Data'!AK14</f>
        <v>0</v>
      </c>
      <c r="N37" s="88"/>
      <c r="O37" s="88"/>
      <c r="P37" s="88"/>
      <c r="Q37" s="88"/>
      <c r="R37" s="88"/>
      <c r="S37" s="88"/>
    </row>
    <row r="38" customFormat="false" ht="12.75" hidden="false" customHeight="true" outlineLevel="0" collapsed="false">
      <c r="A38" s="84" t="n">
        <v>21</v>
      </c>
      <c r="B38" s="88" t="s">
        <v>59</v>
      </c>
      <c r="C38" s="88" t="s">
        <v>48</v>
      </c>
      <c r="D38" s="88" t="s">
        <v>20</v>
      </c>
      <c r="E38" s="88"/>
      <c r="F38" s="88"/>
      <c r="G38" s="86" t="n">
        <f aca="false">'SC4 Data'!F15</f>
        <v>0.96</v>
      </c>
      <c r="H38" s="86" t="n">
        <f aca="false">'SC4 Data'!K15</f>
        <v>0.93</v>
      </c>
      <c r="I38" s="86" t="n">
        <f aca="false">'SC4 Data'!P15</f>
        <v>0.83</v>
      </c>
      <c r="J38" s="86" t="n">
        <f aca="false">'SC4 Data'!U15</f>
        <v>0.88</v>
      </c>
      <c r="K38" s="86" t="n">
        <f aca="false">'SC4 Data'!Z15</f>
        <v>0.893738140417457</v>
      </c>
      <c r="L38" s="86" t="n">
        <f aca="false">'SC4 Data'!AE15</f>
        <v>0.88</v>
      </c>
      <c r="M38" s="89" t="n">
        <f aca="false">'SC4 Data'!AJ15</f>
        <v>0</v>
      </c>
      <c r="N38" s="88"/>
      <c r="O38" s="88"/>
      <c r="P38" s="88"/>
      <c r="Q38" s="88"/>
      <c r="R38" s="88"/>
      <c r="S38" s="88"/>
    </row>
    <row r="39" customFormat="false" ht="12.75" hidden="false" customHeight="true" outlineLevel="0" collapsed="false">
      <c r="A39" s="84" t="n">
        <v>22</v>
      </c>
      <c r="B39" s="88" t="s">
        <v>59</v>
      </c>
      <c r="C39" s="88" t="s">
        <v>48</v>
      </c>
      <c r="D39" s="88" t="s">
        <v>21</v>
      </c>
      <c r="E39" s="88"/>
      <c r="F39" s="88"/>
      <c r="G39" s="86" t="n">
        <f aca="false">'SC4 Data'!G15</f>
        <v>0.83</v>
      </c>
      <c r="H39" s="86" t="n">
        <f aca="false">'SC4 Data'!L15</f>
        <v>0.55</v>
      </c>
      <c r="I39" s="86" t="n">
        <f aca="false">'SC4 Data'!Q15</f>
        <v>0.52</v>
      </c>
      <c r="J39" s="86" t="n">
        <f aca="false">'SC4 Data'!V15</f>
        <v>0.54</v>
      </c>
      <c r="K39" s="86" t="n">
        <f aca="false">'SC4 Data'!AA15</f>
        <v>0.49146110056926</v>
      </c>
      <c r="L39" s="86" t="n">
        <f aca="false">'SC4 Data'!AF15</f>
        <v>0.58</v>
      </c>
      <c r="M39" s="89" t="n">
        <f aca="false">'SC4 Data'!AK15</f>
        <v>0</v>
      </c>
      <c r="N39" s="88"/>
      <c r="O39" s="88"/>
      <c r="P39" s="88"/>
      <c r="Q39" s="88"/>
      <c r="R39" s="88"/>
      <c r="S39" s="88"/>
    </row>
    <row r="40" customFormat="false" ht="12.75" hidden="false" customHeight="true" outlineLevel="0" collapsed="false">
      <c r="A40" s="84" t="n">
        <v>23</v>
      </c>
      <c r="B40" s="88" t="s">
        <v>60</v>
      </c>
      <c r="C40" s="88" t="s">
        <v>48</v>
      </c>
      <c r="D40" s="88" t="s">
        <v>20</v>
      </c>
      <c r="E40" s="88"/>
      <c r="F40" s="88"/>
      <c r="G40" s="86" t="n">
        <f aca="false">'SC4 Data'!F16</f>
        <v>1</v>
      </c>
      <c r="H40" s="86" t="n">
        <f aca="false">'SC4 Data'!K16</f>
        <v>0.96</v>
      </c>
      <c r="I40" s="86" t="n">
        <f aca="false">'SC4 Data'!P16</f>
        <v>0.93</v>
      </c>
      <c r="J40" s="86" t="n">
        <f aca="false">'SC4 Data'!U16</f>
        <v>0.94</v>
      </c>
      <c r="K40" s="86" t="n">
        <f aca="false">'SC4 Data'!Z16</f>
        <v>0.927893738140417</v>
      </c>
      <c r="L40" s="86" t="n">
        <f aca="false">'SC4 Data'!AE16</f>
        <v>0.96</v>
      </c>
      <c r="M40" s="89" t="n">
        <f aca="false">'SC4 Data'!AJ16</f>
        <v>0</v>
      </c>
      <c r="N40" s="88"/>
      <c r="O40" s="88"/>
      <c r="P40" s="88"/>
      <c r="Q40" s="88"/>
      <c r="R40" s="88"/>
      <c r="S40" s="88"/>
    </row>
    <row r="41" customFormat="false" ht="12.75" hidden="false" customHeight="true" outlineLevel="0" collapsed="false">
      <c r="A41" s="84" t="n">
        <v>24</v>
      </c>
      <c r="B41" s="88" t="s">
        <v>60</v>
      </c>
      <c r="C41" s="88" t="s">
        <v>48</v>
      </c>
      <c r="D41" s="88" t="s">
        <v>21</v>
      </c>
      <c r="E41" s="88"/>
      <c r="F41" s="88"/>
      <c r="G41" s="86" t="n">
        <f aca="false">'SC4 Data'!G16</f>
        <v>0.26</v>
      </c>
      <c r="H41" s="86" t="n">
        <f aca="false">'SC4 Data'!L16</f>
        <v>0.21</v>
      </c>
      <c r="I41" s="86" t="n">
        <f aca="false">'SC4 Data'!Q16</f>
        <v>0.18</v>
      </c>
      <c r="J41" s="86" t="n">
        <f aca="false">'SC4 Data'!V16</f>
        <v>0.22</v>
      </c>
      <c r="K41" s="86" t="n">
        <f aca="false">'SC4 Data'!AA16</f>
        <v>0.214421252371917</v>
      </c>
      <c r="L41" s="86" t="n">
        <f aca="false">'SC4 Data'!AF16</f>
        <v>0.13</v>
      </c>
      <c r="M41" s="89" t="n">
        <f aca="false">'SC4 Data'!AK16</f>
        <v>0</v>
      </c>
      <c r="N41" s="88"/>
      <c r="O41" s="88"/>
      <c r="P41" s="88"/>
      <c r="Q41" s="88"/>
      <c r="R41" s="88"/>
      <c r="S41" s="88"/>
    </row>
    <row r="42" customFormat="false" ht="12.75" hidden="false" customHeight="true" outlineLevel="0" collapsed="false">
      <c r="A42" s="84" t="n">
        <v>25</v>
      </c>
      <c r="B42" s="88" t="s">
        <v>61</v>
      </c>
      <c r="C42" s="88" t="s">
        <v>48</v>
      </c>
      <c r="D42" s="88" t="s">
        <v>20</v>
      </c>
      <c r="E42" s="88"/>
      <c r="F42" s="88"/>
      <c r="G42" s="86" t="n">
        <f aca="false">'SC4 Data'!F17</f>
        <v>0.83</v>
      </c>
      <c r="H42" s="86" t="n">
        <f aca="false">'SC4 Data'!K17</f>
        <v>0.83</v>
      </c>
      <c r="I42" s="86" t="n">
        <f aca="false">'SC4 Data'!P17</f>
        <v>0.81</v>
      </c>
      <c r="J42" s="86" t="n">
        <f aca="false">'SC4 Data'!U17</f>
        <v>0.84</v>
      </c>
      <c r="K42" s="86" t="n">
        <f aca="false">'SC4 Data'!Z17</f>
        <v>0.817836812144213</v>
      </c>
      <c r="L42" s="86" t="n">
        <f aca="false">'SC4 Data'!AE17</f>
        <v>0.88</v>
      </c>
      <c r="M42" s="89" t="n">
        <f aca="false">'SC4 Data'!AJ17</f>
        <v>0</v>
      </c>
      <c r="N42" s="88"/>
      <c r="O42" s="88"/>
      <c r="P42" s="88"/>
      <c r="Q42" s="88"/>
      <c r="R42" s="88"/>
      <c r="S42" s="88"/>
    </row>
    <row r="43" customFormat="false" ht="12.75" hidden="false" customHeight="true" outlineLevel="0" collapsed="false">
      <c r="A43" s="84" t="n">
        <v>26</v>
      </c>
      <c r="B43" s="88" t="s">
        <v>61</v>
      </c>
      <c r="C43" s="88" t="s">
        <v>48</v>
      </c>
      <c r="D43" s="88" t="s">
        <v>21</v>
      </c>
      <c r="E43" s="88"/>
      <c r="F43" s="88"/>
      <c r="G43" s="86" t="n">
        <f aca="false">'SC4 Data'!G17</f>
        <v>0.33</v>
      </c>
      <c r="H43" s="86" t="n">
        <f aca="false">'SC4 Data'!L17</f>
        <v>0.66</v>
      </c>
      <c r="I43" s="86" t="n">
        <f aca="false">'SC4 Data'!Q17</f>
        <v>0.61</v>
      </c>
      <c r="J43" s="86" t="n">
        <f aca="false">'SC4 Data'!V17</f>
        <v>0.52</v>
      </c>
      <c r="K43" s="86" t="n">
        <f aca="false">'SC4 Data'!AA17</f>
        <v>0.438330170777989</v>
      </c>
      <c r="L43" s="86" t="n">
        <f aca="false">'SC4 Data'!AF17</f>
        <v>0.46</v>
      </c>
      <c r="M43" s="89" t="n">
        <f aca="false">'SC4 Data'!AK17</f>
        <v>0</v>
      </c>
      <c r="N43" s="88"/>
      <c r="O43" s="88"/>
      <c r="P43" s="88"/>
      <c r="Q43" s="88"/>
      <c r="R43" s="88"/>
      <c r="S43" s="88"/>
    </row>
    <row r="44" customFormat="false" ht="12.75" hidden="false" customHeight="true" outlineLevel="0" collapsed="false">
      <c r="A44" s="84" t="n">
        <v>27</v>
      </c>
      <c r="B44" s="88" t="s">
        <v>62</v>
      </c>
      <c r="C44" s="88" t="s">
        <v>52</v>
      </c>
      <c r="D44" s="88" t="s">
        <v>23</v>
      </c>
      <c r="E44" s="88"/>
      <c r="F44" s="88"/>
      <c r="G44" s="86" t="n">
        <f aca="false">'SC4 Data'!F18</f>
        <v>0.65</v>
      </c>
      <c r="H44" s="86" t="n">
        <f aca="false">'SC4 Data'!K18</f>
        <v>0.38</v>
      </c>
      <c r="I44" s="86" t="n">
        <f aca="false">'SC4 Data'!P18</f>
        <v>0.29</v>
      </c>
      <c r="J44" s="86" t="n">
        <f aca="false">'SC4 Data'!U18</f>
        <v>0.41</v>
      </c>
      <c r="K44" s="86" t="n">
        <f aca="false">'SC4 Data'!Z18</f>
        <v>0.349775784753363</v>
      </c>
      <c r="L44" s="86" t="n">
        <f aca="false">'SC4 Data'!AE18</f>
        <v>0.4</v>
      </c>
      <c r="M44" s="89" t="n">
        <f aca="false">'SC4 Data'!AJ18</f>
        <v>0</v>
      </c>
      <c r="N44" s="88"/>
      <c r="O44" s="88"/>
      <c r="P44" s="88"/>
      <c r="Q44" s="88"/>
      <c r="R44" s="88"/>
      <c r="S44" s="88"/>
    </row>
    <row r="45" customFormat="false" ht="12.75" hidden="false" customHeight="true" outlineLevel="0" collapsed="false">
      <c r="A45" s="84" t="n">
        <v>28</v>
      </c>
      <c r="B45" s="88" t="s">
        <v>62</v>
      </c>
      <c r="C45" s="88" t="s">
        <v>52</v>
      </c>
      <c r="D45" s="88" t="s">
        <v>25</v>
      </c>
      <c r="E45" s="88"/>
      <c r="F45" s="88"/>
      <c r="G45" s="86" t="n">
        <f aca="false">'SC4 Data'!G18</f>
        <v>0.6</v>
      </c>
      <c r="H45" s="86" t="n">
        <f aca="false">'SC4 Data'!L18</f>
        <v>0.31</v>
      </c>
      <c r="I45" s="86" t="n">
        <f aca="false">'SC4 Data'!Q18</f>
        <v>0.06</v>
      </c>
      <c r="J45" s="86" t="n">
        <f aca="false">'SC4 Data'!V18</f>
        <v>0.26</v>
      </c>
      <c r="K45" s="86" t="n">
        <f aca="false">'SC4 Data'!AA18</f>
        <v>0.139013452914798</v>
      </c>
      <c r="L45" s="86" t="n">
        <f aca="false">'SC4 Data'!AF18</f>
        <v>0.28</v>
      </c>
      <c r="M45" s="89" t="n">
        <f aca="false">'SC4 Data'!AK18</f>
        <v>0</v>
      </c>
      <c r="N45" s="88"/>
      <c r="O45" s="88"/>
      <c r="P45" s="88"/>
      <c r="Q45" s="88"/>
      <c r="R45" s="88"/>
      <c r="S45" s="88"/>
    </row>
    <row r="46" customFormat="false" ht="12.75" hidden="false" customHeight="true" outlineLevel="0" collapsed="false">
      <c r="A46" s="84" t="n">
        <v>29</v>
      </c>
      <c r="B46" s="88" t="s">
        <v>63</v>
      </c>
      <c r="C46" s="88" t="s">
        <v>52</v>
      </c>
      <c r="D46" s="88" t="s">
        <v>23</v>
      </c>
      <c r="E46" s="88"/>
      <c r="F46" s="88"/>
      <c r="G46" s="86" t="n">
        <f aca="false">'SC4 Data'!F19</f>
        <v>0.23</v>
      </c>
      <c r="H46" s="86" t="n">
        <f aca="false">'SC4 Data'!K19</f>
        <v>0.13</v>
      </c>
      <c r="I46" s="86" t="n">
        <f aca="false">'SC4 Data'!P19</f>
        <v>0.31</v>
      </c>
      <c r="J46" s="86" t="n">
        <f aca="false">'SC4 Data'!U19</f>
        <v>0.61</v>
      </c>
      <c r="K46" s="86" t="n">
        <f aca="false">'SC4 Data'!Z19</f>
        <v>0.638157894736842</v>
      </c>
      <c r="L46" s="86" t="n">
        <f aca="false">'SC4 Data'!AE19</f>
        <v>0.82</v>
      </c>
      <c r="M46" s="89" t="n">
        <f aca="false">'SC4 Data'!AJ19</f>
        <v>0</v>
      </c>
      <c r="N46" s="88"/>
      <c r="O46" s="88"/>
      <c r="P46" s="88"/>
      <c r="Q46" s="88"/>
      <c r="R46" s="88"/>
      <c r="S46" s="88"/>
    </row>
    <row r="47" customFormat="false" ht="12.75" hidden="false" customHeight="true" outlineLevel="0" collapsed="false">
      <c r="A47" s="84" t="n">
        <v>30</v>
      </c>
      <c r="B47" s="88" t="s">
        <v>63</v>
      </c>
      <c r="C47" s="88" t="s">
        <v>52</v>
      </c>
      <c r="D47" s="88" t="s">
        <v>25</v>
      </c>
      <c r="E47" s="88"/>
      <c r="F47" s="88"/>
      <c r="G47" s="86" t="n">
        <f aca="false">'SC4 Data'!G19</f>
        <v>0.04</v>
      </c>
      <c r="H47" s="86" t="n">
        <f aca="false">'SC4 Data'!L19</f>
        <v>0.06</v>
      </c>
      <c r="I47" s="86" t="n">
        <f aca="false">'SC4 Data'!Q19</f>
        <v>0.18</v>
      </c>
      <c r="J47" s="86" t="n">
        <f aca="false">'SC4 Data'!V19</f>
        <v>0.38</v>
      </c>
      <c r="K47" s="86" t="n">
        <f aca="false">'SC4 Data'!AA19</f>
        <v>0.305921052631579</v>
      </c>
      <c r="L47" s="86" t="n">
        <f aca="false">'SC4 Data'!AF19</f>
        <v>0.38</v>
      </c>
      <c r="M47" s="89" t="n">
        <f aca="false">'SC4 Data'!AK19</f>
        <v>0</v>
      </c>
      <c r="N47" s="88"/>
      <c r="O47" s="88"/>
      <c r="P47" s="88"/>
      <c r="Q47" s="88"/>
      <c r="R47" s="88"/>
      <c r="S47" s="88"/>
    </row>
    <row r="48" customFormat="false" ht="12.75" hidden="false" customHeight="true" outlineLevel="0" collapsed="false">
      <c r="A48" s="84" t="n">
        <v>31</v>
      </c>
      <c r="B48" s="88" t="s">
        <v>64</v>
      </c>
      <c r="C48" s="88" t="s">
        <v>52</v>
      </c>
      <c r="D48" s="88" t="s">
        <v>23</v>
      </c>
      <c r="E48" s="88"/>
      <c r="F48" s="88"/>
      <c r="G48" s="86" t="n">
        <f aca="false">'SC4 Data'!F20</f>
        <v>0.28</v>
      </c>
      <c r="H48" s="86" t="n">
        <f aca="false">'SC4 Data'!K20</f>
        <v>0.34</v>
      </c>
      <c r="I48" s="86" t="n">
        <f aca="false">'SC4 Data'!P20</f>
        <v>0.49</v>
      </c>
      <c r="J48" s="86" t="n">
        <f aca="false">'SC4 Data'!U20</f>
        <v>0.73</v>
      </c>
      <c r="K48" s="86" t="n">
        <f aca="false">'SC4 Data'!Z20</f>
        <v>0.697368421052632</v>
      </c>
      <c r="L48" s="86" t="n">
        <f aca="false">'SC4 Data'!AE20</f>
        <v>0.87</v>
      </c>
      <c r="M48" s="89" t="n">
        <f aca="false">'SC4 Data'!AJ20</f>
        <v>0</v>
      </c>
      <c r="N48" s="88"/>
      <c r="O48" s="88"/>
      <c r="P48" s="88"/>
      <c r="Q48" s="88"/>
      <c r="R48" s="88"/>
      <c r="S48" s="88"/>
    </row>
    <row r="49" customFormat="false" ht="12.75" hidden="false" customHeight="true" outlineLevel="0" collapsed="false">
      <c r="A49" s="84" t="n">
        <v>32</v>
      </c>
      <c r="B49" s="88" t="s">
        <v>64</v>
      </c>
      <c r="C49" s="88" t="s">
        <v>52</v>
      </c>
      <c r="D49" s="88" t="s">
        <v>25</v>
      </c>
      <c r="E49" s="88"/>
      <c r="F49" s="88"/>
      <c r="G49" s="86" t="n">
        <f aca="false">'SC4 Data'!G20</f>
        <v>0.06</v>
      </c>
      <c r="H49" s="86" t="n">
        <f aca="false">'SC4 Data'!L20</f>
        <v>0.15</v>
      </c>
      <c r="I49" s="86" t="n">
        <f aca="false">'SC4 Data'!Q20</f>
        <v>0.25</v>
      </c>
      <c r="J49" s="86" t="n">
        <f aca="false">'SC4 Data'!V20</f>
        <v>0.41</v>
      </c>
      <c r="K49" s="86" t="n">
        <f aca="false">'SC4 Data'!AA20</f>
        <v>0.3125</v>
      </c>
      <c r="L49" s="86" t="n">
        <f aca="false">'SC4 Data'!AF20</f>
        <v>0.37</v>
      </c>
      <c r="M49" s="89" t="n">
        <f aca="false">'SC4 Data'!AK20</f>
        <v>0</v>
      </c>
      <c r="N49" s="88"/>
      <c r="O49" s="88"/>
      <c r="P49" s="88"/>
      <c r="Q49" s="88"/>
      <c r="R49" s="88"/>
      <c r="S49" s="88"/>
    </row>
    <row r="50" customFormat="false" ht="12.75" hidden="false" customHeight="true" outlineLevel="0" collapsed="false">
      <c r="A50" s="84" t="n">
        <v>33</v>
      </c>
      <c r="B50" s="88" t="s">
        <v>65</v>
      </c>
      <c r="C50" s="88" t="s">
        <v>52</v>
      </c>
      <c r="D50" s="88" t="s">
        <v>23</v>
      </c>
      <c r="E50" s="88"/>
      <c r="F50" s="88"/>
      <c r="G50" s="86" t="n">
        <f aca="false">'SC4 Data'!F21</f>
        <v>0.28</v>
      </c>
      <c r="H50" s="86" t="n">
        <f aca="false">'SC4 Data'!K21</f>
        <v>0.14</v>
      </c>
      <c r="I50" s="86" t="n">
        <f aca="false">'SC4 Data'!P21</f>
        <v>0.34</v>
      </c>
      <c r="J50" s="86" t="n">
        <f aca="false">'SC4 Data'!U21</f>
        <v>0.66</v>
      </c>
      <c r="K50" s="86" t="n">
        <f aca="false">'SC4 Data'!Z21</f>
        <v>0.700657894736842</v>
      </c>
      <c r="L50" s="86" t="n">
        <f aca="false">'SC4 Data'!AE21</f>
        <v>0.87</v>
      </c>
      <c r="M50" s="89" t="n">
        <f aca="false">'SC4 Data'!AJ21</f>
        <v>0</v>
      </c>
      <c r="N50" s="88"/>
      <c r="O50" s="88"/>
      <c r="P50" s="88"/>
      <c r="Q50" s="88"/>
      <c r="R50" s="88"/>
      <c r="S50" s="88"/>
    </row>
    <row r="51" customFormat="false" ht="12.75" hidden="false" customHeight="true" outlineLevel="0" collapsed="false">
      <c r="A51" s="84" t="n">
        <v>34</v>
      </c>
      <c r="B51" s="88" t="s">
        <v>65</v>
      </c>
      <c r="C51" s="88" t="s">
        <v>52</v>
      </c>
      <c r="D51" s="88" t="s">
        <v>25</v>
      </c>
      <c r="E51" s="88"/>
      <c r="F51" s="88"/>
      <c r="G51" s="86" t="n">
        <f aca="false">'SC4 Data'!G21</f>
        <v>0.04</v>
      </c>
      <c r="H51" s="86" t="n">
        <f aca="false">'SC4 Data'!L21</f>
        <v>0.08</v>
      </c>
      <c r="I51" s="86" t="n">
        <f aca="false">'SC4 Data'!Q21</f>
        <v>0.22</v>
      </c>
      <c r="J51" s="86" t="n">
        <f aca="false">'SC4 Data'!V21</f>
        <v>0.5</v>
      </c>
      <c r="K51" s="86" t="n">
        <f aca="false">'SC4 Data'!AA21</f>
        <v>0.453947368421053</v>
      </c>
      <c r="L51" s="86" t="n">
        <f aca="false">'SC4 Data'!AF21</f>
        <v>0.61</v>
      </c>
      <c r="M51" s="89" t="n">
        <f aca="false">'SC4 Data'!AK21</f>
        <v>0</v>
      </c>
      <c r="N51" s="88"/>
      <c r="O51" s="88"/>
      <c r="P51" s="88"/>
      <c r="Q51" s="88"/>
      <c r="R51" s="88"/>
      <c r="S51" s="88"/>
    </row>
    <row r="52" customFormat="false" ht="12.75" hidden="false" customHeight="true" outlineLevel="0" collapsed="false">
      <c r="A52" s="84" t="n">
        <v>35</v>
      </c>
      <c r="B52" s="88" t="s">
        <v>66</v>
      </c>
      <c r="C52" s="88" t="s">
        <v>48</v>
      </c>
      <c r="D52" s="88" t="s">
        <v>20</v>
      </c>
      <c r="E52" s="88"/>
      <c r="F52" s="88"/>
      <c r="G52" s="86" t="n">
        <f aca="false">'SC4 Data'!F22</f>
        <v>1</v>
      </c>
      <c r="H52" s="86" t="n">
        <f aca="false">'SC4 Data'!K22</f>
        <v>1</v>
      </c>
      <c r="I52" s="86" t="n">
        <f aca="false">'SC4 Data'!P22</f>
        <v>0.56</v>
      </c>
      <c r="J52" s="86" t="n">
        <f aca="false">'SC4 Data'!U22</f>
        <v>0.42</v>
      </c>
      <c r="K52" s="86" t="n">
        <f aca="false">'SC4 Data'!Z22</f>
        <v>0.477064220183486</v>
      </c>
      <c r="L52" s="86" t="n">
        <f aca="false">'SC4 Data'!AE22</f>
        <v>0.21</v>
      </c>
      <c r="M52" s="89" t="n">
        <f aca="false">'SC4 Data'!AJ22</f>
        <v>0</v>
      </c>
      <c r="N52" s="88"/>
      <c r="O52" s="88"/>
      <c r="P52" s="88"/>
      <c r="Q52" s="88"/>
      <c r="R52" s="88"/>
      <c r="S52" s="88"/>
    </row>
    <row r="53" customFormat="false" ht="12.75" hidden="false" customHeight="true" outlineLevel="0" collapsed="false">
      <c r="A53" s="84" t="n">
        <v>36</v>
      </c>
      <c r="B53" s="88" t="s">
        <v>66</v>
      </c>
      <c r="C53" s="88" t="s">
        <v>48</v>
      </c>
      <c r="D53" s="88" t="s">
        <v>21</v>
      </c>
      <c r="E53" s="88"/>
      <c r="F53" s="88"/>
      <c r="G53" s="86" t="n">
        <f aca="false">'SC4 Data'!G22</f>
        <v>1</v>
      </c>
      <c r="H53" s="86" t="n">
        <f aca="false">'SC4 Data'!L22</f>
        <v>0.92</v>
      </c>
      <c r="I53" s="86" t="n">
        <f aca="false">'SC4 Data'!Q22</f>
        <v>0.54</v>
      </c>
      <c r="J53" s="86" t="n">
        <f aca="false">'SC4 Data'!V22</f>
        <v>0.37</v>
      </c>
      <c r="K53" s="86" t="n">
        <f aca="false">'SC4 Data'!AA22</f>
        <v>0.477064220183486</v>
      </c>
      <c r="L53" s="86" t="n">
        <f aca="false">'SC4 Data'!AF22</f>
        <v>0.21</v>
      </c>
      <c r="M53" s="89" t="n">
        <f aca="false">'SC4 Data'!AK22</f>
        <v>0</v>
      </c>
      <c r="N53" s="88"/>
      <c r="O53" s="88"/>
      <c r="P53" s="88"/>
      <c r="Q53" s="88"/>
      <c r="R53" s="88"/>
      <c r="S53" s="88"/>
    </row>
    <row r="54" customFormat="false" ht="12.75" hidden="false" customHeight="true" outlineLevel="0" collapsed="false">
      <c r="A54" s="84" t="n">
        <v>37</v>
      </c>
      <c r="B54" s="88" t="s">
        <v>67</v>
      </c>
      <c r="C54" s="88" t="s">
        <v>52</v>
      </c>
      <c r="D54" s="88" t="s">
        <v>23</v>
      </c>
      <c r="E54" s="88"/>
      <c r="F54" s="88"/>
      <c r="G54" s="86" t="n">
        <f aca="false">'SC4 Data'!F23</f>
        <v>0.2</v>
      </c>
      <c r="H54" s="86" t="n">
        <f aca="false">'SC4 Data'!K23</f>
        <v>0.08</v>
      </c>
      <c r="I54" s="86" t="n">
        <f aca="false">'SC4 Data'!P23</f>
        <v>0.11</v>
      </c>
      <c r="J54" s="86" t="n">
        <f aca="false">'SC4 Data'!U23</f>
        <v>0.13</v>
      </c>
      <c r="K54" s="86" t="n">
        <f aca="false">'SC4 Data'!Z23</f>
        <v>0.174641148325359</v>
      </c>
      <c r="L54" s="86" t="n">
        <f aca="false">'SC4 Data'!AE23</f>
        <v>0.12</v>
      </c>
      <c r="M54" s="89" t="n">
        <f aca="false">'SC4 Data'!AJ23</f>
        <v>0</v>
      </c>
      <c r="N54" s="88"/>
      <c r="O54" s="88"/>
      <c r="P54" s="88"/>
      <c r="Q54" s="88"/>
      <c r="R54" s="88"/>
      <c r="S54" s="88"/>
    </row>
    <row r="55" customFormat="false" ht="12.75" hidden="false" customHeight="true" outlineLevel="0" collapsed="false">
      <c r="A55" s="84" t="n">
        <v>38</v>
      </c>
      <c r="B55" s="88" t="s">
        <v>67</v>
      </c>
      <c r="C55" s="88" t="s">
        <v>52</v>
      </c>
      <c r="D55" s="88" t="s">
        <v>25</v>
      </c>
      <c r="E55" s="88"/>
      <c r="F55" s="88"/>
      <c r="G55" s="86" t="n">
        <f aca="false">'SC4 Data'!G23</f>
        <v>0.18</v>
      </c>
      <c r="H55" s="86" t="n">
        <f aca="false">'SC4 Data'!L23</f>
        <v>0.07</v>
      </c>
      <c r="I55" s="86" t="n">
        <f aca="false">'SC4 Data'!Q23</f>
        <v>0.04</v>
      </c>
      <c r="J55" s="86" t="n">
        <f aca="false">'SC4 Data'!V23</f>
        <v>0.02</v>
      </c>
      <c r="K55" s="86" t="n">
        <f aca="false">'SC4 Data'!AA23</f>
        <v>0.0885167464114833</v>
      </c>
      <c r="L55" s="86" t="n">
        <f aca="false">'SC4 Data'!AF23</f>
        <v>0.05</v>
      </c>
      <c r="M55" s="89" t="n">
        <f aca="false">'SC4 Data'!AK23</f>
        <v>0</v>
      </c>
      <c r="N55" s="88"/>
      <c r="O55" s="88"/>
      <c r="P55" s="88"/>
      <c r="Q55" s="88"/>
      <c r="R55" s="88"/>
      <c r="S55" s="88"/>
    </row>
    <row r="56" customFormat="false" ht="12.75" hidden="false" customHeight="true" outlineLevel="0" collapsed="false">
      <c r="A56" s="84" t="n">
        <v>39</v>
      </c>
      <c r="B56" s="88" t="s">
        <v>68</v>
      </c>
      <c r="C56" s="88" t="s">
        <v>48</v>
      </c>
      <c r="D56" s="88" t="s">
        <v>20</v>
      </c>
      <c r="E56" s="88"/>
      <c r="F56" s="88"/>
      <c r="G56" s="86" t="n">
        <f aca="false">'SC4 Data'!F24</f>
        <v>0.96</v>
      </c>
      <c r="H56" s="86" t="n">
        <f aca="false">'SC4 Data'!K24</f>
        <v>0.99</v>
      </c>
      <c r="I56" s="86" t="n">
        <f aca="false">'SC4 Data'!P24</f>
        <v>0.97</v>
      </c>
      <c r="J56" s="86" t="n">
        <f aca="false">'SC4 Data'!U24</f>
        <v>0.98</v>
      </c>
      <c r="K56" s="86" t="n">
        <f aca="false">'SC4 Data'!Z24</f>
        <v>0.956937799043062</v>
      </c>
      <c r="L56" s="86" t="n">
        <f aca="false">'SC4 Data'!AE24</f>
        <v>0.94</v>
      </c>
      <c r="M56" s="89" t="n">
        <f aca="false">'SC4 Data'!AJ24</f>
        <v>0</v>
      </c>
      <c r="N56" s="88"/>
      <c r="O56" s="88"/>
      <c r="P56" s="88"/>
      <c r="Q56" s="88"/>
      <c r="R56" s="88"/>
      <c r="S56" s="88"/>
    </row>
    <row r="57" customFormat="false" ht="12.75" hidden="false" customHeight="true" outlineLevel="0" collapsed="false">
      <c r="A57" s="84" t="n">
        <v>40</v>
      </c>
      <c r="B57" s="88" t="s">
        <v>68</v>
      </c>
      <c r="C57" s="88" t="s">
        <v>48</v>
      </c>
      <c r="D57" s="88" t="s">
        <v>21</v>
      </c>
      <c r="E57" s="88"/>
      <c r="F57" s="88"/>
      <c r="G57" s="86" t="n">
        <f aca="false">'SC4 Data'!G24</f>
        <v>0.8</v>
      </c>
      <c r="H57" s="86" t="n">
        <f aca="false">'SC4 Data'!L24</f>
        <v>0.82</v>
      </c>
      <c r="I57" s="86" t="n">
        <f aca="false">'SC4 Data'!Q24</f>
        <v>0.7</v>
      </c>
      <c r="J57" s="86" t="n">
        <f aca="false">'SC4 Data'!V24</f>
        <v>0.67</v>
      </c>
      <c r="K57" s="86" t="n">
        <f aca="false">'SC4 Data'!AA24</f>
        <v>0.688995215311005</v>
      </c>
      <c r="L57" s="86" t="n">
        <f aca="false">'SC4 Data'!AF24</f>
        <v>0.67</v>
      </c>
      <c r="M57" s="89" t="n">
        <f aca="false">'SC4 Data'!AK24</f>
        <v>0</v>
      </c>
      <c r="N57" s="88"/>
      <c r="O57" s="88"/>
      <c r="P57" s="88"/>
      <c r="Q57" s="88"/>
      <c r="R57" s="88"/>
      <c r="S57" s="88"/>
    </row>
    <row r="58" customFormat="false" ht="12.75" hidden="false" customHeight="true" outlineLevel="0" collapsed="false">
      <c r="A58" s="84" t="n">
        <v>41</v>
      </c>
      <c r="B58" s="88" t="s">
        <v>69</v>
      </c>
      <c r="C58" s="88" t="s">
        <v>48</v>
      </c>
      <c r="D58" s="88" t="s">
        <v>20</v>
      </c>
      <c r="E58" s="88"/>
      <c r="F58" s="88"/>
      <c r="G58" s="86" t="n">
        <f aca="false">'SC4 Data'!F25</f>
        <v>1</v>
      </c>
      <c r="H58" s="86" t="n">
        <f aca="false">'SC4 Data'!K25</f>
        <v>1</v>
      </c>
      <c r="I58" s="86" t="n">
        <f aca="false">'SC4 Data'!P25</f>
        <v>0.76</v>
      </c>
      <c r="J58" s="86" t="n">
        <f aca="false">'SC4 Data'!U25</f>
        <v>0.83</v>
      </c>
      <c r="K58" s="86" t="n">
        <f aca="false">'SC4 Data'!Z25</f>
        <v>0.839712918660287</v>
      </c>
      <c r="L58" s="86" t="n">
        <f aca="false">'SC4 Data'!AE25</f>
        <v>0.66</v>
      </c>
      <c r="M58" s="89" t="n">
        <f aca="false">'SC4 Data'!AJ25</f>
        <v>0</v>
      </c>
      <c r="N58" s="88"/>
      <c r="O58" s="88"/>
      <c r="P58" s="88"/>
      <c r="Q58" s="88"/>
      <c r="R58" s="88"/>
      <c r="S58" s="88"/>
    </row>
    <row r="59" customFormat="false" ht="12.75" hidden="false" customHeight="true" outlineLevel="0" collapsed="false">
      <c r="A59" s="84" t="n">
        <v>42</v>
      </c>
      <c r="B59" s="88" t="s">
        <v>69</v>
      </c>
      <c r="C59" s="88" t="s">
        <v>48</v>
      </c>
      <c r="D59" s="88" t="s">
        <v>21</v>
      </c>
      <c r="E59" s="88"/>
      <c r="F59" s="88"/>
      <c r="G59" s="86" t="n">
        <f aca="false">'SC4 Data'!G25</f>
        <v>0.04</v>
      </c>
      <c r="H59" s="86" t="n">
        <f aca="false">'SC4 Data'!L25</f>
        <v>0.12</v>
      </c>
      <c r="I59" s="86" t="n">
        <f aca="false">'SC4 Data'!Q25</f>
        <v>0.29</v>
      </c>
      <c r="J59" s="86" t="n">
        <f aca="false">'SC4 Data'!V25</f>
        <v>0.09</v>
      </c>
      <c r="K59" s="86" t="n">
        <f aca="false">'SC4 Data'!AA25</f>
        <v>0.105263157894737</v>
      </c>
      <c r="L59" s="86" t="n">
        <f aca="false">'SC4 Data'!AF25</f>
        <v>0.16</v>
      </c>
      <c r="M59" s="89" t="n">
        <f aca="false">'SC4 Data'!AK25</f>
        <v>0</v>
      </c>
      <c r="N59" s="88"/>
      <c r="O59" s="88"/>
      <c r="P59" s="88"/>
      <c r="Q59" s="88"/>
      <c r="R59" s="88"/>
      <c r="S59" s="88"/>
    </row>
    <row r="60" customFormat="false" ht="12.75" hidden="false" customHeight="true" outlineLevel="0" collapsed="false">
      <c r="A60" s="84" t="n">
        <v>43</v>
      </c>
      <c r="B60" s="88" t="s">
        <v>70</v>
      </c>
      <c r="C60" s="88" t="s">
        <v>52</v>
      </c>
      <c r="D60" s="88" t="s">
        <v>23</v>
      </c>
      <c r="E60" s="88"/>
      <c r="F60" s="88"/>
      <c r="G60" s="86" t="n">
        <f aca="false">'SC3 Data'!F5</f>
        <v>0.931</v>
      </c>
      <c r="H60" s="86" t="n">
        <f aca="false">'SC3 Data'!K5</f>
        <v>0.917</v>
      </c>
      <c r="I60" s="86" t="n">
        <f aca="false">'SC3 Data'!P5</f>
        <v>0.922</v>
      </c>
      <c r="J60" s="86" t="n">
        <f aca="false">'SC3 Data'!U5</f>
        <v>0.955</v>
      </c>
      <c r="K60" s="86" t="n">
        <f aca="false">'SC3 Data'!Z5</f>
        <v>0.923076923076923</v>
      </c>
      <c r="L60" s="86" t="n">
        <f aca="false">'SC3 Data'!AE5</f>
        <v>0.921</v>
      </c>
      <c r="M60" s="89" t="n">
        <f aca="false">'SC3 Data'!AJ5</f>
        <v>0</v>
      </c>
      <c r="N60" s="88"/>
      <c r="O60" s="88"/>
      <c r="P60" s="88"/>
      <c r="Q60" s="88"/>
      <c r="R60" s="88"/>
      <c r="S60" s="88"/>
    </row>
    <row r="61" customFormat="false" ht="12.75" hidden="false" customHeight="true" outlineLevel="0" collapsed="false">
      <c r="A61" s="84" t="n">
        <v>44</v>
      </c>
      <c r="B61" s="88" t="s">
        <v>70</v>
      </c>
      <c r="C61" s="88" t="s">
        <v>52</v>
      </c>
      <c r="D61" s="88" t="s">
        <v>25</v>
      </c>
      <c r="E61" s="88"/>
      <c r="F61" s="88"/>
      <c r="G61" s="86" t="n">
        <f aca="false">'SC3 Data'!G5</f>
        <v>0.931</v>
      </c>
      <c r="H61" s="86" t="n">
        <f aca="false">'SC3 Data'!L5</f>
        <v>0.917</v>
      </c>
      <c r="I61" s="86" t="n">
        <f aca="false">'SC3 Data'!Q5</f>
        <v>0.922</v>
      </c>
      <c r="J61" s="86" t="n">
        <f aca="false">'SC3 Data'!V5</f>
        <v>0.939</v>
      </c>
      <c r="K61" s="86" t="n">
        <f aca="false">'SC3 Data'!AA5</f>
        <v>0.923076923076923</v>
      </c>
      <c r="L61" s="86" t="n">
        <f aca="false">'SC3 Data'!AF5</f>
        <v>0.921</v>
      </c>
      <c r="M61" s="89" t="n">
        <f aca="false">'SC3 Data'!AK5</f>
        <v>0</v>
      </c>
      <c r="N61" s="88"/>
      <c r="O61" s="88"/>
      <c r="P61" s="88"/>
      <c r="Q61" s="88"/>
      <c r="R61" s="88"/>
      <c r="S61" s="88"/>
    </row>
    <row r="62" customFormat="false" ht="12.75" hidden="false" customHeight="true" outlineLevel="0" collapsed="false">
      <c r="A62" s="84" t="n">
        <v>45</v>
      </c>
      <c r="B62" s="88" t="s">
        <v>71</v>
      </c>
      <c r="C62" s="88" t="s">
        <v>52</v>
      </c>
      <c r="D62" s="88" t="s">
        <v>23</v>
      </c>
      <c r="E62" s="88"/>
      <c r="F62" s="88"/>
      <c r="G62" s="86" t="n">
        <f aca="false">'SC3 Data'!F6</f>
        <v>0.269</v>
      </c>
      <c r="H62" s="86" t="n">
        <f aca="false">'SC3 Data'!K6</f>
        <v>0.296</v>
      </c>
      <c r="I62" s="86" t="n">
        <f aca="false">'SC3 Data'!P6</f>
        <v>0.298</v>
      </c>
      <c r="J62" s="86" t="n">
        <f aca="false">'SC3 Data'!U6</f>
        <v>0.192</v>
      </c>
      <c r="K62" s="86" t="n">
        <f aca="false">'SC3 Data'!Z6</f>
        <v>0.288888888888889</v>
      </c>
      <c r="L62" s="86" t="n">
        <f aca="false">'SC3 Data'!AE6</f>
        <v>0.304</v>
      </c>
      <c r="M62" s="89" t="n">
        <f aca="false">'SC3 Data'!AJ6</f>
        <v>0</v>
      </c>
      <c r="N62" s="88"/>
      <c r="O62" s="88"/>
      <c r="P62" s="88"/>
      <c r="Q62" s="88"/>
      <c r="R62" s="88"/>
      <c r="S62" s="88"/>
    </row>
    <row r="63" customFormat="false" ht="12.75" hidden="false" customHeight="true" outlineLevel="0" collapsed="false">
      <c r="A63" s="84" t="n">
        <v>46</v>
      </c>
      <c r="B63" s="88" t="s">
        <v>71</v>
      </c>
      <c r="C63" s="88" t="s">
        <v>52</v>
      </c>
      <c r="D63" s="88" t="s">
        <v>25</v>
      </c>
      <c r="E63" s="88"/>
      <c r="F63" s="88"/>
      <c r="G63" s="86" t="n">
        <f aca="false">'SC3 Data'!G6</f>
        <v>0.192</v>
      </c>
      <c r="H63" s="86" t="n">
        <f aca="false">'SC3 Data'!L6</f>
        <v>0.222</v>
      </c>
      <c r="I63" s="86" t="n">
        <f aca="false">'SC3 Data'!Q6</f>
        <v>0.255</v>
      </c>
      <c r="J63" s="86" t="n">
        <f aca="false">'SC3 Data'!V6</f>
        <v>0.115</v>
      </c>
      <c r="K63" s="86" t="n">
        <f aca="false">'SC3 Data'!AA6</f>
        <v>0.244444444444444</v>
      </c>
      <c r="L63" s="86" t="n">
        <f aca="false">'SC3 Data'!AF6</f>
        <v>0.13</v>
      </c>
      <c r="M63" s="89" t="n">
        <f aca="false">'SC3 Data'!AK6</f>
        <v>0</v>
      </c>
      <c r="N63" s="88"/>
      <c r="O63" s="88"/>
      <c r="P63" s="88"/>
      <c r="Q63" s="88"/>
      <c r="R63" s="88"/>
      <c r="S63" s="88"/>
    </row>
    <row r="64" customFormat="false" ht="12.75" hidden="false" customHeight="true" outlineLevel="0" collapsed="false">
      <c r="A64" s="84" t="n">
        <v>47</v>
      </c>
      <c r="B64" s="88" t="s">
        <v>72</v>
      </c>
      <c r="C64" s="88" t="s">
        <v>48</v>
      </c>
      <c r="D64" s="88" t="s">
        <v>20</v>
      </c>
      <c r="E64" s="88"/>
      <c r="F64" s="88"/>
      <c r="G64" s="86" t="n">
        <f aca="false">'SC3 Data'!F7</f>
        <v>0.813</v>
      </c>
      <c r="H64" s="86" t="n">
        <f aca="false">'SC3 Data'!K7</f>
        <v>0.792</v>
      </c>
      <c r="I64" s="86" t="n">
        <f aca="false">'SC3 Data'!P7</f>
        <v>0.73</v>
      </c>
      <c r="J64" s="86" t="n">
        <f aca="false">'SC3 Data'!U7</f>
        <v>0.791</v>
      </c>
      <c r="K64" s="86" t="n">
        <f aca="false">'SC3 Data'!Z7</f>
        <v>0.756849315068493</v>
      </c>
      <c r="L64" s="86" t="n">
        <f aca="false">'SC3 Data'!AE7</f>
        <v>0.786</v>
      </c>
      <c r="M64" s="89" t="n">
        <f aca="false">'SC3 Data'!AJ7</f>
        <v>0</v>
      </c>
      <c r="N64" s="88"/>
      <c r="O64" s="88"/>
      <c r="P64" s="88"/>
      <c r="Q64" s="88"/>
      <c r="R64" s="88"/>
      <c r="S64" s="88"/>
    </row>
    <row r="65" customFormat="false" ht="12.75" hidden="false" customHeight="true" outlineLevel="0" collapsed="false">
      <c r="A65" s="84" t="n">
        <v>48</v>
      </c>
      <c r="B65" s="88" t="s">
        <v>72</v>
      </c>
      <c r="C65" s="88" t="s">
        <v>48</v>
      </c>
      <c r="D65" s="88" t="s">
        <v>21</v>
      </c>
      <c r="E65" s="88"/>
      <c r="F65" s="88"/>
      <c r="G65" s="86" t="n">
        <f aca="false">'SC3 Data'!G7</f>
        <v>0.317</v>
      </c>
      <c r="H65" s="86" t="n">
        <f aca="false">'SC3 Data'!L7</f>
        <v>0.392</v>
      </c>
      <c r="I65" s="86" t="n">
        <f aca="false">'SC3 Data'!Q7</f>
        <v>0.318</v>
      </c>
      <c r="J65" s="86" t="n">
        <f aca="false">'SC3 Data'!V7</f>
        <v>0.317</v>
      </c>
      <c r="K65" s="86" t="n">
        <f aca="false">'SC3 Data'!AA7</f>
        <v>0.342465753424658</v>
      </c>
      <c r="L65" s="86" t="n">
        <f aca="false">'SC3 Data'!AF7</f>
        <v>0.385</v>
      </c>
      <c r="M65" s="89" t="n">
        <f aca="false">'SC3 Data'!AK7</f>
        <v>0</v>
      </c>
      <c r="N65" s="88"/>
      <c r="O65" s="88"/>
      <c r="P65" s="88"/>
      <c r="Q65" s="88"/>
      <c r="R65" s="88"/>
      <c r="S65" s="88"/>
    </row>
    <row r="66" customFormat="false" ht="12.75" hidden="false" customHeight="true" outlineLevel="0" collapsed="false">
      <c r="A66" s="84" t="n">
        <v>49</v>
      </c>
      <c r="B66" s="88" t="s">
        <v>73</v>
      </c>
      <c r="C66" s="88" t="s">
        <v>48</v>
      </c>
      <c r="D66" s="88" t="s">
        <v>20</v>
      </c>
      <c r="E66" s="88"/>
      <c r="F66" s="88"/>
      <c r="G66" s="86" t="n">
        <f aca="false">'SC3 Data'!F8</f>
        <v>0.813</v>
      </c>
      <c r="H66" s="86" t="n">
        <f aca="false">'SC3 Data'!K8</f>
        <v>0.809</v>
      </c>
      <c r="I66" s="86" t="n">
        <f aca="false">'SC3 Data'!P8</f>
        <v>0.777</v>
      </c>
      <c r="J66" s="86" t="n">
        <f aca="false">'SC3 Data'!U8</f>
        <v>0.839</v>
      </c>
      <c r="K66" s="86" t="n">
        <f aca="false">'SC3 Data'!Z8</f>
        <v>0.82995951417004</v>
      </c>
      <c r="L66" s="86" t="n">
        <f aca="false">'SC3 Data'!AE8</f>
        <v>0.849</v>
      </c>
      <c r="M66" s="89" t="n">
        <f aca="false">'SC3 Data'!AJ8</f>
        <v>0</v>
      </c>
      <c r="N66" s="88"/>
      <c r="O66" s="88"/>
      <c r="P66" s="88"/>
      <c r="Q66" s="88"/>
      <c r="R66" s="88"/>
      <c r="S66" s="88"/>
    </row>
    <row r="67" customFormat="false" ht="12.75" hidden="false" customHeight="true" outlineLevel="0" collapsed="false">
      <c r="A67" s="84" t="n">
        <v>50</v>
      </c>
      <c r="B67" s="88" t="s">
        <v>73</v>
      </c>
      <c r="C67" s="88" t="s">
        <v>48</v>
      </c>
      <c r="D67" s="88" t="s">
        <v>21</v>
      </c>
      <c r="E67" s="88"/>
      <c r="F67" s="88"/>
      <c r="G67" s="86" t="n">
        <f aca="false">'SC3 Data'!G8</f>
        <v>0</v>
      </c>
      <c r="H67" s="86" t="n">
        <f aca="false">'SC3 Data'!L8</f>
        <v>0</v>
      </c>
      <c r="I67" s="86" t="n">
        <f aca="false">'SC3 Data'!Q8</f>
        <v>0</v>
      </c>
      <c r="J67" s="86" t="n">
        <f aca="false">'SC3 Data'!V8</f>
        <v>0</v>
      </c>
      <c r="K67" s="86" t="n">
        <f aca="false">'SC3 Data'!AA8</f>
        <v>0</v>
      </c>
      <c r="L67" s="86" t="n">
        <f aca="false">'SC3 Data'!AF8</f>
        <v>0</v>
      </c>
      <c r="M67" s="89" t="n">
        <f aca="false">'SC3 Data'!AK8</f>
        <v>0</v>
      </c>
      <c r="N67" s="88"/>
      <c r="O67" s="88"/>
      <c r="P67" s="88"/>
      <c r="Q67" s="88"/>
      <c r="R67" s="88"/>
      <c r="S67" s="88"/>
    </row>
    <row r="68" customFormat="false" ht="12.75" hidden="false" customHeight="true" outlineLevel="0" collapsed="false">
      <c r="A68" s="84" t="n">
        <v>51</v>
      </c>
      <c r="B68" s="88" t="s">
        <v>74</v>
      </c>
      <c r="C68" s="88" t="s">
        <v>52</v>
      </c>
      <c r="D68" s="88" t="s">
        <v>23</v>
      </c>
      <c r="E68" s="88"/>
      <c r="F68" s="88"/>
      <c r="G68" s="86" t="n">
        <f aca="false">'SC3 Data'!F9</f>
        <v>0.945</v>
      </c>
      <c r="H68" s="86" t="n">
        <f aca="false">'SC3 Data'!K9</f>
        <v>0.933</v>
      </c>
      <c r="I68" s="86" t="n">
        <f aca="false">'SC3 Data'!P9</f>
        <v>0.895</v>
      </c>
      <c r="J68" s="86" t="n">
        <f aca="false">'SC3 Data'!U9</f>
        <v>0.889</v>
      </c>
      <c r="K68" s="86" t="n">
        <f aca="false">'SC3 Data'!Z9</f>
        <v>0.934426229508197</v>
      </c>
      <c r="L68" s="86" t="n">
        <f aca="false">'SC3 Data'!AE9</f>
        <v>0.903</v>
      </c>
      <c r="M68" s="89" t="n">
        <f aca="false">'SC3 Data'!AJ9</f>
        <v>0</v>
      </c>
      <c r="N68" s="88"/>
      <c r="O68" s="88"/>
      <c r="P68" s="88"/>
      <c r="Q68" s="88"/>
      <c r="R68" s="88"/>
      <c r="S68" s="88"/>
    </row>
    <row r="69" customFormat="false" ht="12.75" hidden="false" customHeight="true" outlineLevel="0" collapsed="false">
      <c r="A69" s="84" t="n">
        <v>52</v>
      </c>
      <c r="B69" s="88" t="s">
        <v>74</v>
      </c>
      <c r="C69" s="88" t="s">
        <v>52</v>
      </c>
      <c r="D69" s="88" t="s">
        <v>25</v>
      </c>
      <c r="E69" s="88"/>
      <c r="F69" s="88"/>
      <c r="G69" s="86" t="n">
        <f aca="false">'SC3 Data'!G9</f>
        <v>0.651</v>
      </c>
      <c r="H69" s="86" t="n">
        <f aca="false">'SC3 Data'!L9</f>
        <v>0.548</v>
      </c>
      <c r="I69" s="86" t="n">
        <f aca="false">'SC3 Data'!Q9</f>
        <v>0.58</v>
      </c>
      <c r="J69" s="86" t="n">
        <f aca="false">'SC3 Data'!V9</f>
        <v>0.49</v>
      </c>
      <c r="K69" s="86" t="n">
        <f aca="false">'SC3 Data'!AA9</f>
        <v>0.590163934426229</v>
      </c>
      <c r="L69" s="86" t="n">
        <f aca="false">'SC3 Data'!AF9</f>
        <v>0.481</v>
      </c>
      <c r="M69" s="89" t="n">
        <f aca="false">'SC3 Data'!AK9</f>
        <v>0</v>
      </c>
      <c r="N69" s="88"/>
      <c r="O69" s="88"/>
      <c r="P69" s="88"/>
      <c r="Q69" s="88"/>
      <c r="R69" s="88"/>
      <c r="S69" s="88"/>
    </row>
    <row r="70" customFormat="false" ht="12.75" hidden="false" customHeight="true" outlineLevel="0" collapsed="false">
      <c r="A70" s="84" t="n">
        <v>53</v>
      </c>
      <c r="B70" s="88" t="s">
        <v>75</v>
      </c>
      <c r="C70" s="88" t="s">
        <v>52</v>
      </c>
      <c r="D70" s="88" t="s">
        <v>23</v>
      </c>
      <c r="E70" s="88"/>
      <c r="F70" s="88"/>
      <c r="G70" s="86" t="n">
        <f aca="false">'SC3 Data'!F10</f>
        <v>0.785</v>
      </c>
      <c r="H70" s="86" t="n">
        <f aca="false">'SC3 Data'!K10</f>
        <v>0.783</v>
      </c>
      <c r="I70" s="86" t="n">
        <f aca="false">'SC3 Data'!P10</f>
        <v>0.776</v>
      </c>
      <c r="J70" s="86" t="n">
        <f aca="false">'SC3 Data'!U10</f>
        <v>0.693</v>
      </c>
      <c r="K70" s="86" t="n">
        <f aca="false">'SC3 Data'!Z10</f>
        <v>0.795918367346939</v>
      </c>
      <c r="L70" s="86" t="n">
        <f aca="false">'SC3 Data'!AE10</f>
        <v>0.64</v>
      </c>
      <c r="M70" s="89" t="n">
        <f aca="false">'SC3 Data'!AJ10</f>
        <v>0</v>
      </c>
      <c r="N70" s="88"/>
      <c r="O70" s="88"/>
      <c r="P70" s="88"/>
      <c r="Q70" s="88"/>
      <c r="R70" s="88"/>
      <c r="S70" s="88"/>
    </row>
    <row r="71" customFormat="false" ht="12.75" hidden="false" customHeight="true" outlineLevel="0" collapsed="false">
      <c r="A71" s="84" t="n">
        <v>54</v>
      </c>
      <c r="B71" s="88" t="s">
        <v>75</v>
      </c>
      <c r="C71" s="88" t="s">
        <v>52</v>
      </c>
      <c r="D71" s="88" t="s">
        <v>25</v>
      </c>
      <c r="E71" s="88"/>
      <c r="F71" s="88"/>
      <c r="G71" s="86" t="n">
        <f aca="false">'SC3 Data'!G10</f>
        <v>0.701</v>
      </c>
      <c r="H71" s="86" t="n">
        <f aca="false">'SC3 Data'!L10</f>
        <v>0.713</v>
      </c>
      <c r="I71" s="86" t="n">
        <f aca="false">'SC3 Data'!Q10</f>
        <v>0.672</v>
      </c>
      <c r="J71" s="86" t="n">
        <f aca="false">'SC3 Data'!V10</f>
        <v>0.654</v>
      </c>
      <c r="K71" s="86" t="n">
        <f aca="false">'SC3 Data'!AA10</f>
        <v>0.707482993197279</v>
      </c>
      <c r="L71" s="86" t="n">
        <f aca="false">'SC3 Data'!AF10</f>
        <v>0.493</v>
      </c>
      <c r="M71" s="89" t="n">
        <f aca="false">'SC3 Data'!AK10</f>
        <v>0</v>
      </c>
      <c r="N71" s="88"/>
      <c r="O71" s="88"/>
      <c r="P71" s="88"/>
      <c r="Q71" s="88"/>
      <c r="R71" s="88"/>
      <c r="S71" s="88"/>
    </row>
    <row r="72" customFormat="false" ht="12.75" hidden="false" customHeight="true" outlineLevel="0" collapsed="false">
      <c r="A72" s="84" t="n">
        <v>55</v>
      </c>
      <c r="B72" s="88" t="s">
        <v>76</v>
      </c>
      <c r="C72" s="88" t="s">
        <v>52</v>
      </c>
      <c r="D72" s="88" t="s">
        <v>23</v>
      </c>
      <c r="E72" s="88"/>
      <c r="F72" s="88"/>
      <c r="G72" s="86" t="n">
        <f aca="false">'SC3 Data'!F11</f>
        <v>0.414</v>
      </c>
      <c r="H72" s="86" t="n">
        <f aca="false">'SC3 Data'!K11</f>
        <v>0.417</v>
      </c>
      <c r="I72" s="86" t="n">
        <f aca="false">'SC3 Data'!P11</f>
        <v>0.51</v>
      </c>
      <c r="J72" s="86" t="n">
        <f aca="false">'SC3 Data'!U11</f>
        <v>0.424</v>
      </c>
      <c r="K72" s="86" t="n">
        <f aca="false">'SC3 Data'!Z11</f>
        <v>0.685185185185185</v>
      </c>
      <c r="L72" s="86" t="n">
        <f aca="false">'SC3 Data'!AE11</f>
        <v>0.59</v>
      </c>
      <c r="M72" s="89" t="n">
        <f aca="false">'SC3 Data'!AJ11</f>
        <v>0</v>
      </c>
      <c r="N72" s="88"/>
      <c r="O72" s="88"/>
      <c r="P72" s="88"/>
      <c r="Q72" s="88"/>
      <c r="R72" s="88"/>
      <c r="S72" s="88"/>
    </row>
    <row r="73" customFormat="false" ht="12.75" hidden="false" customHeight="true" outlineLevel="0" collapsed="false">
      <c r="A73" s="84" t="n">
        <v>56</v>
      </c>
      <c r="B73" s="88" t="s">
        <v>76</v>
      </c>
      <c r="C73" s="88" t="s">
        <v>52</v>
      </c>
      <c r="D73" s="88" t="s">
        <v>25</v>
      </c>
      <c r="E73" s="88"/>
      <c r="F73" s="88"/>
      <c r="G73" s="86" t="n">
        <f aca="false">'SC3 Data'!G11</f>
        <v>0.379</v>
      </c>
      <c r="H73" s="86" t="n">
        <f aca="false">'SC3 Data'!L11</f>
        <v>0.389</v>
      </c>
      <c r="I73" s="86" t="n">
        <f aca="false">'SC3 Data'!Q11</f>
        <v>0.49</v>
      </c>
      <c r="J73" s="86" t="n">
        <f aca="false">'SC3 Data'!V11</f>
        <v>0.348</v>
      </c>
      <c r="K73" s="86" t="n">
        <f aca="false">'SC3 Data'!AA11</f>
        <v>0.62962962962963</v>
      </c>
      <c r="L73" s="86" t="n">
        <f aca="false">'SC3 Data'!AF11</f>
        <v>0.551</v>
      </c>
      <c r="M73" s="89" t="n">
        <f aca="false">'SC3 Data'!AK11</f>
        <v>0</v>
      </c>
      <c r="N73" s="88"/>
      <c r="O73" s="88"/>
      <c r="P73" s="88"/>
      <c r="Q73" s="88"/>
      <c r="R73" s="88"/>
      <c r="S73" s="88"/>
    </row>
    <row r="74" customFormat="false" ht="12.75" hidden="false" customHeight="true" outlineLevel="0" collapsed="false">
      <c r="A74" s="84" t="n">
        <v>57</v>
      </c>
      <c r="B74" s="88" t="s">
        <v>77</v>
      </c>
      <c r="C74" s="88" t="s">
        <v>48</v>
      </c>
      <c r="D74" s="88" t="s">
        <v>20</v>
      </c>
      <c r="E74" s="88"/>
      <c r="F74" s="88"/>
      <c r="G74" s="86" t="n">
        <f aca="false">'SC3 Data'!F12</f>
        <v>0.866</v>
      </c>
      <c r="H74" s="86" t="n">
        <f aca="false">'SC3 Data'!K12</f>
        <v>0.864</v>
      </c>
      <c r="I74" s="86" t="n">
        <f aca="false">'SC3 Data'!P12</f>
        <v>0.843</v>
      </c>
      <c r="J74" s="86" t="n">
        <f aca="false">'SC3 Data'!U12</f>
        <v>0.801</v>
      </c>
      <c r="K74" s="86" t="n">
        <f aca="false">'SC3 Data'!Z12</f>
        <v>0.912121212121212</v>
      </c>
      <c r="L74" s="86" t="n">
        <f aca="false">'SC3 Data'!AE12</f>
        <v>0.85</v>
      </c>
      <c r="M74" s="89" t="n">
        <f aca="false">'SC3 Data'!AJ12</f>
        <v>0</v>
      </c>
      <c r="N74" s="88"/>
      <c r="O74" s="88"/>
      <c r="P74" s="88"/>
      <c r="Q74" s="88"/>
      <c r="R74" s="88"/>
      <c r="S74" s="88"/>
    </row>
    <row r="75" customFormat="false" ht="12.75" hidden="false" customHeight="true" outlineLevel="0" collapsed="false">
      <c r="A75" s="84" t="n">
        <v>58</v>
      </c>
      <c r="B75" s="88" t="s">
        <v>77</v>
      </c>
      <c r="C75" s="88" t="s">
        <v>48</v>
      </c>
      <c r="D75" s="88" t="s">
        <v>21</v>
      </c>
      <c r="E75" s="88"/>
      <c r="F75" s="88"/>
      <c r="G75" s="86" t="n">
        <f aca="false">'SC3 Data'!G12</f>
        <v>0.858</v>
      </c>
      <c r="H75" s="86" t="n">
        <f aca="false">'SC3 Data'!L12</f>
        <v>0.858</v>
      </c>
      <c r="I75" s="86" t="n">
        <f aca="false">'SC3 Data'!Q12</f>
        <v>0.817</v>
      </c>
      <c r="J75" s="86" t="n">
        <f aca="false">'SC3 Data'!V12</f>
        <v>0.781</v>
      </c>
      <c r="K75" s="86" t="n">
        <f aca="false">'SC3 Data'!AA12</f>
        <v>0.890909090909091</v>
      </c>
      <c r="L75" s="86" t="n">
        <f aca="false">'SC3 Data'!AF12</f>
        <v>0.831</v>
      </c>
      <c r="M75" s="89" t="n">
        <f aca="false">'SC3 Data'!AK12</f>
        <v>0</v>
      </c>
      <c r="N75" s="88"/>
      <c r="O75" s="88"/>
      <c r="P75" s="88"/>
      <c r="Q75" s="88"/>
      <c r="R75" s="88"/>
      <c r="S75" s="88"/>
    </row>
    <row r="76" customFormat="false" ht="12.75" hidden="false" customHeight="true" outlineLevel="0" collapsed="false">
      <c r="A76" s="84" t="n">
        <v>59</v>
      </c>
      <c r="B76" s="88" t="s">
        <v>78</v>
      </c>
      <c r="C76" s="88" t="s">
        <v>48</v>
      </c>
      <c r="D76" s="88" t="s">
        <v>20</v>
      </c>
      <c r="E76" s="88"/>
      <c r="F76" s="88"/>
      <c r="G76" s="86" t="n">
        <f aca="false">'SC3 Data'!F13</f>
        <v>0.866</v>
      </c>
      <c r="H76" s="86" t="n">
        <f aca="false">'SC3 Data'!K13</f>
        <v>0.895</v>
      </c>
      <c r="I76" s="86" t="n">
        <f aca="false">'SC3 Data'!P13</f>
        <v>0.863</v>
      </c>
      <c r="J76" s="86" t="n">
        <f aca="false">'SC3 Data'!U13</f>
        <v>0.846</v>
      </c>
      <c r="K76" s="86" t="n">
        <f aca="false">'SC3 Data'!Z13</f>
        <v>0.912121212121212</v>
      </c>
      <c r="L76" s="86" t="n">
        <f aca="false">'SC3 Data'!AE13</f>
        <v>0.839</v>
      </c>
      <c r="M76" s="89" t="n">
        <f aca="false">'SC3 Data'!AJ13</f>
        <v>0</v>
      </c>
      <c r="N76" s="88"/>
      <c r="O76" s="88"/>
      <c r="P76" s="88"/>
      <c r="Q76" s="88"/>
      <c r="R76" s="88"/>
      <c r="S76" s="88"/>
    </row>
    <row r="77" customFormat="false" ht="12.75" hidden="false" customHeight="true" outlineLevel="0" collapsed="false">
      <c r="A77" s="84" t="n">
        <v>60</v>
      </c>
      <c r="B77" s="88" t="s">
        <v>78</v>
      </c>
      <c r="C77" s="88" t="s">
        <v>48</v>
      </c>
      <c r="D77" s="88" t="s">
        <v>21</v>
      </c>
      <c r="E77" s="88"/>
      <c r="F77" s="88"/>
      <c r="G77" s="86" t="n">
        <f aca="false">'SC3 Data'!G13</f>
        <v>0.688</v>
      </c>
      <c r="H77" s="86" t="n">
        <f aca="false">'SC3 Data'!L13</f>
        <v>0.724</v>
      </c>
      <c r="I77" s="86" t="n">
        <f aca="false">'SC3 Data'!Q13</f>
        <v>0.706</v>
      </c>
      <c r="J77" s="86" t="n">
        <f aca="false">'SC3 Data'!V13</f>
        <v>0.681</v>
      </c>
      <c r="K77" s="86" t="n">
        <f aca="false">'SC3 Data'!AA13</f>
        <v>0.812121212121212</v>
      </c>
      <c r="L77" s="86" t="n">
        <f aca="false">'SC3 Data'!AF13</f>
        <v>0.708</v>
      </c>
      <c r="M77" s="89" t="n">
        <f aca="false">'SC3 Data'!AK13</f>
        <v>0</v>
      </c>
      <c r="N77" s="88"/>
      <c r="O77" s="88"/>
      <c r="P77" s="88"/>
      <c r="Q77" s="88"/>
      <c r="R77" s="88"/>
      <c r="S77" s="88"/>
    </row>
    <row r="78" customFormat="false" ht="12.75" hidden="false" customHeight="true" outlineLevel="0" collapsed="false">
      <c r="A78" s="84" t="n">
        <v>61</v>
      </c>
      <c r="B78" s="88" t="s">
        <v>79</v>
      </c>
      <c r="C78" s="88" t="s">
        <v>48</v>
      </c>
      <c r="D78" s="88" t="s">
        <v>20</v>
      </c>
      <c r="E78" s="88"/>
      <c r="F78" s="88"/>
      <c r="G78" s="86" t="n">
        <f aca="false">'SC3 Data'!F14</f>
        <v>0.905</v>
      </c>
      <c r="H78" s="86" t="n">
        <f aca="false">'SC3 Data'!K14</f>
        <v>0.901</v>
      </c>
      <c r="I78" s="86" t="n">
        <f aca="false">'SC3 Data'!P14</f>
        <v>0.863</v>
      </c>
      <c r="J78" s="86" t="n">
        <f aca="false">'SC3 Data'!U14</f>
        <v>0.86</v>
      </c>
      <c r="K78" s="86" t="n">
        <f aca="false">'SC3 Data'!Z14</f>
        <v>0.933333333333333</v>
      </c>
      <c r="L78" s="86" t="n">
        <f aca="false">'SC3 Data'!AE14</f>
        <v>0.874</v>
      </c>
      <c r="M78" s="89" t="n">
        <f aca="false">'SC3 Data'!AJ14</f>
        <v>0</v>
      </c>
      <c r="N78" s="88"/>
      <c r="O78" s="88"/>
      <c r="P78" s="88"/>
      <c r="Q78" s="88"/>
      <c r="R78" s="88"/>
      <c r="S78" s="88"/>
    </row>
    <row r="79" customFormat="false" ht="12.75" hidden="false" customHeight="true" outlineLevel="0" collapsed="false">
      <c r="A79" s="84" t="n">
        <v>62</v>
      </c>
      <c r="B79" s="88" t="s">
        <v>79</v>
      </c>
      <c r="C79" s="88" t="s">
        <v>48</v>
      </c>
      <c r="D79" s="88" t="s">
        <v>21</v>
      </c>
      <c r="E79" s="88"/>
      <c r="F79" s="88"/>
      <c r="G79" s="86" t="n">
        <f aca="false">'SC3 Data'!G14</f>
        <v>0.885</v>
      </c>
      <c r="H79" s="86" t="n">
        <f aca="false">'SC3 Data'!L14</f>
        <v>0.889</v>
      </c>
      <c r="I79" s="86" t="n">
        <f aca="false">'SC3 Data'!Q14</f>
        <v>0.85</v>
      </c>
      <c r="J79" s="86" t="n">
        <f aca="false">'SC3 Data'!V14</f>
        <v>0.849</v>
      </c>
      <c r="K79" s="86" t="n">
        <f aca="false">'SC3 Data'!AA14</f>
        <v>0.93030303030303</v>
      </c>
      <c r="L79" s="86" t="n">
        <f aca="false">'SC3 Data'!AF14</f>
        <v>0.863</v>
      </c>
      <c r="M79" s="89" t="n">
        <f aca="false">'SC3 Data'!AK14</f>
        <v>0</v>
      </c>
      <c r="N79" s="88"/>
      <c r="O79" s="88"/>
      <c r="P79" s="88"/>
      <c r="Q79" s="88"/>
      <c r="R79" s="88"/>
      <c r="S79" s="88"/>
    </row>
    <row r="80" customFormat="false" ht="12.75" hidden="false" customHeight="true" outlineLevel="0" collapsed="false">
      <c r="A80" s="84" t="n">
        <v>63</v>
      </c>
      <c r="B80" s="88" t="s">
        <v>80</v>
      </c>
      <c r="C80" s="88" t="s">
        <v>48</v>
      </c>
      <c r="D80" s="88" t="s">
        <v>20</v>
      </c>
      <c r="E80" s="88"/>
      <c r="F80" s="88"/>
      <c r="G80" s="86" t="n">
        <f aca="false">'SC3 Data'!F15</f>
        <v>0.881</v>
      </c>
      <c r="H80" s="86" t="n">
        <f aca="false">'SC3 Data'!K15</f>
        <v>0.913</v>
      </c>
      <c r="I80" s="86" t="n">
        <f aca="false">'SC3 Data'!P15</f>
        <v>0.879</v>
      </c>
      <c r="J80" s="86" t="n">
        <f aca="false">'SC3 Data'!U15</f>
        <v>0.866</v>
      </c>
      <c r="K80" s="86" t="n">
        <f aca="false">'SC3 Data'!Z15</f>
        <v>0.936363636363636</v>
      </c>
      <c r="L80" s="86" t="n">
        <f aca="false">'SC3 Data'!AE15</f>
        <v>0.888</v>
      </c>
      <c r="M80" s="89" t="n">
        <f aca="false">'SC3 Data'!AJ15</f>
        <v>0</v>
      </c>
      <c r="N80" s="88"/>
      <c r="O80" s="88"/>
      <c r="P80" s="88"/>
      <c r="Q80" s="88"/>
      <c r="R80" s="88"/>
      <c r="S80" s="88"/>
    </row>
    <row r="81" customFormat="false" ht="12.75" hidden="false" customHeight="true" outlineLevel="0" collapsed="false">
      <c r="A81" s="84" t="n">
        <v>64</v>
      </c>
      <c r="B81" s="88" t="s">
        <v>80</v>
      </c>
      <c r="C81" s="88" t="s">
        <v>48</v>
      </c>
      <c r="D81" s="88" t="s">
        <v>21</v>
      </c>
      <c r="E81" s="88"/>
      <c r="F81" s="88"/>
      <c r="G81" s="86" t="n">
        <f aca="false">'SC3 Data'!G15</f>
        <v>0.834</v>
      </c>
      <c r="H81" s="86" t="n">
        <f aca="false">'SC3 Data'!L15</f>
        <v>0.864</v>
      </c>
      <c r="I81" s="86" t="n">
        <f aca="false">'SC3 Data'!Q15</f>
        <v>0.83</v>
      </c>
      <c r="J81" s="86" t="n">
        <f aca="false">'SC3 Data'!V15</f>
        <v>0.826</v>
      </c>
      <c r="K81" s="86" t="n">
        <f aca="false">'SC3 Data'!AA15</f>
        <v>0.890909090909091</v>
      </c>
      <c r="L81" s="86" t="n">
        <f aca="false">'SC3 Data'!AF15</f>
        <v>0.828</v>
      </c>
      <c r="M81" s="89" t="n">
        <f aca="false">'SC3 Data'!AK15</f>
        <v>0</v>
      </c>
      <c r="N81" s="88"/>
      <c r="O81" s="88"/>
      <c r="P81" s="88"/>
      <c r="Q81" s="88"/>
      <c r="R81" s="88"/>
      <c r="S81" s="88"/>
    </row>
    <row r="82" customFormat="false" ht="12.75" hidden="false" customHeight="true" outlineLevel="0" collapsed="false">
      <c r="A82" s="84" t="n">
        <v>65</v>
      </c>
      <c r="B82" s="88" t="s">
        <v>81</v>
      </c>
      <c r="C82" s="88" t="s">
        <v>52</v>
      </c>
      <c r="D82" s="88" t="s">
        <v>23</v>
      </c>
      <c r="E82" s="88"/>
      <c r="F82" s="88"/>
      <c r="G82" s="86" t="n">
        <f aca="false">'SC3 Data'!F16</f>
        <v>0.138</v>
      </c>
      <c r="H82" s="86" t="n">
        <f aca="false">'SC3 Data'!K16</f>
        <v>0.139</v>
      </c>
      <c r="I82" s="86" t="n">
        <f aca="false">'SC3 Data'!P16</f>
        <v>0.039</v>
      </c>
      <c r="J82" s="86" t="n">
        <f aca="false">'SC3 Data'!U16</f>
        <v>0.045</v>
      </c>
      <c r="K82" s="86" t="n">
        <f aca="false">'SC3 Data'!Z16</f>
        <v>0.0740740740740741</v>
      </c>
      <c r="L82" s="86" t="n">
        <f aca="false">'SC3 Data'!AE16</f>
        <v>0.026</v>
      </c>
      <c r="M82" s="89" t="n">
        <f aca="false">'SC3 Data'!AJ16</f>
        <v>0</v>
      </c>
      <c r="N82" s="88"/>
      <c r="O82" s="88"/>
      <c r="P82" s="88"/>
      <c r="Q82" s="88"/>
      <c r="R82" s="88"/>
      <c r="S82" s="88"/>
    </row>
    <row r="83" customFormat="false" ht="12.75" hidden="false" customHeight="true" outlineLevel="0" collapsed="false">
      <c r="A83" s="84" t="n">
        <v>66</v>
      </c>
      <c r="B83" s="88" t="s">
        <v>81</v>
      </c>
      <c r="C83" s="88" t="s">
        <v>52</v>
      </c>
      <c r="D83" s="88" t="s">
        <v>25</v>
      </c>
      <c r="E83" s="88"/>
      <c r="F83" s="88"/>
      <c r="G83" s="86" t="n">
        <f aca="false">'SC3 Data'!G16</f>
        <v>0.069</v>
      </c>
      <c r="H83" s="86" t="n">
        <f aca="false">'SC3 Data'!L16</f>
        <v>0.139</v>
      </c>
      <c r="I83" s="86" t="n">
        <f aca="false">'SC3 Data'!Q16</f>
        <v>0</v>
      </c>
      <c r="J83" s="86" t="n">
        <f aca="false">'SC3 Data'!V16</f>
        <v>0.045</v>
      </c>
      <c r="K83" s="86" t="n">
        <f aca="false">'SC3 Data'!AA16</f>
        <v>0.0555555555555556</v>
      </c>
      <c r="L83" s="86" t="n">
        <f aca="false">'SC3 Data'!AF16</f>
        <v>0.026</v>
      </c>
      <c r="M83" s="89" t="n">
        <f aca="false">'SC3 Data'!AK16</f>
        <v>0</v>
      </c>
      <c r="N83" s="88"/>
      <c r="O83" s="88"/>
      <c r="P83" s="88"/>
      <c r="Q83" s="88"/>
      <c r="R83" s="88"/>
      <c r="S83" s="88"/>
    </row>
    <row r="84" customFormat="false" ht="12.75" hidden="false" customHeight="true" outlineLevel="0" collapsed="false">
      <c r="A84" s="84" t="n">
        <v>67</v>
      </c>
      <c r="B84" s="88" t="s">
        <v>82</v>
      </c>
      <c r="C84" s="88" t="s">
        <v>52</v>
      </c>
      <c r="D84" s="88" t="s">
        <v>23</v>
      </c>
      <c r="E84" s="88"/>
      <c r="F84" s="88"/>
      <c r="G84" s="86" t="n">
        <f aca="false">'SC3 Data'!F17</f>
        <v>0.411</v>
      </c>
      <c r="H84" s="86" t="n">
        <f aca="false">'SC3 Data'!K17</f>
        <v>0.426</v>
      </c>
      <c r="I84" s="86" t="n">
        <f aca="false">'SC3 Data'!P17</f>
        <v>0.312</v>
      </c>
      <c r="J84" s="86" t="n">
        <f aca="false">'SC3 Data'!U17</f>
        <v>0.399</v>
      </c>
      <c r="K84" s="86" t="n">
        <f aca="false">'SC3 Data'!Z17</f>
        <v>0.428571428571429</v>
      </c>
      <c r="L84" s="86" t="n">
        <f aca="false">'SC3 Data'!AE17</f>
        <v>0.313</v>
      </c>
      <c r="M84" s="89" t="n">
        <f aca="false">'SC3 Data'!AJ17</f>
        <v>0</v>
      </c>
      <c r="N84" s="88"/>
      <c r="O84" s="88"/>
      <c r="P84" s="88"/>
      <c r="Q84" s="88"/>
      <c r="R84" s="88"/>
      <c r="S84" s="88"/>
    </row>
    <row r="85" customFormat="false" ht="12.75" hidden="false" customHeight="true" outlineLevel="0" collapsed="false">
      <c r="A85" s="84" t="n">
        <v>68</v>
      </c>
      <c r="B85" s="88" t="s">
        <v>82</v>
      </c>
      <c r="C85" s="88" t="s">
        <v>52</v>
      </c>
      <c r="D85" s="88" t="s">
        <v>25</v>
      </c>
      <c r="E85" s="88"/>
      <c r="F85" s="88"/>
      <c r="G85" s="86" t="n">
        <f aca="false">'SC3 Data'!G17</f>
        <v>0.084</v>
      </c>
      <c r="H85" s="86" t="n">
        <f aca="false">'SC3 Data'!L17</f>
        <v>0.07</v>
      </c>
      <c r="I85" s="86" t="n">
        <f aca="false">'SC3 Data'!Q17</f>
        <v>0.056</v>
      </c>
      <c r="J85" s="86" t="n">
        <f aca="false">'SC3 Data'!V17</f>
        <v>0.275</v>
      </c>
      <c r="K85" s="86" t="n">
        <f aca="false">'SC3 Data'!AA17</f>
        <v>0.374149659863946</v>
      </c>
      <c r="L85" s="86" t="n">
        <f aca="false">'SC3 Data'!AF17</f>
        <v>0.28</v>
      </c>
      <c r="M85" s="89" t="n">
        <f aca="false">'SC3 Data'!AK17</f>
        <v>0</v>
      </c>
      <c r="N85" s="88"/>
      <c r="O85" s="88"/>
      <c r="P85" s="88"/>
      <c r="Q85" s="88"/>
      <c r="R85" s="88"/>
      <c r="S85" s="88"/>
    </row>
    <row r="86" customFormat="false" ht="12.75" hidden="false" customHeight="true" outlineLevel="0" collapsed="false">
      <c r="A86" s="84" t="n">
        <v>69</v>
      </c>
      <c r="B86" s="88" t="s">
        <v>83</v>
      </c>
      <c r="C86" s="88" t="s">
        <v>52</v>
      </c>
      <c r="D86" s="88" t="s">
        <v>23</v>
      </c>
      <c r="E86" s="88"/>
      <c r="F86" s="88"/>
      <c r="G86" s="86" t="n">
        <f aca="false">'SC3 Data'!F18</f>
        <v>0.082</v>
      </c>
      <c r="H86" s="86" t="n">
        <f aca="false">'SC3 Data'!K18</f>
        <v>0.183</v>
      </c>
      <c r="I86" s="86" t="n">
        <f aca="false">'SC3 Data'!P18</f>
        <v>0.414</v>
      </c>
      <c r="J86" s="86" t="n">
        <f aca="false">'SC3 Data'!U18</f>
        <v>0.596</v>
      </c>
      <c r="K86" s="86" t="n">
        <f aca="false">'SC3 Data'!Z18</f>
        <v>0.80327868852459</v>
      </c>
      <c r="L86" s="86" t="n">
        <f aca="false">'SC3 Data'!AE18</f>
        <v>0.843</v>
      </c>
      <c r="M86" s="89" t="n">
        <f aca="false">'SC3 Data'!AJ18</f>
        <v>0</v>
      </c>
      <c r="N86" s="88"/>
      <c r="O86" s="88"/>
      <c r="P86" s="88"/>
      <c r="Q86" s="88"/>
      <c r="R86" s="88"/>
      <c r="S86" s="88"/>
    </row>
    <row r="87" customFormat="false" ht="12.75" hidden="false" customHeight="true" outlineLevel="0" collapsed="false">
      <c r="A87" s="84" t="n">
        <v>70</v>
      </c>
      <c r="B87" s="88" t="s">
        <v>83</v>
      </c>
      <c r="C87" s="88" t="s">
        <v>52</v>
      </c>
      <c r="D87" s="88" t="s">
        <v>25</v>
      </c>
      <c r="E87" s="88"/>
      <c r="F87" s="88"/>
      <c r="G87" s="86" t="n">
        <f aca="false">'SC3 Data'!G18</f>
        <v>0.062</v>
      </c>
      <c r="H87" s="86" t="n">
        <f aca="false">'SC3 Data'!L18</f>
        <v>0.173</v>
      </c>
      <c r="I87" s="86" t="n">
        <f aca="false">'SC3 Data'!Q18</f>
        <v>0.365</v>
      </c>
      <c r="J87" s="86" t="n">
        <f aca="false">'SC3 Data'!V18</f>
        <v>0.545</v>
      </c>
      <c r="K87" s="86" t="n">
        <f aca="false">'SC3 Data'!AA18</f>
        <v>0.721311475409836</v>
      </c>
      <c r="L87" s="86" t="n">
        <f aca="false">'SC3 Data'!AF18</f>
        <v>0.787</v>
      </c>
      <c r="M87" s="89" t="n">
        <f aca="false">'SC3 Data'!AK18</f>
        <v>0</v>
      </c>
      <c r="N87" s="88"/>
      <c r="O87" s="88"/>
      <c r="P87" s="88"/>
      <c r="Q87" s="88"/>
      <c r="R87" s="88"/>
      <c r="S87" s="88"/>
    </row>
    <row r="88" customFormat="false" ht="12.75" hidden="false" customHeight="true" outlineLevel="0" collapsed="false">
      <c r="A88" s="84" t="n">
        <v>71</v>
      </c>
      <c r="B88" s="88" t="s">
        <v>84</v>
      </c>
      <c r="C88" s="88" t="s">
        <v>48</v>
      </c>
      <c r="D88" s="88" t="s">
        <v>20</v>
      </c>
      <c r="E88" s="88"/>
      <c r="F88" s="88"/>
      <c r="G88" s="86" t="n">
        <f aca="false">'SC3 Data'!F19</f>
        <v>0.369</v>
      </c>
      <c r="H88" s="86" t="n">
        <f aca="false">'SC3 Data'!K19</f>
        <v>0.279</v>
      </c>
      <c r="I88" s="86" t="n">
        <f aca="false">'SC3 Data'!P19</f>
        <v>0.406</v>
      </c>
      <c r="J88" s="86" t="n">
        <f aca="false">'SC3 Data'!U19</f>
        <v>0.468</v>
      </c>
      <c r="K88" s="86" t="n">
        <f aca="false">'SC3 Data'!Z19</f>
        <v>0.440944881889764</v>
      </c>
      <c r="L88" s="86" t="n">
        <f aca="false">'SC3 Data'!AE19</f>
        <v>0.461</v>
      </c>
      <c r="M88" s="89" t="n">
        <f aca="false">'SC3 Data'!AJ19</f>
        <v>0</v>
      </c>
      <c r="N88" s="88"/>
      <c r="O88" s="88"/>
      <c r="P88" s="88"/>
      <c r="Q88" s="88"/>
      <c r="R88" s="88"/>
      <c r="S88" s="88"/>
    </row>
    <row r="89" customFormat="false" ht="12.75" hidden="false" customHeight="true" outlineLevel="0" collapsed="false">
      <c r="A89" s="84" t="n">
        <v>72</v>
      </c>
      <c r="B89" s="88" t="s">
        <v>84</v>
      </c>
      <c r="C89" s="88" t="s">
        <v>48</v>
      </c>
      <c r="D89" s="88" t="s">
        <v>21</v>
      </c>
      <c r="E89" s="88"/>
      <c r="F89" s="88"/>
      <c r="G89" s="86" t="n">
        <f aca="false">'SC3 Data'!G19</f>
        <v>0.369</v>
      </c>
      <c r="H89" s="86" t="n">
        <f aca="false">'SC3 Data'!L19</f>
        <v>0.279</v>
      </c>
      <c r="I89" s="86" t="n">
        <f aca="false">'SC3 Data'!Q19</f>
        <v>0.396</v>
      </c>
      <c r="J89" s="86" t="n">
        <f aca="false">'SC3 Data'!V19</f>
        <v>0.452</v>
      </c>
      <c r="K89" s="86" t="n">
        <f aca="false">'SC3 Data'!AA19</f>
        <v>0.417322834645669</v>
      </c>
      <c r="L89" s="86" t="n">
        <f aca="false">'SC3 Data'!AF19</f>
        <v>0.426</v>
      </c>
      <c r="M89" s="89" t="n">
        <f aca="false">'SC3 Data'!AK19</f>
        <v>0</v>
      </c>
      <c r="N89" s="88"/>
      <c r="O89" s="88"/>
      <c r="P89" s="88"/>
      <c r="Q89" s="88"/>
      <c r="R89" s="88"/>
      <c r="S89" s="88"/>
    </row>
    <row r="90" customFormat="false" ht="12.75" hidden="false" customHeight="true" outlineLevel="0" collapsed="false">
      <c r="A90" s="84" t="n">
        <v>73</v>
      </c>
      <c r="B90" s="88" t="s">
        <v>85</v>
      </c>
      <c r="C90" s="88" t="s">
        <v>48</v>
      </c>
      <c r="D90" s="88" t="s">
        <v>20</v>
      </c>
      <c r="E90" s="88"/>
      <c r="F90" s="88"/>
      <c r="G90" s="86" t="n">
        <f aca="false">'SC3 Data'!F20</f>
        <v>0.091</v>
      </c>
      <c r="H90" s="86" t="n">
        <f aca="false">'SC3 Data'!K20</f>
        <v>0.25</v>
      </c>
      <c r="I90" s="86" t="n">
        <f aca="false">'SC3 Data'!P20</f>
        <v>0.375</v>
      </c>
      <c r="J90" s="86" t="n">
        <f aca="false">'SC3 Data'!U20</f>
        <v>0.514</v>
      </c>
      <c r="K90" s="86" t="n">
        <f aca="false">'SC3 Data'!Z20</f>
        <v>0.617647058823529</v>
      </c>
      <c r="L90" s="86" t="n">
        <f aca="false">'SC3 Data'!AE20</f>
        <v>0.651</v>
      </c>
      <c r="M90" s="89" t="n">
        <f aca="false">'SC3 Data'!AJ20</f>
        <v>0</v>
      </c>
      <c r="N90" s="88"/>
      <c r="O90" s="88"/>
      <c r="P90" s="88"/>
      <c r="Q90" s="88"/>
      <c r="R90" s="88"/>
      <c r="S90" s="88"/>
    </row>
    <row r="91" customFormat="false" ht="12.75" hidden="false" customHeight="true" outlineLevel="0" collapsed="false">
      <c r="A91" s="84" t="n">
        <v>74</v>
      </c>
      <c r="B91" s="88" t="s">
        <v>85</v>
      </c>
      <c r="C91" s="88" t="s">
        <v>48</v>
      </c>
      <c r="D91" s="88" t="s">
        <v>21</v>
      </c>
      <c r="E91" s="88"/>
      <c r="F91" s="88"/>
      <c r="G91" s="86" t="n">
        <f aca="false">'SC3 Data'!G20</f>
        <v>0.091</v>
      </c>
      <c r="H91" s="86" t="n">
        <f aca="false">'SC3 Data'!L20</f>
        <v>0.25</v>
      </c>
      <c r="I91" s="86" t="n">
        <f aca="false">'SC3 Data'!Q20</f>
        <v>0.375</v>
      </c>
      <c r="J91" s="86" t="n">
        <f aca="false">'SC3 Data'!V20</f>
        <v>0.459</v>
      </c>
      <c r="K91" s="86" t="n">
        <f aca="false">'SC3 Data'!AA20</f>
        <v>0.588235294117647</v>
      </c>
      <c r="L91" s="86" t="n">
        <f aca="false">'SC3 Data'!AF20</f>
        <v>0.581</v>
      </c>
      <c r="M91" s="89" t="n">
        <f aca="false">'SC3 Data'!AK20</f>
        <v>0</v>
      </c>
      <c r="N91" s="88"/>
      <c r="O91" s="88"/>
      <c r="P91" s="88"/>
      <c r="Q91" s="88"/>
      <c r="R91" s="88"/>
      <c r="S91" s="88"/>
    </row>
    <row r="92" customFormat="false" ht="12.75" hidden="false" customHeight="true" outlineLevel="0" collapsed="false">
      <c r="A92" s="84" t="n">
        <v>75</v>
      </c>
      <c r="B92" s="88" t="s">
        <v>86</v>
      </c>
      <c r="C92" s="88" t="s">
        <v>52</v>
      </c>
      <c r="D92" s="88" t="s">
        <v>23</v>
      </c>
      <c r="E92" s="88"/>
      <c r="F92" s="88"/>
      <c r="G92" s="86" t="n">
        <f aca="false">'SC3 Data'!F21</f>
        <v>0.396</v>
      </c>
      <c r="H92" s="86" t="n">
        <f aca="false">'SC3 Data'!K21</f>
        <v>0.521</v>
      </c>
      <c r="I92" s="86" t="n">
        <f aca="false">'SC3 Data'!P21</f>
        <v>0.44</v>
      </c>
      <c r="J92" s="86" t="n">
        <f aca="false">'SC3 Data'!U21</f>
        <v>0.478</v>
      </c>
      <c r="K92" s="86" t="n">
        <f aca="false">'SC3 Data'!Z21</f>
        <v>0.554263565891473</v>
      </c>
      <c r="L92" s="86" t="n">
        <f aca="false">'SC3 Data'!AE21</f>
        <v>0.567</v>
      </c>
      <c r="M92" s="89" t="n">
        <f aca="false">'SC3 Data'!AJ21</f>
        <v>0</v>
      </c>
      <c r="N92" s="88"/>
      <c r="O92" s="88"/>
      <c r="P92" s="88"/>
      <c r="Q92" s="88"/>
      <c r="R92" s="88"/>
      <c r="S92" s="88"/>
    </row>
    <row r="93" customFormat="false" ht="12.75" hidden="false" customHeight="true" outlineLevel="0" collapsed="false">
      <c r="A93" s="84" t="n">
        <v>76</v>
      </c>
      <c r="B93" s="88" t="s">
        <v>86</v>
      </c>
      <c r="C93" s="88" t="s">
        <v>52</v>
      </c>
      <c r="D93" s="88" t="s">
        <v>25</v>
      </c>
      <c r="E93" s="88"/>
      <c r="F93" s="88"/>
      <c r="G93" s="86" t="n">
        <f aca="false">'SC3 Data'!G21</f>
        <v>0.235</v>
      </c>
      <c r="H93" s="86" t="n">
        <f aca="false">'SC3 Data'!L21</f>
        <v>0.228</v>
      </c>
      <c r="I93" s="86" t="n">
        <f aca="false">'SC3 Data'!Q21</f>
        <v>0.254</v>
      </c>
      <c r="J93" s="86" t="n">
        <f aca="false">'SC3 Data'!V21</f>
        <v>0.345</v>
      </c>
      <c r="K93" s="86" t="n">
        <f aca="false">'SC3 Data'!AA21</f>
        <v>0.437984496124031</v>
      </c>
      <c r="L93" s="86" t="n">
        <f aca="false">'SC3 Data'!AF21</f>
        <v>0.519</v>
      </c>
      <c r="M93" s="89" t="n">
        <f aca="false">'SC3 Data'!AK21</f>
        <v>0</v>
      </c>
      <c r="N93" s="88"/>
      <c r="O93" s="88"/>
      <c r="P93" s="88"/>
      <c r="Q93" s="88"/>
      <c r="R93" s="88"/>
      <c r="S93" s="88"/>
    </row>
    <row r="94" customFormat="false" ht="12.75" hidden="false" customHeight="true" outlineLevel="0" collapsed="false">
      <c r="A94" s="84" t="n">
        <v>77</v>
      </c>
      <c r="B94" s="88" t="s">
        <v>87</v>
      </c>
      <c r="C94" s="88" t="s">
        <v>48</v>
      </c>
      <c r="D94" s="88" t="s">
        <v>20</v>
      </c>
      <c r="E94" s="88"/>
      <c r="F94" s="88"/>
      <c r="G94" s="86" t="n">
        <f aca="false">'SC3 Data'!F22</f>
        <v>0.422</v>
      </c>
      <c r="H94" s="86" t="n">
        <f aca="false">'SC3 Data'!K22</f>
        <v>0.575</v>
      </c>
      <c r="I94" s="86" t="n">
        <f aca="false">'SC3 Data'!P22</f>
        <v>0.54</v>
      </c>
      <c r="J94" s="86" t="n">
        <f aca="false">'SC3 Data'!U22</f>
        <v>0.583</v>
      </c>
      <c r="K94" s="86" t="n">
        <f aca="false">'SC3 Data'!Z22</f>
        <v>0.565891472868217</v>
      </c>
      <c r="L94" s="86" t="n">
        <f aca="false">'SC3 Data'!AE22</f>
        <v>0.574</v>
      </c>
      <c r="M94" s="89" t="n">
        <f aca="false">'SC3 Data'!AJ22</f>
        <v>0</v>
      </c>
      <c r="N94" s="88"/>
      <c r="O94" s="88"/>
      <c r="P94" s="88"/>
      <c r="Q94" s="88"/>
      <c r="R94" s="88"/>
      <c r="S94" s="88"/>
    </row>
    <row r="95" customFormat="false" ht="12.75" hidden="false" customHeight="true" outlineLevel="0" collapsed="false">
      <c r="A95" s="84" t="n">
        <v>78</v>
      </c>
      <c r="B95" s="88" t="s">
        <v>87</v>
      </c>
      <c r="C95" s="88" t="s">
        <v>48</v>
      </c>
      <c r="D95" s="88" t="s">
        <v>21</v>
      </c>
      <c r="E95" s="88"/>
      <c r="F95" s="88"/>
      <c r="G95" s="86" t="n">
        <f aca="false">'SC3 Data'!G22</f>
        <v>0.144</v>
      </c>
      <c r="H95" s="86" t="n">
        <f aca="false">'SC3 Data'!L22</f>
        <v>0.154</v>
      </c>
      <c r="I95" s="86" t="n">
        <f aca="false">'SC3 Data'!Q22</f>
        <v>0.101</v>
      </c>
      <c r="J95" s="86" t="n">
        <f aca="false">'SC3 Data'!V22</f>
        <v>0.094</v>
      </c>
      <c r="K95" s="86" t="n">
        <f aca="false">'SC3 Data'!AA22</f>
        <v>0.127906976744186</v>
      </c>
      <c r="L95" s="86" t="n">
        <f aca="false">'SC3 Data'!AF22</f>
        <v>0.189</v>
      </c>
      <c r="M95" s="89" t="n">
        <f aca="false">'SC3 Data'!AK22</f>
        <v>0</v>
      </c>
      <c r="N95" s="88"/>
      <c r="O95" s="88"/>
      <c r="P95" s="88"/>
      <c r="Q95" s="88"/>
      <c r="R95" s="88"/>
      <c r="S95" s="88"/>
    </row>
    <row r="96" customFormat="false" ht="12.75" hidden="false" customHeight="true" outlineLevel="0" collapsed="false">
      <c r="A96" s="84" t="n">
        <v>79</v>
      </c>
      <c r="B96" s="88" t="s">
        <v>88</v>
      </c>
      <c r="C96" s="88" t="s">
        <v>48</v>
      </c>
      <c r="D96" s="88" t="s">
        <v>20</v>
      </c>
      <c r="E96" s="88"/>
      <c r="F96" s="88"/>
      <c r="G96" s="86" t="n">
        <f aca="false">'SC3 Data'!F23</f>
        <v>0.722</v>
      </c>
      <c r="H96" s="86" t="n">
        <f aca="false">'SC3 Data'!K23</f>
        <v>0.764</v>
      </c>
      <c r="I96" s="86" t="n">
        <f aca="false">'SC3 Data'!P23</f>
        <v>0.694</v>
      </c>
      <c r="J96" s="86" t="n">
        <f aca="false">'SC3 Data'!U23</f>
        <v>0.709</v>
      </c>
      <c r="K96" s="86" t="n">
        <f aca="false">'SC3 Data'!Z23</f>
        <v>0.670542635658915</v>
      </c>
      <c r="L96" s="86" t="n">
        <f aca="false">'SC3 Data'!AE23</f>
        <v>0.647</v>
      </c>
      <c r="M96" s="89" t="n">
        <f aca="false">'SC3 Data'!AJ23</f>
        <v>0</v>
      </c>
      <c r="N96" s="88"/>
      <c r="O96" s="88"/>
      <c r="P96" s="88"/>
      <c r="Q96" s="88"/>
      <c r="R96" s="88"/>
      <c r="S96" s="88"/>
    </row>
    <row r="97" customFormat="false" ht="12.75" hidden="false" customHeight="true" outlineLevel="0" collapsed="false">
      <c r="A97" s="84" t="n">
        <v>80</v>
      </c>
      <c r="B97" s="88" t="s">
        <v>88</v>
      </c>
      <c r="C97" s="88" t="s">
        <v>48</v>
      </c>
      <c r="D97" s="88" t="s">
        <v>21</v>
      </c>
      <c r="E97" s="88"/>
      <c r="F97" s="88"/>
      <c r="G97" s="86" t="n">
        <f aca="false">'SC3 Data'!G23</f>
        <v>0.578</v>
      </c>
      <c r="H97" s="86" t="n">
        <f aca="false">'SC3 Data'!L23</f>
        <v>0.587</v>
      </c>
      <c r="I97" s="86" t="n">
        <f aca="false">'SC3 Data'!Q23</f>
        <v>0.504</v>
      </c>
      <c r="J97" s="86" t="n">
        <f aca="false">'SC3 Data'!V23</f>
        <v>0.468</v>
      </c>
      <c r="K97" s="86" t="n">
        <f aca="false">'SC3 Data'!AA23</f>
        <v>0.484496124031008</v>
      </c>
      <c r="L97" s="86" t="n">
        <f aca="false">'SC3 Data'!AF23</f>
        <v>0.452</v>
      </c>
      <c r="M97" s="89" t="n">
        <f aca="false">'SC3 Data'!AK23</f>
        <v>0</v>
      </c>
      <c r="N97" s="88"/>
      <c r="O97" s="88"/>
      <c r="P97" s="88"/>
      <c r="Q97" s="88"/>
      <c r="R97" s="88"/>
      <c r="S97" s="88"/>
    </row>
    <row r="98" customFormat="false" ht="12.75" hidden="false" customHeight="true" outlineLevel="0" collapsed="false">
      <c r="A98" s="84" t="n">
        <v>81</v>
      </c>
      <c r="B98" s="88" t="s">
        <v>89</v>
      </c>
      <c r="C98" s="88" t="s">
        <v>52</v>
      </c>
      <c r="D98" s="88" t="s">
        <v>23</v>
      </c>
      <c r="E98" s="88"/>
      <c r="F98" s="88"/>
      <c r="G98" s="86" t="n">
        <f aca="false">'SC3 Data'!F24</f>
        <v>0.357</v>
      </c>
      <c r="H98" s="86" t="n">
        <f aca="false">'SC3 Data'!K24</f>
        <v>0.667</v>
      </c>
      <c r="I98" s="86" t="n">
        <f aca="false">'SC3 Data'!P24</f>
        <v>0.62</v>
      </c>
      <c r="J98" s="86" t="n">
        <f aca="false">'SC3 Data'!U24</f>
        <v>0.656</v>
      </c>
      <c r="K98" s="86" t="n">
        <f aca="false">'SC3 Data'!Z24</f>
        <v>0.769230769230769</v>
      </c>
      <c r="L98" s="86" t="n">
        <f aca="false">'SC3 Data'!AE24</f>
        <v>0.792</v>
      </c>
      <c r="M98" s="89" t="n">
        <f aca="false">'SC3 Data'!AJ24</f>
        <v>0</v>
      </c>
      <c r="N98" s="88"/>
      <c r="O98" s="88"/>
      <c r="P98" s="88"/>
      <c r="Q98" s="88"/>
      <c r="R98" s="88"/>
      <c r="S98" s="88"/>
    </row>
    <row r="99" customFormat="false" ht="12.75" hidden="false" customHeight="true" outlineLevel="0" collapsed="false">
      <c r="A99" s="84" t="n">
        <v>82</v>
      </c>
      <c r="B99" s="88" t="s">
        <v>89</v>
      </c>
      <c r="C99" s="88" t="s">
        <v>52</v>
      </c>
      <c r="D99" s="88" t="s">
        <v>25</v>
      </c>
      <c r="E99" s="88"/>
      <c r="F99" s="88"/>
      <c r="G99" s="86" t="n">
        <f aca="false">'SC3 Data'!G24</f>
        <v>0.25</v>
      </c>
      <c r="H99" s="86" t="n">
        <f aca="false">'SC3 Data'!L24</f>
        <v>0.556</v>
      </c>
      <c r="I99" s="86" t="n">
        <f aca="false">'SC3 Data'!Q24</f>
        <v>0.52</v>
      </c>
      <c r="J99" s="86" t="n">
        <f aca="false">'SC3 Data'!V24</f>
        <v>0.625</v>
      </c>
      <c r="K99" s="86" t="n">
        <f aca="false">'SC3 Data'!AA24</f>
        <v>0.769230769230769</v>
      </c>
      <c r="L99" s="86" t="n">
        <f aca="false">'SC3 Data'!AF24</f>
        <v>0.779</v>
      </c>
      <c r="M99" s="89" t="n">
        <f aca="false">'SC3 Data'!AK24</f>
        <v>0</v>
      </c>
      <c r="N99" s="88"/>
      <c r="O99" s="88"/>
      <c r="P99" s="88"/>
      <c r="Q99" s="88"/>
      <c r="R99" s="88"/>
      <c r="S99" s="88"/>
    </row>
    <row r="100" customFormat="false" ht="13.5" hidden="false" customHeight="true" outlineLevel="0" collapsed="false">
      <c r="A100" s="90" t="n">
        <v>84</v>
      </c>
      <c r="B100" s="91" t="s">
        <v>90</v>
      </c>
      <c r="C100" s="92" t="s">
        <v>52</v>
      </c>
      <c r="D100" s="93" t="s">
        <v>26</v>
      </c>
      <c r="E100" s="94"/>
      <c r="F100" s="95"/>
      <c r="G100" s="93"/>
      <c r="H100" s="96"/>
      <c r="I100" s="96" t="n">
        <v>0.015</v>
      </c>
      <c r="J100" s="97"/>
      <c r="K100" s="97"/>
      <c r="L100" s="97"/>
      <c r="M100" s="97"/>
      <c r="N100" s="97"/>
      <c r="O100" s="97"/>
      <c r="P100" s="97"/>
      <c r="Q100" s="97"/>
      <c r="R100" s="97"/>
      <c r="S100" s="39"/>
      <c r="T100" s="40"/>
      <c r="U100" s="41"/>
      <c r="V100" s="41"/>
    </row>
    <row r="101" customFormat="false" ht="13.5" hidden="false" customHeight="true" outlineLevel="0" collapsed="false">
      <c r="A101" s="90" t="n">
        <v>85</v>
      </c>
      <c r="B101" s="91" t="s">
        <v>91</v>
      </c>
      <c r="C101" s="92" t="s">
        <v>52</v>
      </c>
      <c r="D101" s="93" t="s">
        <v>92</v>
      </c>
      <c r="E101" s="94"/>
      <c r="F101" s="95"/>
      <c r="G101" s="93"/>
      <c r="H101" s="96"/>
      <c r="I101" s="96" t="n">
        <v>0.318</v>
      </c>
      <c r="J101" s="97"/>
      <c r="K101" s="97"/>
      <c r="L101" s="97"/>
      <c r="M101" s="97"/>
      <c r="N101" s="97"/>
      <c r="O101" s="97"/>
      <c r="P101" s="97"/>
      <c r="Q101" s="97"/>
      <c r="R101" s="97"/>
      <c r="S101" s="39"/>
      <c r="T101" s="40"/>
      <c r="U101" s="41"/>
      <c r="V101" s="41"/>
    </row>
    <row r="102" customFormat="false" ht="13.5" hidden="false" customHeight="true" outlineLevel="0" collapsed="false">
      <c r="A102" s="90" t="n">
        <v>86</v>
      </c>
      <c r="B102" s="91" t="s">
        <v>93</v>
      </c>
      <c r="C102" s="92" t="s">
        <v>48</v>
      </c>
      <c r="D102" s="93" t="s">
        <v>94</v>
      </c>
      <c r="E102" s="94"/>
      <c r="F102" s="95"/>
      <c r="G102" s="93"/>
      <c r="H102" s="96"/>
      <c r="I102" s="96" t="n">
        <v>0.91</v>
      </c>
      <c r="J102" s="97"/>
      <c r="K102" s="97"/>
      <c r="L102" s="97"/>
      <c r="M102" s="97"/>
      <c r="N102" s="97"/>
      <c r="O102" s="97"/>
      <c r="P102" s="97"/>
      <c r="Q102" s="97"/>
      <c r="R102" s="97"/>
      <c r="S102" s="39"/>
      <c r="T102" s="40"/>
      <c r="U102" s="41"/>
      <c r="V102" s="41"/>
    </row>
    <row r="103" customFormat="false" ht="13.5" hidden="false" customHeight="true" outlineLevel="0" collapsed="false">
      <c r="A103" s="90" t="n">
        <v>87</v>
      </c>
      <c r="B103" s="91" t="s">
        <v>95</v>
      </c>
      <c r="C103" s="92" t="s">
        <v>52</v>
      </c>
      <c r="D103" s="98" t="s">
        <v>96</v>
      </c>
      <c r="E103" s="99"/>
      <c r="F103" s="100"/>
      <c r="G103" s="93"/>
      <c r="H103" s="93"/>
      <c r="I103" s="96" t="n">
        <v>0.65</v>
      </c>
      <c r="J103" s="97"/>
      <c r="K103" s="97"/>
      <c r="L103" s="97"/>
      <c r="M103" s="97"/>
      <c r="N103" s="97"/>
      <c r="O103" s="97"/>
      <c r="P103" s="97"/>
      <c r="Q103" s="97"/>
      <c r="R103" s="97"/>
      <c r="S103" s="39"/>
      <c r="T103" s="40"/>
      <c r="U103" s="41"/>
      <c r="V103" s="41"/>
    </row>
    <row r="104" customFormat="false" ht="13.5" hidden="false" customHeight="true" outlineLevel="0" collapsed="false">
      <c r="A104" s="90" t="n">
        <v>88</v>
      </c>
      <c r="B104" s="91" t="s">
        <v>97</v>
      </c>
      <c r="C104" s="92" t="s">
        <v>52</v>
      </c>
      <c r="D104" s="98" t="s">
        <v>98</v>
      </c>
      <c r="E104" s="99"/>
      <c r="F104" s="100"/>
      <c r="G104" s="93"/>
      <c r="H104" s="93"/>
      <c r="I104" s="96" t="n">
        <v>0.671</v>
      </c>
      <c r="J104" s="97"/>
      <c r="K104" s="97"/>
      <c r="L104" s="97"/>
      <c r="M104" s="97"/>
      <c r="N104" s="97"/>
      <c r="O104" s="97"/>
      <c r="P104" s="97"/>
      <c r="Q104" s="97"/>
      <c r="R104" s="97"/>
      <c r="S104" s="39"/>
      <c r="T104" s="40"/>
      <c r="U104" s="41"/>
      <c r="V104" s="41"/>
    </row>
    <row r="105" customFormat="false" ht="12.75" hidden="false" customHeight="true" outlineLevel="0" collapsed="false">
      <c r="A105" s="101"/>
      <c r="B105" s="102"/>
      <c r="C105" s="102"/>
      <c r="D105" s="103"/>
      <c r="E105" s="103"/>
      <c r="F105" s="103"/>
      <c r="G105" s="104"/>
      <c r="H105" s="104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4"/>
      <c r="T105" s="106"/>
      <c r="U105" s="107"/>
      <c r="V105" s="107"/>
    </row>
    <row r="106" customFormat="false" ht="27.75" hidden="false" customHeight="true" outlineLevel="0" collapsed="false">
      <c r="A106" s="108" t="s">
        <v>99</v>
      </c>
      <c r="B106" s="109" t="s">
        <v>100</v>
      </c>
      <c r="C106" s="110" t="s">
        <v>101</v>
      </c>
      <c r="D106" s="110" t="s">
        <v>34</v>
      </c>
      <c r="E106" s="111" t="s">
        <v>19</v>
      </c>
      <c r="F106" s="112"/>
      <c r="G106" s="113"/>
      <c r="H106" s="111"/>
      <c r="I106" s="114"/>
      <c r="J106" s="115"/>
      <c r="K106" s="115"/>
      <c r="L106" s="115"/>
      <c r="M106" s="115"/>
      <c r="N106" s="115"/>
      <c r="O106" s="115"/>
      <c r="P106" s="115"/>
      <c r="Q106" s="115"/>
      <c r="R106" s="115"/>
      <c r="S106" s="116" t="s">
        <v>102</v>
      </c>
      <c r="T106" s="117" t="s">
        <v>103</v>
      </c>
      <c r="U106" s="111" t="s">
        <v>104</v>
      </c>
      <c r="V106" s="118" t="s">
        <v>105</v>
      </c>
      <c r="W106" s="119"/>
    </row>
    <row r="107" customFormat="false" ht="13.5" hidden="false" customHeight="true" outlineLevel="0" collapsed="false">
      <c r="A107" s="120"/>
      <c r="B107" s="121"/>
      <c r="C107" s="121"/>
      <c r="D107" s="121"/>
      <c r="E107" s="122"/>
      <c r="F107" s="123"/>
      <c r="G107" s="124"/>
      <c r="H107" s="125"/>
      <c r="I107" s="126" t="s">
        <v>106</v>
      </c>
      <c r="J107" s="126" t="s">
        <v>107</v>
      </c>
      <c r="K107" s="126" t="s">
        <v>108</v>
      </c>
      <c r="L107" s="126" t="s">
        <v>109</v>
      </c>
      <c r="M107" s="126" t="s">
        <v>110</v>
      </c>
      <c r="N107" s="126" t="s">
        <v>111</v>
      </c>
      <c r="O107" s="126" t="s">
        <v>112</v>
      </c>
      <c r="P107" s="126" t="s">
        <v>113</v>
      </c>
      <c r="Q107" s="126" t="s">
        <v>114</v>
      </c>
      <c r="R107" s="126" t="s">
        <v>115</v>
      </c>
      <c r="S107" s="121"/>
      <c r="T107" s="121"/>
      <c r="U107" s="121"/>
      <c r="V107" s="127"/>
      <c r="W107" s="119"/>
    </row>
    <row r="108" customFormat="false" ht="27.75" hidden="false" customHeight="true" outlineLevel="0" collapsed="false">
      <c r="A108" s="128" t="n">
        <v>1</v>
      </c>
      <c r="B108" s="91" t="s">
        <v>116</v>
      </c>
      <c r="C108" s="92" t="s">
        <v>117</v>
      </c>
      <c r="D108" s="93" t="s">
        <v>118</v>
      </c>
      <c r="E108" s="129" t="s">
        <v>119</v>
      </c>
      <c r="F108" s="94"/>
      <c r="G108" s="95"/>
      <c r="H108" s="130"/>
      <c r="I108" s="130"/>
      <c r="J108" s="130" t="s">
        <v>120</v>
      </c>
      <c r="K108" s="130" t="s">
        <v>121</v>
      </c>
      <c r="L108" s="130"/>
      <c r="M108" s="130"/>
      <c r="N108" s="130"/>
      <c r="O108" s="130"/>
      <c r="P108" s="130"/>
      <c r="Q108" s="130"/>
      <c r="R108" s="131"/>
      <c r="S108" s="132" t="s">
        <v>122</v>
      </c>
      <c r="T108" s="133" t="s">
        <v>123</v>
      </c>
      <c r="U108" s="92" t="s">
        <v>124</v>
      </c>
      <c r="V108" s="92" t="s">
        <v>108</v>
      </c>
    </row>
    <row r="109" customFormat="false" ht="27.75" hidden="false" customHeight="true" outlineLevel="0" collapsed="false">
      <c r="A109" s="134" t="n">
        <v>2</v>
      </c>
      <c r="B109" s="91" t="s">
        <v>116</v>
      </c>
      <c r="C109" s="92" t="s">
        <v>125</v>
      </c>
      <c r="D109" s="93" t="s">
        <v>126</v>
      </c>
      <c r="E109" s="129" t="s">
        <v>119</v>
      </c>
      <c r="F109" s="94"/>
      <c r="G109" s="95"/>
      <c r="H109" s="130"/>
      <c r="I109" s="130"/>
      <c r="J109" s="130" t="s">
        <v>120</v>
      </c>
      <c r="K109" s="130" t="s">
        <v>121</v>
      </c>
      <c r="L109" s="130"/>
      <c r="M109" s="130"/>
      <c r="N109" s="135"/>
      <c r="O109" s="135"/>
      <c r="P109" s="135"/>
      <c r="Q109" s="135"/>
      <c r="R109" s="136"/>
      <c r="S109" s="132" t="s">
        <v>127</v>
      </c>
      <c r="T109" s="133" t="s">
        <v>123</v>
      </c>
      <c r="U109" s="92" t="s">
        <v>124</v>
      </c>
      <c r="V109" s="92" t="s">
        <v>108</v>
      </c>
    </row>
    <row r="110" customFormat="false" ht="27.75" hidden="false" customHeight="true" outlineLevel="0" collapsed="false">
      <c r="A110" s="128" t="n">
        <v>3</v>
      </c>
      <c r="B110" s="91" t="s">
        <v>128</v>
      </c>
      <c r="C110" s="92" t="n">
        <v>3</v>
      </c>
      <c r="D110" s="93" t="s">
        <v>26</v>
      </c>
      <c r="E110" s="129" t="s">
        <v>129</v>
      </c>
      <c r="F110" s="94"/>
      <c r="G110" s="95"/>
      <c r="H110" s="130"/>
      <c r="I110" s="130"/>
      <c r="J110" s="130"/>
      <c r="K110" s="130" t="s">
        <v>120</v>
      </c>
      <c r="L110" s="130" t="s">
        <v>121</v>
      </c>
      <c r="M110" s="130"/>
      <c r="N110" s="130"/>
      <c r="O110" s="130"/>
      <c r="P110" s="130"/>
      <c r="Q110" s="130"/>
      <c r="R110" s="130"/>
      <c r="S110" s="132" t="s">
        <v>130</v>
      </c>
      <c r="T110" s="133" t="s">
        <v>123</v>
      </c>
      <c r="U110" s="92" t="s">
        <v>108</v>
      </c>
      <c r="V110" s="92" t="s">
        <v>108</v>
      </c>
    </row>
    <row r="111" customFormat="false" ht="27.75" hidden="false" customHeight="true" outlineLevel="0" collapsed="false">
      <c r="A111" s="128" t="n">
        <v>4</v>
      </c>
      <c r="B111" s="91" t="s">
        <v>131</v>
      </c>
      <c r="C111" s="92" t="s">
        <v>117</v>
      </c>
      <c r="D111" s="93" t="s">
        <v>23</v>
      </c>
      <c r="E111" s="129" t="s">
        <v>132</v>
      </c>
      <c r="F111" s="94"/>
      <c r="G111" s="95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2" t="s">
        <v>133</v>
      </c>
      <c r="T111" s="133"/>
      <c r="U111" s="92"/>
      <c r="V111" s="92"/>
    </row>
    <row r="112" customFormat="false" ht="27.75" hidden="false" customHeight="true" outlineLevel="0" collapsed="false">
      <c r="A112" s="128" t="n">
        <v>5</v>
      </c>
      <c r="B112" s="91" t="s">
        <v>131</v>
      </c>
      <c r="C112" s="92" t="s">
        <v>125</v>
      </c>
      <c r="D112" s="93" t="s">
        <v>25</v>
      </c>
      <c r="E112" s="129" t="s">
        <v>132</v>
      </c>
      <c r="F112" s="94"/>
      <c r="G112" s="95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2" t="s">
        <v>134</v>
      </c>
      <c r="T112" s="133"/>
      <c r="U112" s="92"/>
      <c r="V112" s="92"/>
    </row>
    <row r="113" customFormat="false" ht="27.75" hidden="false" customHeight="true" outlineLevel="0" collapsed="false">
      <c r="A113" s="128" t="n">
        <v>6</v>
      </c>
      <c r="B113" s="91" t="s">
        <v>131</v>
      </c>
      <c r="C113" s="92" t="n">
        <v>6</v>
      </c>
      <c r="D113" s="93" t="s">
        <v>135</v>
      </c>
      <c r="E113" s="129" t="s">
        <v>132</v>
      </c>
      <c r="F113" s="94"/>
      <c r="G113" s="95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2" t="s">
        <v>136</v>
      </c>
      <c r="T113" s="133"/>
      <c r="U113" s="92"/>
      <c r="V113" s="92"/>
    </row>
    <row r="114" customFormat="false" ht="27.75" hidden="false" customHeight="true" outlineLevel="0" collapsed="false">
      <c r="A114" s="128" t="n">
        <v>7</v>
      </c>
      <c r="B114" s="91" t="s">
        <v>137</v>
      </c>
      <c r="C114" s="92" t="n">
        <v>4</v>
      </c>
      <c r="D114" s="93" t="s">
        <v>92</v>
      </c>
      <c r="E114" s="129" t="s">
        <v>129</v>
      </c>
      <c r="F114" s="94"/>
      <c r="G114" s="95"/>
      <c r="H114" s="130"/>
      <c r="I114" s="130"/>
      <c r="J114" s="137"/>
      <c r="K114" s="130" t="s">
        <v>120</v>
      </c>
      <c r="L114" s="130" t="s">
        <v>121</v>
      </c>
      <c r="M114" s="130"/>
      <c r="N114" s="130"/>
      <c r="O114" s="130"/>
      <c r="P114" s="130"/>
      <c r="Q114" s="130"/>
      <c r="R114" s="130"/>
      <c r="S114" s="132" t="s">
        <v>122</v>
      </c>
      <c r="T114" s="133" t="s">
        <v>123</v>
      </c>
      <c r="U114" s="92" t="s">
        <v>108</v>
      </c>
      <c r="V114" s="92" t="s">
        <v>108</v>
      </c>
    </row>
    <row r="115" customFormat="false" ht="27.75" hidden="false" customHeight="true" outlineLevel="0" collapsed="false">
      <c r="A115" s="128" t="n">
        <v>8</v>
      </c>
      <c r="B115" s="91" t="s">
        <v>138</v>
      </c>
      <c r="C115" s="92" t="n">
        <v>9</v>
      </c>
      <c r="D115" s="93" t="s">
        <v>126</v>
      </c>
      <c r="E115" s="129" t="s">
        <v>129</v>
      </c>
      <c r="F115" s="94"/>
      <c r="G115" s="95"/>
      <c r="H115" s="130"/>
      <c r="I115" s="130"/>
      <c r="J115" s="137"/>
      <c r="K115" s="130" t="s">
        <v>120</v>
      </c>
      <c r="L115" s="130" t="s">
        <v>121</v>
      </c>
      <c r="M115" s="130"/>
      <c r="N115" s="130"/>
      <c r="O115" s="130"/>
      <c r="P115" s="130"/>
      <c r="Q115" s="130"/>
      <c r="R115" s="130"/>
      <c r="S115" s="132" t="s">
        <v>139</v>
      </c>
      <c r="T115" s="133" t="s">
        <v>123</v>
      </c>
      <c r="U115" s="92" t="s">
        <v>108</v>
      </c>
      <c r="V115" s="92" t="s">
        <v>108</v>
      </c>
    </row>
    <row r="116" customFormat="false" ht="27.75" hidden="false" customHeight="true" outlineLevel="0" collapsed="false">
      <c r="A116" s="128" t="n">
        <v>9</v>
      </c>
      <c r="B116" s="91" t="s">
        <v>140</v>
      </c>
      <c r="C116" s="92" t="n">
        <v>6</v>
      </c>
      <c r="D116" s="93" t="s">
        <v>135</v>
      </c>
      <c r="E116" s="129" t="s">
        <v>141</v>
      </c>
      <c r="F116" s="94"/>
      <c r="G116" s="95"/>
      <c r="H116" s="130"/>
      <c r="I116" s="130"/>
      <c r="J116" s="137"/>
      <c r="K116" s="130" t="s">
        <v>120</v>
      </c>
      <c r="L116" s="130" t="s">
        <v>121</v>
      </c>
      <c r="M116" s="137"/>
      <c r="N116" s="130"/>
      <c r="O116" s="130"/>
      <c r="P116" s="130"/>
      <c r="Q116" s="130"/>
      <c r="R116" s="130"/>
      <c r="S116" s="132" t="s">
        <v>142</v>
      </c>
      <c r="T116" s="133" t="s">
        <v>123</v>
      </c>
      <c r="U116" s="92" t="s">
        <v>108</v>
      </c>
      <c r="V116" s="92" t="s">
        <v>108</v>
      </c>
    </row>
    <row r="117" customFormat="false" ht="27.75" hidden="false" customHeight="true" outlineLevel="0" collapsed="false">
      <c r="A117" s="128" t="n">
        <v>10</v>
      </c>
      <c r="B117" s="91" t="s">
        <v>143</v>
      </c>
      <c r="C117" s="92" t="n">
        <v>1</v>
      </c>
      <c r="D117" s="93" t="s">
        <v>118</v>
      </c>
      <c r="E117" s="129" t="s">
        <v>144</v>
      </c>
      <c r="F117" s="94"/>
      <c r="G117" s="95"/>
      <c r="H117" s="130"/>
      <c r="I117" s="130"/>
      <c r="J117" s="137"/>
      <c r="K117" s="130" t="s">
        <v>120</v>
      </c>
      <c r="L117" s="130" t="s">
        <v>121</v>
      </c>
      <c r="M117" s="130"/>
      <c r="N117" s="130"/>
      <c r="O117" s="130"/>
      <c r="P117" s="130"/>
      <c r="Q117" s="130"/>
      <c r="R117" s="130"/>
      <c r="S117" s="132" t="s">
        <v>145</v>
      </c>
      <c r="T117" s="133" t="s">
        <v>123</v>
      </c>
      <c r="U117" s="92" t="s">
        <v>108</v>
      </c>
      <c r="V117" s="92" t="s">
        <v>108</v>
      </c>
    </row>
    <row r="118" customFormat="false" ht="27.75" hidden="false" customHeight="true" outlineLevel="0" collapsed="false">
      <c r="A118" s="128" t="n">
        <v>11</v>
      </c>
      <c r="B118" s="91" t="s">
        <v>146</v>
      </c>
      <c r="C118" s="92" t="n">
        <v>2</v>
      </c>
      <c r="D118" s="93" t="s">
        <v>126</v>
      </c>
      <c r="E118" s="129" t="s">
        <v>144</v>
      </c>
      <c r="F118" s="94"/>
      <c r="G118" s="95"/>
      <c r="H118" s="130"/>
      <c r="I118" s="130"/>
      <c r="J118" s="137"/>
      <c r="K118" s="130" t="s">
        <v>120</v>
      </c>
      <c r="L118" s="130" t="s">
        <v>121</v>
      </c>
      <c r="M118" s="130"/>
      <c r="N118" s="130"/>
      <c r="O118" s="130"/>
      <c r="P118" s="130"/>
      <c r="Q118" s="130"/>
      <c r="R118" s="130"/>
      <c r="S118" s="132" t="s">
        <v>145</v>
      </c>
      <c r="T118" s="133" t="s">
        <v>123</v>
      </c>
      <c r="U118" s="92" t="s">
        <v>108</v>
      </c>
      <c r="V118" s="92" t="s">
        <v>108</v>
      </c>
    </row>
    <row r="119" customFormat="false" ht="27.75" hidden="false" customHeight="true" outlineLevel="0" collapsed="false">
      <c r="A119" s="128" t="n">
        <v>12</v>
      </c>
      <c r="B119" s="91" t="s">
        <v>147</v>
      </c>
      <c r="C119" s="92" t="n">
        <v>7</v>
      </c>
      <c r="D119" s="93" t="s">
        <v>98</v>
      </c>
      <c r="E119" s="129" t="s">
        <v>148</v>
      </c>
      <c r="F119" s="94"/>
      <c r="G119" s="95"/>
      <c r="H119" s="130"/>
      <c r="I119" s="130"/>
      <c r="J119" s="137"/>
      <c r="K119" s="130" t="s">
        <v>120</v>
      </c>
      <c r="L119" s="130" t="s">
        <v>121</v>
      </c>
      <c r="M119" s="130"/>
      <c r="N119" s="130"/>
      <c r="O119" s="130"/>
      <c r="P119" s="130"/>
      <c r="Q119" s="130"/>
      <c r="R119" s="130"/>
      <c r="S119" s="132" t="s">
        <v>142</v>
      </c>
      <c r="T119" s="133" t="s">
        <v>123</v>
      </c>
      <c r="U119" s="92" t="s">
        <v>108</v>
      </c>
      <c r="V119" s="92" t="s">
        <v>108</v>
      </c>
    </row>
    <row r="120" customFormat="false" ht="27.75" hidden="false" customHeight="true" outlineLevel="0" collapsed="false">
      <c r="A120" s="128" t="n">
        <v>13</v>
      </c>
      <c r="B120" s="91" t="s">
        <v>149</v>
      </c>
      <c r="C120" s="92" t="n">
        <v>7</v>
      </c>
      <c r="D120" s="93" t="s">
        <v>98</v>
      </c>
      <c r="E120" s="129" t="s">
        <v>129</v>
      </c>
      <c r="F120" s="94"/>
      <c r="G120" s="95"/>
      <c r="H120" s="130"/>
      <c r="I120" s="130"/>
      <c r="J120" s="137"/>
      <c r="K120" s="130" t="s">
        <v>120</v>
      </c>
      <c r="L120" s="130" t="s">
        <v>121</v>
      </c>
      <c r="M120" s="130"/>
      <c r="N120" s="130"/>
      <c r="O120" s="130"/>
      <c r="P120" s="130"/>
      <c r="Q120" s="130"/>
      <c r="R120" s="130"/>
      <c r="S120" s="132" t="s">
        <v>142</v>
      </c>
      <c r="T120" s="133" t="s">
        <v>123</v>
      </c>
      <c r="U120" s="92" t="s">
        <v>108</v>
      </c>
      <c r="V120" s="92" t="s">
        <v>108</v>
      </c>
    </row>
    <row r="121" customFormat="false" ht="27.75" hidden="false" customHeight="true" outlineLevel="0" collapsed="false">
      <c r="A121" s="128" t="n">
        <v>14</v>
      </c>
      <c r="B121" s="91" t="s">
        <v>150</v>
      </c>
      <c r="C121" s="92" t="n">
        <v>1</v>
      </c>
      <c r="D121" s="93" t="s">
        <v>118</v>
      </c>
      <c r="E121" s="129" t="s">
        <v>151</v>
      </c>
      <c r="F121" s="94"/>
      <c r="G121" s="95"/>
      <c r="H121" s="130"/>
      <c r="I121" s="130"/>
      <c r="J121" s="137"/>
      <c r="K121" s="130" t="s">
        <v>120</v>
      </c>
      <c r="L121" s="130" t="s">
        <v>121</v>
      </c>
      <c r="M121" s="130"/>
      <c r="N121" s="130"/>
      <c r="O121" s="130"/>
      <c r="P121" s="130"/>
      <c r="Q121" s="130"/>
      <c r="R121" s="130"/>
      <c r="S121" s="132" t="s">
        <v>139</v>
      </c>
      <c r="T121" s="133" t="s">
        <v>123</v>
      </c>
      <c r="U121" s="92" t="s">
        <v>108</v>
      </c>
      <c r="V121" s="92" t="s">
        <v>108</v>
      </c>
    </row>
    <row r="122" customFormat="false" ht="27.75" hidden="false" customHeight="true" outlineLevel="0" collapsed="false">
      <c r="A122" s="128" t="n">
        <v>15</v>
      </c>
      <c r="B122" s="91" t="s">
        <v>152</v>
      </c>
      <c r="C122" s="92" t="n">
        <v>1</v>
      </c>
      <c r="D122" s="93" t="s">
        <v>118</v>
      </c>
      <c r="E122" s="129" t="s">
        <v>153</v>
      </c>
      <c r="F122" s="94"/>
      <c r="G122" s="95"/>
      <c r="H122" s="138"/>
      <c r="I122" s="130"/>
      <c r="J122" s="130" t="s">
        <v>120</v>
      </c>
      <c r="K122" s="137"/>
      <c r="L122" s="130" t="s">
        <v>121</v>
      </c>
      <c r="M122" s="130"/>
      <c r="N122" s="130"/>
      <c r="O122" s="130"/>
      <c r="P122" s="130"/>
      <c r="Q122" s="130"/>
      <c r="R122" s="130"/>
      <c r="S122" s="132" t="s">
        <v>139</v>
      </c>
      <c r="T122" s="133" t="s">
        <v>123</v>
      </c>
      <c r="U122" s="92" t="s">
        <v>108</v>
      </c>
      <c r="V122" s="92" t="s">
        <v>109</v>
      </c>
    </row>
    <row r="123" customFormat="false" ht="27.75" hidden="false" customHeight="true" outlineLevel="0" collapsed="false">
      <c r="A123" s="128"/>
      <c r="B123" s="91"/>
      <c r="C123" s="92"/>
      <c r="D123" s="93"/>
      <c r="E123" s="139"/>
      <c r="F123" s="140"/>
      <c r="G123" s="141"/>
      <c r="H123" s="138"/>
      <c r="I123" s="130"/>
      <c r="J123" s="130"/>
      <c r="K123" s="137"/>
      <c r="L123" s="130"/>
      <c r="M123" s="130"/>
      <c r="N123" s="130"/>
      <c r="O123" s="130"/>
      <c r="P123" s="130"/>
      <c r="Q123" s="130"/>
      <c r="R123" s="130"/>
      <c r="S123" s="132"/>
      <c r="T123" s="133"/>
      <c r="U123" s="92"/>
      <c r="V123" s="92"/>
    </row>
    <row r="124" customFormat="false" ht="27.75" hidden="false" customHeight="true" outlineLevel="0" collapsed="false">
      <c r="A124" s="128"/>
      <c r="B124" s="91"/>
      <c r="C124" s="92"/>
      <c r="D124" s="93"/>
      <c r="E124" s="139"/>
      <c r="F124" s="140"/>
      <c r="G124" s="141"/>
      <c r="H124" s="138"/>
      <c r="I124" s="130"/>
      <c r="J124" s="130"/>
      <c r="K124" s="137"/>
      <c r="L124" s="130"/>
      <c r="M124" s="130"/>
      <c r="N124" s="130"/>
      <c r="O124" s="130"/>
      <c r="P124" s="130"/>
      <c r="Q124" s="130"/>
      <c r="R124" s="130"/>
      <c r="S124" s="132"/>
      <c r="T124" s="133"/>
      <c r="U124" s="92"/>
      <c r="V124" s="92"/>
    </row>
    <row r="125" customFormat="false" ht="27.75" hidden="false" customHeight="true" outlineLevel="0" collapsed="false">
      <c r="A125" s="128" t="n">
        <v>16</v>
      </c>
      <c r="B125" s="91" t="s">
        <v>154</v>
      </c>
      <c r="C125" s="92" t="n">
        <v>2</v>
      </c>
      <c r="D125" s="93" t="s">
        <v>126</v>
      </c>
      <c r="E125" s="129" t="s">
        <v>153</v>
      </c>
      <c r="F125" s="94"/>
      <c r="G125" s="95"/>
      <c r="H125" s="138"/>
      <c r="I125" s="130"/>
      <c r="J125" s="130" t="s">
        <v>120</v>
      </c>
      <c r="K125" s="137"/>
      <c r="L125" s="130" t="s">
        <v>121</v>
      </c>
      <c r="M125" s="137"/>
      <c r="N125" s="130"/>
      <c r="O125" s="130"/>
      <c r="P125" s="130"/>
      <c r="Q125" s="130"/>
      <c r="R125" s="130"/>
      <c r="S125" s="132" t="s">
        <v>155</v>
      </c>
      <c r="T125" s="133" t="s">
        <v>123</v>
      </c>
      <c r="U125" s="92" t="s">
        <v>107</v>
      </c>
      <c r="V125" s="92" t="s">
        <v>110</v>
      </c>
    </row>
    <row r="126" customFormat="false" ht="34.5" hidden="false" customHeight="true" outlineLevel="0" collapsed="false">
      <c r="A126" s="142" t="s">
        <v>156</v>
      </c>
      <c r="B126" s="143"/>
      <c r="C126" s="143"/>
      <c r="D126" s="144"/>
      <c r="E126" s="143"/>
      <c r="F126" s="143"/>
      <c r="G126" s="143"/>
      <c r="H126" s="143"/>
      <c r="J126" s="145" t="s">
        <v>157</v>
      </c>
      <c r="K126" s="146"/>
      <c r="L126" s="146"/>
      <c r="M126" s="146"/>
      <c r="O126" s="147"/>
    </row>
    <row r="127" customFormat="false" ht="34.5" hidden="false" customHeight="true" outlineLevel="0" collapsed="false">
      <c r="A127" s="148" t="s">
        <v>158</v>
      </c>
      <c r="B127" s="8" t="s">
        <v>159</v>
      </c>
      <c r="C127" s="149" t="s">
        <v>160</v>
      </c>
      <c r="D127" s="8" t="s">
        <v>161</v>
      </c>
      <c r="E127" s="8"/>
      <c r="F127" s="8"/>
      <c r="J127" s="150" t="s">
        <v>120</v>
      </c>
      <c r="K127" s="151" t="s">
        <v>162</v>
      </c>
      <c r="L127" s="152"/>
      <c r="M127" s="152"/>
      <c r="O127" s="153" t="s">
        <v>121</v>
      </c>
      <c r="P127" s="151" t="s">
        <v>163</v>
      </c>
      <c r="S127" s="154"/>
      <c r="U127" s="154"/>
      <c r="V127" s="154"/>
    </row>
    <row r="128" customFormat="false" ht="34.5" hidden="false" customHeight="true" outlineLevel="0" collapsed="false">
      <c r="A128" s="148" t="s">
        <v>164</v>
      </c>
      <c r="B128" s="8" t="s">
        <v>165</v>
      </c>
      <c r="C128" s="148" t="s">
        <v>166</v>
      </c>
      <c r="D128" s="8" t="s">
        <v>167</v>
      </c>
      <c r="J128" s="155" t="s">
        <v>168</v>
      </c>
      <c r="K128" s="151" t="s">
        <v>169</v>
      </c>
      <c r="L128" s="151"/>
      <c r="M128" s="156"/>
      <c r="O128" s="157" t="s">
        <v>170</v>
      </c>
      <c r="P128" s="151" t="s">
        <v>171</v>
      </c>
      <c r="Q128" s="156"/>
      <c r="U128" s="154"/>
      <c r="V128" s="154"/>
    </row>
    <row r="129" customFormat="false" ht="12.75" hidden="false" customHeight="true" outlineLevel="0" collapsed="false">
      <c r="U129" s="154"/>
      <c r="V129" s="154"/>
    </row>
    <row r="130" customFormat="false" ht="12.75" hidden="false" customHeight="true" outlineLevel="0" collapsed="false">
      <c r="A130" s="158"/>
    </row>
    <row r="132" customFormat="false" ht="12.75" hidden="false" customHeight="true" outlineLevel="0" collapsed="false">
      <c r="I132" s="1" t="s">
        <v>172</v>
      </c>
    </row>
    <row r="133" customFormat="false" ht="12.75" hidden="false" customHeight="true" outlineLevel="0" collapsed="false">
      <c r="I133" s="1" t="s">
        <v>173</v>
      </c>
    </row>
    <row r="134" customFormat="false" ht="12.75" hidden="false" customHeight="true" outlineLevel="0" collapsed="false">
      <c r="I134" s="1" t="s">
        <v>174</v>
      </c>
    </row>
  </sheetData>
  <mergeCells count="10">
    <mergeCell ref="A1:C1"/>
    <mergeCell ref="A2:B2"/>
    <mergeCell ref="D7:F7"/>
    <mergeCell ref="D8:F8"/>
    <mergeCell ref="D9:F9"/>
    <mergeCell ref="D10:F10"/>
    <mergeCell ref="D11:F11"/>
    <mergeCell ref="D14:F14"/>
    <mergeCell ref="D15:F15"/>
    <mergeCell ref="D17:F17"/>
  </mergeCells>
  <printOptions headings="false" gridLines="false" gridLinesSet="true" horizontalCentered="true" verticalCentered="true"/>
  <pageMargins left="0.7" right="0.7" top="0.75" bottom="0.75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2F5496"/>
    <pageSetUpPr fitToPage="false"/>
  </sheetPr>
  <dimension ref="A1:A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AB19" activePane="bottomRight" state="frozen"/>
      <selection pane="topLeft" activeCell="A1" activeCellId="0" sqref="A1"/>
      <selection pane="topRight" activeCell="AB1" activeCellId="0" sqref="AB1"/>
      <selection pane="bottomLeft" activeCell="A19" activeCellId="0" sqref="A19"/>
      <selection pane="bottomRight" activeCell="A4" activeCellId="0" sqref="A4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59" width="38"/>
    <col collapsed="false" customWidth="true" hidden="false" outlineLevel="0" max="2" min="2" style="159" width="12"/>
    <col collapsed="false" customWidth="true" hidden="false" outlineLevel="0" max="22" min="3" style="159" width="13"/>
    <col collapsed="false" customWidth="true" hidden="false" outlineLevel="0" max="23" min="23" style="159" width="11.5"/>
    <col collapsed="false" customWidth="true" hidden="false" outlineLevel="0" max="24" min="24" style="159" width="11"/>
    <col collapsed="false" customWidth="true" hidden="false" outlineLevel="0" max="25" min="25" style="159" width="11.16"/>
    <col collapsed="false" customWidth="true" hidden="false" outlineLevel="0" max="26" min="26" style="159" width="12.67"/>
    <col collapsed="false" customWidth="true" hidden="false" outlineLevel="0" max="27" min="27" style="159" width="12"/>
    <col collapsed="false" customWidth="true" hidden="false" outlineLevel="0" max="28" min="28" style="159" width="9.67"/>
    <col collapsed="false" customWidth="true" hidden="false" outlineLevel="0" max="29" min="29" style="159" width="10.51"/>
    <col collapsed="false" customWidth="true" hidden="false" outlineLevel="0" max="30" min="30" style="159" width="10"/>
    <col collapsed="false" customWidth="true" hidden="false" outlineLevel="0" max="31" min="31" style="159" width="12"/>
    <col collapsed="false" customWidth="true" hidden="false" outlineLevel="0" max="32" min="32" style="159" width="12.33"/>
    <col collapsed="false" customWidth="false" hidden="false" outlineLevel="0" max="16384" min="33" style="159" width="8.67"/>
  </cols>
  <sheetData>
    <row r="1" customFormat="false" ht="30" hidden="false" customHeight="true" outlineLevel="0" collapsed="false">
      <c r="A1" s="160" t="s">
        <v>175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customFormat="false" ht="15" hidden="false" customHeight="true" outlineLevel="0" collapsed="false">
      <c r="A2" s="161" t="s">
        <v>176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customFormat="false" ht="15" hidden="false" customHeight="true" outlineLevel="0" collapsed="false">
      <c r="C3" s="162" t="s">
        <v>177</v>
      </c>
      <c r="D3" s="162"/>
      <c r="E3" s="162"/>
      <c r="F3" s="162"/>
      <c r="G3" s="162"/>
      <c r="H3" s="162" t="s">
        <v>178</v>
      </c>
      <c r="I3" s="162"/>
      <c r="J3" s="162"/>
      <c r="K3" s="162"/>
      <c r="L3" s="162"/>
      <c r="M3" s="162" t="s">
        <v>179</v>
      </c>
      <c r="N3" s="162"/>
      <c r="O3" s="162"/>
      <c r="P3" s="162"/>
      <c r="Q3" s="162"/>
      <c r="R3" s="162" t="s">
        <v>180</v>
      </c>
      <c r="S3" s="162"/>
      <c r="T3" s="162"/>
      <c r="U3" s="162"/>
      <c r="V3" s="162"/>
      <c r="W3" s="162" t="s">
        <v>181</v>
      </c>
      <c r="X3" s="162"/>
      <c r="Y3" s="162"/>
      <c r="Z3" s="162"/>
      <c r="AA3" s="162"/>
      <c r="AB3" s="162" t="s">
        <v>182</v>
      </c>
      <c r="AC3" s="162"/>
      <c r="AD3" s="162"/>
      <c r="AE3" s="162"/>
      <c r="AF3" s="162"/>
    </row>
    <row r="4" customFormat="false" ht="34.5" hidden="false" customHeight="true" outlineLevel="0" collapsed="false">
      <c r="A4" s="163" t="s">
        <v>183</v>
      </c>
      <c r="B4" s="163" t="s">
        <v>184</v>
      </c>
      <c r="C4" s="164" t="s">
        <v>185</v>
      </c>
      <c r="D4" s="164" t="s">
        <v>186</v>
      </c>
      <c r="E4" s="164" t="s">
        <v>187</v>
      </c>
      <c r="F4" s="164" t="s">
        <v>118</v>
      </c>
      <c r="G4" s="164" t="s">
        <v>126</v>
      </c>
      <c r="H4" s="164" t="s">
        <v>185</v>
      </c>
      <c r="I4" s="164" t="s">
        <v>186</v>
      </c>
      <c r="J4" s="164" t="s">
        <v>187</v>
      </c>
      <c r="K4" s="164" t="s">
        <v>118</v>
      </c>
      <c r="L4" s="164" t="s">
        <v>126</v>
      </c>
      <c r="M4" s="164" t="s">
        <v>185</v>
      </c>
      <c r="N4" s="164" t="s">
        <v>186</v>
      </c>
      <c r="O4" s="164" t="s">
        <v>187</v>
      </c>
      <c r="P4" s="164" t="s">
        <v>118</v>
      </c>
      <c r="Q4" s="164" t="s">
        <v>126</v>
      </c>
      <c r="R4" s="164" t="s">
        <v>185</v>
      </c>
      <c r="S4" s="164" t="s">
        <v>186</v>
      </c>
      <c r="T4" s="164" t="s">
        <v>187</v>
      </c>
      <c r="U4" s="164" t="s">
        <v>118</v>
      </c>
      <c r="V4" s="164" t="s">
        <v>126</v>
      </c>
      <c r="W4" s="164" t="s">
        <v>185</v>
      </c>
      <c r="X4" s="164" t="s">
        <v>186</v>
      </c>
      <c r="Y4" s="164" t="s">
        <v>187</v>
      </c>
      <c r="Z4" s="164" t="s">
        <v>118</v>
      </c>
      <c r="AA4" s="164" t="s">
        <v>126</v>
      </c>
      <c r="AB4" s="164" t="s">
        <v>185</v>
      </c>
      <c r="AC4" s="164" t="s">
        <v>186</v>
      </c>
      <c r="AD4" s="164" t="s">
        <v>187</v>
      </c>
      <c r="AE4" s="164" t="s">
        <v>118</v>
      </c>
      <c r="AF4" s="164" t="s">
        <v>126</v>
      </c>
    </row>
    <row r="5" customFormat="false" ht="15" hidden="true" customHeight="true" outlineLevel="0" collapsed="false">
      <c r="A5" s="165" t="s">
        <v>188</v>
      </c>
      <c r="B5" s="166" t="s">
        <v>189</v>
      </c>
      <c r="C5" s="167" t="n">
        <v>168</v>
      </c>
      <c r="D5" s="167" t="n">
        <v>88</v>
      </c>
      <c r="E5" s="167" t="n">
        <v>88</v>
      </c>
      <c r="F5" s="168" t="n">
        <v>0.52</v>
      </c>
      <c r="G5" s="168" t="n">
        <v>0.52</v>
      </c>
      <c r="H5" s="167" t="n">
        <v>390</v>
      </c>
      <c r="I5" s="167" t="n">
        <v>141</v>
      </c>
      <c r="J5" s="167" t="n">
        <v>139</v>
      </c>
      <c r="K5" s="168" t="n">
        <v>0.36</v>
      </c>
      <c r="L5" s="168" t="n">
        <v>0.36</v>
      </c>
      <c r="M5" s="167" t="n">
        <v>675</v>
      </c>
      <c r="N5" s="167" t="n">
        <v>236</v>
      </c>
      <c r="O5" s="167" t="n">
        <v>233</v>
      </c>
      <c r="P5" s="168" t="n">
        <v>0.35</v>
      </c>
      <c r="Q5" s="168" t="n">
        <v>0.35</v>
      </c>
      <c r="R5" s="167" t="n">
        <v>719</v>
      </c>
      <c r="S5" s="167" t="n">
        <v>358</v>
      </c>
      <c r="T5" s="167" t="n">
        <v>352</v>
      </c>
      <c r="U5" s="168" t="n">
        <v>0.5</v>
      </c>
      <c r="V5" s="168" t="n">
        <v>0.49</v>
      </c>
      <c r="W5" s="167" t="n">
        <v>527</v>
      </c>
      <c r="X5" s="167" t="n">
        <v>291</v>
      </c>
      <c r="Y5" s="167" t="n">
        <v>288</v>
      </c>
      <c r="Z5" s="168" t="n">
        <v>0.552182163187856</v>
      </c>
      <c r="AA5" s="168" t="n">
        <v>0.546489563567362</v>
      </c>
      <c r="AB5" s="167" t="n">
        <v>569</v>
      </c>
      <c r="AC5" s="167" t="n">
        <v>349</v>
      </c>
      <c r="AD5" s="167" t="n">
        <v>341</v>
      </c>
      <c r="AE5" s="168" t="n">
        <v>0.61</v>
      </c>
      <c r="AF5" s="168" t="n">
        <v>0.6</v>
      </c>
    </row>
    <row r="6" customFormat="false" ht="15" hidden="true" customHeight="true" outlineLevel="0" collapsed="false">
      <c r="A6" s="165" t="s">
        <v>190</v>
      </c>
      <c r="B6" s="166" t="s">
        <v>191</v>
      </c>
      <c r="C6" s="167" t="n">
        <v>145</v>
      </c>
      <c r="D6" s="167" t="n">
        <v>114</v>
      </c>
      <c r="E6" s="167" t="n">
        <v>59</v>
      </c>
      <c r="F6" s="168" t="n">
        <v>0.79</v>
      </c>
      <c r="G6" s="168" t="n">
        <v>0.41</v>
      </c>
      <c r="H6" s="167" t="n">
        <v>286</v>
      </c>
      <c r="I6" s="167" t="n">
        <v>237</v>
      </c>
      <c r="J6" s="167" t="n">
        <v>104</v>
      </c>
      <c r="K6" s="168" t="n">
        <v>0.83</v>
      </c>
      <c r="L6" s="168" t="n">
        <v>0.36</v>
      </c>
      <c r="M6" s="167" t="n">
        <v>496</v>
      </c>
      <c r="N6" s="167" t="n">
        <v>423</v>
      </c>
      <c r="O6" s="167" t="n">
        <v>167</v>
      </c>
      <c r="P6" s="168" t="n">
        <v>0.85</v>
      </c>
      <c r="Q6" s="168" t="n">
        <v>0.34</v>
      </c>
      <c r="R6" s="167" t="n">
        <v>514</v>
      </c>
      <c r="S6" s="167" t="n">
        <v>447</v>
      </c>
      <c r="T6" s="167" t="n">
        <v>220</v>
      </c>
      <c r="U6" s="168" t="n">
        <v>0.87</v>
      </c>
      <c r="V6" s="168" t="n">
        <v>0.43</v>
      </c>
      <c r="W6" s="167" t="n">
        <v>398</v>
      </c>
      <c r="X6" s="167" t="n">
        <v>337</v>
      </c>
      <c r="Y6" s="167" t="n">
        <v>210</v>
      </c>
      <c r="Z6" s="168" t="n">
        <v>0.846733668341708</v>
      </c>
      <c r="AA6" s="168" t="n">
        <v>0.527638190954774</v>
      </c>
      <c r="AB6" s="167" t="n">
        <v>399</v>
      </c>
      <c r="AC6" s="167" t="n">
        <v>359</v>
      </c>
      <c r="AD6" s="167" t="n">
        <v>234</v>
      </c>
      <c r="AE6" s="168" t="n">
        <v>0.9</v>
      </c>
      <c r="AF6" s="168" t="n">
        <v>0.59</v>
      </c>
    </row>
    <row r="7" customFormat="false" ht="15" hidden="true" customHeight="true" outlineLevel="0" collapsed="false">
      <c r="A7" s="165" t="s">
        <v>190</v>
      </c>
      <c r="B7" s="166" t="s">
        <v>189</v>
      </c>
      <c r="C7" s="167" t="n">
        <v>145</v>
      </c>
      <c r="D7" s="167" t="n">
        <v>133</v>
      </c>
      <c r="E7" s="167" t="n">
        <v>24</v>
      </c>
      <c r="F7" s="168" t="n">
        <v>0.92</v>
      </c>
      <c r="G7" s="168" t="n">
        <v>0.17</v>
      </c>
      <c r="H7" s="167" t="n">
        <v>286</v>
      </c>
      <c r="I7" s="167" t="n">
        <v>272</v>
      </c>
      <c r="J7" s="167" t="n">
        <v>112</v>
      </c>
      <c r="K7" s="168" t="n">
        <v>0.95</v>
      </c>
      <c r="L7" s="168" t="n">
        <v>0.39</v>
      </c>
      <c r="M7" s="167" t="n">
        <v>496</v>
      </c>
      <c r="N7" s="167" t="n">
        <v>438</v>
      </c>
      <c r="O7" s="167" t="n">
        <v>171</v>
      </c>
      <c r="P7" s="168" t="n">
        <v>0.88</v>
      </c>
      <c r="Q7" s="168" t="n">
        <v>0.34</v>
      </c>
      <c r="R7" s="167" t="n">
        <v>514</v>
      </c>
      <c r="S7" s="167" t="n">
        <v>462</v>
      </c>
      <c r="T7" s="167" t="n">
        <v>207</v>
      </c>
      <c r="U7" s="168" t="n">
        <v>0.9</v>
      </c>
      <c r="V7" s="168" t="n">
        <v>0.4</v>
      </c>
      <c r="W7" s="167" t="n">
        <v>398</v>
      </c>
      <c r="X7" s="167" t="n">
        <v>354</v>
      </c>
      <c r="Y7" s="167" t="n">
        <v>131</v>
      </c>
      <c r="Z7" s="168" t="n">
        <v>0.889447236180904</v>
      </c>
      <c r="AA7" s="168" t="n">
        <v>0.329145728643216</v>
      </c>
      <c r="AB7" s="167" t="n">
        <v>399</v>
      </c>
      <c r="AC7" s="167" t="n">
        <v>361</v>
      </c>
      <c r="AD7" s="167" t="n">
        <v>149</v>
      </c>
      <c r="AE7" s="168" t="n">
        <v>0.9</v>
      </c>
      <c r="AF7" s="168" t="n">
        <v>0.37</v>
      </c>
    </row>
    <row r="8" customFormat="false" ht="15" hidden="true" customHeight="true" outlineLevel="0" collapsed="false">
      <c r="A8" s="169" t="s">
        <v>192</v>
      </c>
      <c r="B8" s="170" t="s">
        <v>189</v>
      </c>
      <c r="C8" s="171" t="n">
        <v>168</v>
      </c>
      <c r="D8" s="171" t="n">
        <v>103</v>
      </c>
      <c r="E8" s="171" t="n">
        <v>45</v>
      </c>
      <c r="F8" s="172" t="n">
        <v>0.61</v>
      </c>
      <c r="G8" s="172" t="n">
        <v>0.27</v>
      </c>
      <c r="H8" s="171" t="n">
        <v>390</v>
      </c>
      <c r="I8" s="171" t="n">
        <v>144</v>
      </c>
      <c r="J8" s="171" t="n">
        <v>72</v>
      </c>
      <c r="K8" s="172" t="n">
        <v>0.37</v>
      </c>
      <c r="L8" s="172" t="n">
        <v>0.18</v>
      </c>
      <c r="M8" s="171" t="n">
        <v>675</v>
      </c>
      <c r="N8" s="171" t="n">
        <v>277</v>
      </c>
      <c r="O8" s="171" t="n">
        <v>104</v>
      </c>
      <c r="P8" s="172" t="n">
        <v>0.41</v>
      </c>
      <c r="Q8" s="172" t="n">
        <v>0.15</v>
      </c>
      <c r="R8" s="171" t="n">
        <v>719</v>
      </c>
      <c r="S8" s="171" t="n">
        <v>435</v>
      </c>
      <c r="T8" s="171" t="n">
        <v>226</v>
      </c>
      <c r="U8" s="172" t="n">
        <v>0.61</v>
      </c>
      <c r="V8" s="172" t="n">
        <v>0.31</v>
      </c>
      <c r="W8" s="171" t="n">
        <v>527</v>
      </c>
      <c r="X8" s="171" t="n">
        <v>357</v>
      </c>
      <c r="Y8" s="171" t="n">
        <v>165</v>
      </c>
      <c r="Z8" s="172" t="n">
        <v>0.67741935483871</v>
      </c>
      <c r="AA8" s="172" t="n">
        <v>0.313092979127135</v>
      </c>
      <c r="AB8" s="173" t="n">
        <v>569</v>
      </c>
      <c r="AC8" s="173" t="n">
        <v>418</v>
      </c>
      <c r="AD8" s="173" t="n">
        <v>235</v>
      </c>
      <c r="AE8" s="174" t="n">
        <v>0.73</v>
      </c>
      <c r="AF8" s="175" t="n">
        <v>0.41</v>
      </c>
    </row>
    <row r="9" customFormat="false" ht="15" hidden="true" customHeight="true" outlineLevel="0" collapsed="false">
      <c r="A9" s="169" t="s">
        <v>193</v>
      </c>
      <c r="B9" s="170" t="s">
        <v>189</v>
      </c>
      <c r="C9" s="171" t="n">
        <v>154</v>
      </c>
      <c r="D9" s="171" t="n">
        <v>148</v>
      </c>
      <c r="E9" s="171" t="n">
        <v>98</v>
      </c>
      <c r="F9" s="172" t="n">
        <v>0.96</v>
      </c>
      <c r="G9" s="172" t="n">
        <v>0.64</v>
      </c>
      <c r="H9" s="171" t="n">
        <v>335</v>
      </c>
      <c r="I9" s="171" t="n">
        <v>305</v>
      </c>
      <c r="J9" s="171" t="n">
        <v>177</v>
      </c>
      <c r="K9" s="172" t="n">
        <v>0.91</v>
      </c>
      <c r="L9" s="172" t="n">
        <v>0.53</v>
      </c>
      <c r="M9" s="171" t="n">
        <v>535</v>
      </c>
      <c r="N9" s="171" t="n">
        <v>443</v>
      </c>
      <c r="O9" s="171" t="n">
        <v>274</v>
      </c>
      <c r="P9" s="172" t="n">
        <v>0.83</v>
      </c>
      <c r="Q9" s="172" t="n">
        <v>0.51</v>
      </c>
      <c r="R9" s="171" t="n">
        <v>577</v>
      </c>
      <c r="S9" s="171" t="n">
        <v>505</v>
      </c>
      <c r="T9" s="171" t="n">
        <v>281</v>
      </c>
      <c r="U9" s="172" t="n">
        <v>0.88</v>
      </c>
      <c r="V9" s="172" t="n">
        <v>0.49</v>
      </c>
      <c r="W9" s="171" t="n">
        <v>412</v>
      </c>
      <c r="X9" s="171" t="n">
        <v>335</v>
      </c>
      <c r="Y9" s="171" t="n">
        <v>194</v>
      </c>
      <c r="Z9" s="172" t="n">
        <v>0.813106796116505</v>
      </c>
      <c r="AA9" s="172" t="n">
        <v>0.470873786407767</v>
      </c>
      <c r="AB9" s="173" t="n">
        <v>461</v>
      </c>
      <c r="AC9" s="173" t="n">
        <v>413</v>
      </c>
      <c r="AD9" s="173" t="n">
        <v>243</v>
      </c>
      <c r="AE9" s="174" t="n">
        <v>0.9</v>
      </c>
      <c r="AF9" s="175" t="n">
        <v>0.53</v>
      </c>
    </row>
    <row r="10" customFormat="false" ht="15" hidden="true" customHeight="true" outlineLevel="0" collapsed="false">
      <c r="A10" s="169" t="s">
        <v>194</v>
      </c>
      <c r="B10" s="170" t="s">
        <v>189</v>
      </c>
      <c r="C10" s="171" t="n">
        <v>154</v>
      </c>
      <c r="D10" s="171" t="n">
        <v>104</v>
      </c>
      <c r="E10" s="171" t="n">
        <v>73</v>
      </c>
      <c r="F10" s="172" t="n">
        <v>0.68</v>
      </c>
      <c r="G10" s="172" t="n">
        <v>0.47</v>
      </c>
      <c r="H10" s="171" t="n">
        <v>335</v>
      </c>
      <c r="I10" s="171" t="n">
        <v>146</v>
      </c>
      <c r="J10" s="171" t="n">
        <v>92</v>
      </c>
      <c r="K10" s="172" t="n">
        <v>0.44</v>
      </c>
      <c r="L10" s="172" t="n">
        <v>0.27</v>
      </c>
      <c r="M10" s="171" t="n">
        <v>535</v>
      </c>
      <c r="N10" s="171" t="n">
        <v>245</v>
      </c>
      <c r="O10" s="171" t="n">
        <v>160</v>
      </c>
      <c r="P10" s="172" t="n">
        <v>0.46</v>
      </c>
      <c r="Q10" s="172" t="n">
        <v>0.3</v>
      </c>
      <c r="R10" s="171" t="n">
        <v>577</v>
      </c>
      <c r="S10" s="171" t="n">
        <v>390</v>
      </c>
      <c r="T10" s="171" t="n">
        <v>205</v>
      </c>
      <c r="U10" s="172" t="n">
        <v>0.68</v>
      </c>
      <c r="V10" s="172" t="n">
        <v>0.36</v>
      </c>
      <c r="W10" s="171" t="n">
        <v>412</v>
      </c>
      <c r="X10" s="171" t="n">
        <v>292</v>
      </c>
      <c r="Y10" s="171" t="n">
        <v>164</v>
      </c>
      <c r="Z10" s="172" t="n">
        <v>0.70873786407767</v>
      </c>
      <c r="AA10" s="172" t="n">
        <v>0.398058252427184</v>
      </c>
      <c r="AB10" s="173" t="n">
        <v>461</v>
      </c>
      <c r="AC10" s="173" t="n">
        <v>376</v>
      </c>
      <c r="AD10" s="173" t="n">
        <v>207</v>
      </c>
      <c r="AE10" s="174" t="n">
        <v>0.82</v>
      </c>
      <c r="AF10" s="175" t="n">
        <v>0.45</v>
      </c>
    </row>
    <row r="11" customFormat="false" ht="15" hidden="true" customHeight="true" outlineLevel="0" collapsed="false">
      <c r="A11" s="169" t="s">
        <v>195</v>
      </c>
      <c r="B11" s="170" t="s">
        <v>189</v>
      </c>
      <c r="C11" s="171" t="n">
        <v>168</v>
      </c>
      <c r="D11" s="171" t="n">
        <v>119</v>
      </c>
      <c r="E11" s="171" t="n">
        <v>86</v>
      </c>
      <c r="F11" s="172" t="n">
        <v>0.71</v>
      </c>
      <c r="G11" s="172" t="n">
        <v>0.51</v>
      </c>
      <c r="H11" s="171" t="n">
        <v>390</v>
      </c>
      <c r="I11" s="171" t="n">
        <v>237</v>
      </c>
      <c r="J11" s="171" t="n">
        <v>183</v>
      </c>
      <c r="K11" s="172" t="n">
        <v>0.61</v>
      </c>
      <c r="L11" s="172" t="n">
        <v>0.47</v>
      </c>
      <c r="M11" s="171" t="n">
        <v>675</v>
      </c>
      <c r="N11" s="171" t="n">
        <v>415</v>
      </c>
      <c r="O11" s="171" t="n">
        <v>323</v>
      </c>
      <c r="P11" s="172" t="n">
        <v>0.61</v>
      </c>
      <c r="Q11" s="172" t="n">
        <v>0.48</v>
      </c>
      <c r="R11" s="171" t="n">
        <v>719</v>
      </c>
      <c r="S11" s="171" t="n">
        <v>539</v>
      </c>
      <c r="T11" s="171" t="n">
        <v>439</v>
      </c>
      <c r="U11" s="172" t="n">
        <v>0.75</v>
      </c>
      <c r="V11" s="172" t="n">
        <v>0.61</v>
      </c>
      <c r="W11" s="171" t="n">
        <v>527</v>
      </c>
      <c r="X11" s="171" t="n">
        <v>405</v>
      </c>
      <c r="Y11" s="171" t="n">
        <v>322</v>
      </c>
      <c r="Z11" s="172" t="n">
        <v>0.768500948766603</v>
      </c>
      <c r="AA11" s="172" t="n">
        <v>0.61100569259962</v>
      </c>
      <c r="AB11" s="173" t="n">
        <v>569</v>
      </c>
      <c r="AC11" s="173" t="n">
        <v>451</v>
      </c>
      <c r="AD11" s="173" t="n">
        <v>384</v>
      </c>
      <c r="AE11" s="174" t="n">
        <v>0.79</v>
      </c>
      <c r="AF11" s="175" t="n">
        <v>0.67</v>
      </c>
    </row>
    <row r="12" customFormat="false" ht="15" hidden="true" customHeight="true" outlineLevel="0" collapsed="false">
      <c r="A12" s="169" t="s">
        <v>196</v>
      </c>
      <c r="B12" s="170" t="s">
        <v>189</v>
      </c>
      <c r="C12" s="171" t="n">
        <v>154</v>
      </c>
      <c r="D12" s="171" t="n">
        <v>108</v>
      </c>
      <c r="E12" s="171" t="n">
        <v>44</v>
      </c>
      <c r="F12" s="172" t="n">
        <v>0.7</v>
      </c>
      <c r="G12" s="172" t="n">
        <v>0.29</v>
      </c>
      <c r="H12" s="171" t="n">
        <v>335</v>
      </c>
      <c r="I12" s="171" t="n">
        <v>141</v>
      </c>
      <c r="J12" s="171" t="n">
        <v>89</v>
      </c>
      <c r="K12" s="172" t="n">
        <v>0.42</v>
      </c>
      <c r="L12" s="172" t="n">
        <v>0.27</v>
      </c>
      <c r="M12" s="171" t="n">
        <v>535</v>
      </c>
      <c r="N12" s="171" t="n">
        <v>225</v>
      </c>
      <c r="O12" s="171" t="n">
        <v>89</v>
      </c>
      <c r="P12" s="172" t="n">
        <v>0.42</v>
      </c>
      <c r="Q12" s="172" t="n">
        <v>0.17</v>
      </c>
      <c r="R12" s="171" t="n">
        <v>577</v>
      </c>
      <c r="S12" s="171" t="n">
        <v>328</v>
      </c>
      <c r="T12" s="171" t="n">
        <v>172</v>
      </c>
      <c r="U12" s="172" t="n">
        <v>0.57</v>
      </c>
      <c r="V12" s="172" t="n">
        <v>0.3</v>
      </c>
      <c r="W12" s="171" t="n">
        <v>412</v>
      </c>
      <c r="X12" s="171" t="n">
        <v>245</v>
      </c>
      <c r="Y12" s="171" t="n">
        <v>135</v>
      </c>
      <c r="Z12" s="172" t="n">
        <v>0.594660194174757</v>
      </c>
      <c r="AA12" s="172" t="n">
        <v>0.327669902912621</v>
      </c>
      <c r="AB12" s="173" t="n">
        <v>461</v>
      </c>
      <c r="AC12" s="173" t="n">
        <v>286</v>
      </c>
      <c r="AD12" s="173" t="n">
        <v>165</v>
      </c>
      <c r="AE12" s="174" t="n">
        <v>0.62</v>
      </c>
      <c r="AF12" s="175" t="n">
        <v>0.36</v>
      </c>
    </row>
    <row r="13" customFormat="false" ht="15" hidden="true" customHeight="true" outlineLevel="0" collapsed="false">
      <c r="A13" s="169" t="s">
        <v>197</v>
      </c>
      <c r="B13" s="170" t="s">
        <v>189</v>
      </c>
      <c r="C13" s="171" t="n">
        <v>115</v>
      </c>
      <c r="D13" s="171" t="n">
        <v>104</v>
      </c>
      <c r="E13" s="171" t="n">
        <v>46</v>
      </c>
      <c r="F13" s="172" t="n">
        <v>0.9</v>
      </c>
      <c r="G13" s="172" t="n">
        <v>0.4</v>
      </c>
      <c r="H13" s="171" t="n">
        <v>190</v>
      </c>
      <c r="I13" s="171" t="n">
        <v>175</v>
      </c>
      <c r="J13" s="171" t="n">
        <v>122</v>
      </c>
      <c r="K13" s="172" t="n">
        <v>0.92</v>
      </c>
      <c r="L13" s="172" t="n">
        <v>0.64</v>
      </c>
      <c r="M13" s="171" t="n">
        <v>354</v>
      </c>
      <c r="N13" s="171" t="n">
        <v>273</v>
      </c>
      <c r="O13" s="171" t="n">
        <v>149</v>
      </c>
      <c r="P13" s="172" t="n">
        <v>0.77</v>
      </c>
      <c r="Q13" s="172" t="n">
        <v>0.42</v>
      </c>
      <c r="R13" s="171" t="n">
        <v>294</v>
      </c>
      <c r="S13" s="171" t="n">
        <v>208</v>
      </c>
      <c r="T13" s="171" t="n">
        <v>96</v>
      </c>
      <c r="U13" s="172" t="n">
        <v>0.71</v>
      </c>
      <c r="V13" s="172" t="n">
        <v>0.33</v>
      </c>
      <c r="W13" s="171" t="n">
        <v>223</v>
      </c>
      <c r="X13" s="171" t="n">
        <v>176</v>
      </c>
      <c r="Y13" s="171" t="n">
        <v>98</v>
      </c>
      <c r="Z13" s="172" t="n">
        <v>0.789237668161435</v>
      </c>
      <c r="AA13" s="172" t="n">
        <v>0.439461883408072</v>
      </c>
      <c r="AB13" s="173" t="n">
        <v>183</v>
      </c>
      <c r="AC13" s="173" t="n">
        <v>122</v>
      </c>
      <c r="AD13" s="173" t="n">
        <v>81</v>
      </c>
      <c r="AE13" s="174" t="n">
        <v>0.67</v>
      </c>
      <c r="AF13" s="175" t="n">
        <v>0.44</v>
      </c>
    </row>
    <row r="14" customFormat="false" ht="15" hidden="true" customHeight="true" outlineLevel="0" collapsed="false">
      <c r="A14" s="165" t="s">
        <v>198</v>
      </c>
      <c r="B14" s="166" t="s">
        <v>191</v>
      </c>
      <c r="C14" s="167" t="n">
        <v>168</v>
      </c>
      <c r="D14" s="167" t="n">
        <v>166</v>
      </c>
      <c r="E14" s="167" t="n">
        <v>63</v>
      </c>
      <c r="F14" s="168" t="n">
        <v>0.99</v>
      </c>
      <c r="G14" s="168" t="n">
        <v>0.38</v>
      </c>
      <c r="H14" s="167" t="n">
        <v>390</v>
      </c>
      <c r="I14" s="167" t="n">
        <v>385</v>
      </c>
      <c r="J14" s="167" t="n">
        <v>166</v>
      </c>
      <c r="K14" s="168" t="n">
        <v>0.99</v>
      </c>
      <c r="L14" s="168" t="n">
        <v>0.43</v>
      </c>
      <c r="M14" s="167" t="n">
        <v>675</v>
      </c>
      <c r="N14" s="167" t="n">
        <v>648</v>
      </c>
      <c r="O14" s="167" t="n">
        <v>248</v>
      </c>
      <c r="P14" s="168" t="n">
        <v>0.96</v>
      </c>
      <c r="Q14" s="168" t="n">
        <v>0.37</v>
      </c>
      <c r="R14" s="167" t="n">
        <v>719</v>
      </c>
      <c r="S14" s="167" t="n">
        <v>696</v>
      </c>
      <c r="T14" s="167" t="n">
        <v>308</v>
      </c>
      <c r="U14" s="168" t="n">
        <v>0.97</v>
      </c>
      <c r="V14" s="168" t="n">
        <v>0.43</v>
      </c>
      <c r="W14" s="167" t="n">
        <v>527</v>
      </c>
      <c r="X14" s="167" t="n">
        <v>504</v>
      </c>
      <c r="Y14" s="167" t="n">
        <v>257</v>
      </c>
      <c r="Z14" s="168" t="n">
        <v>0.956356736242884</v>
      </c>
      <c r="AA14" s="168" t="n">
        <v>0.487666034155598</v>
      </c>
      <c r="AB14" s="167" t="n">
        <v>569</v>
      </c>
      <c r="AC14" s="167" t="n">
        <v>551</v>
      </c>
      <c r="AD14" s="167" t="n">
        <v>303</v>
      </c>
      <c r="AE14" s="168" t="n">
        <v>0.97</v>
      </c>
      <c r="AF14" s="168" t="n">
        <v>0.53</v>
      </c>
    </row>
    <row r="15" customFormat="false" ht="15" hidden="true" customHeight="true" outlineLevel="0" collapsed="false">
      <c r="A15" s="165" t="s">
        <v>198</v>
      </c>
      <c r="B15" s="166" t="s">
        <v>189</v>
      </c>
      <c r="C15" s="167" t="n">
        <v>168</v>
      </c>
      <c r="D15" s="167" t="n">
        <v>161</v>
      </c>
      <c r="E15" s="167" t="n">
        <v>140</v>
      </c>
      <c r="F15" s="168" t="n">
        <v>0.96</v>
      </c>
      <c r="G15" s="168" t="n">
        <v>0.83</v>
      </c>
      <c r="H15" s="167" t="n">
        <v>390</v>
      </c>
      <c r="I15" s="167" t="n">
        <v>362</v>
      </c>
      <c r="J15" s="167" t="n">
        <v>213</v>
      </c>
      <c r="K15" s="168" t="n">
        <v>0.93</v>
      </c>
      <c r="L15" s="168" t="n">
        <v>0.55</v>
      </c>
      <c r="M15" s="167" t="n">
        <v>675</v>
      </c>
      <c r="N15" s="167" t="n">
        <v>563</v>
      </c>
      <c r="O15" s="167" t="n">
        <v>353</v>
      </c>
      <c r="P15" s="168" t="n">
        <v>0.83</v>
      </c>
      <c r="Q15" s="168" t="n">
        <v>0.52</v>
      </c>
      <c r="R15" s="167" t="n">
        <v>719</v>
      </c>
      <c r="S15" s="167" t="n">
        <v>630</v>
      </c>
      <c r="T15" s="167" t="n">
        <v>385</v>
      </c>
      <c r="U15" s="168" t="n">
        <v>0.88</v>
      </c>
      <c r="V15" s="168" t="n">
        <v>0.54</v>
      </c>
      <c r="W15" s="167" t="n">
        <v>527</v>
      </c>
      <c r="X15" s="167" t="n">
        <v>471</v>
      </c>
      <c r="Y15" s="167" t="n">
        <v>259</v>
      </c>
      <c r="Z15" s="168" t="n">
        <v>0.893738140417457</v>
      </c>
      <c r="AA15" s="168" t="n">
        <v>0.49146110056926</v>
      </c>
      <c r="AB15" s="167" t="n">
        <v>569</v>
      </c>
      <c r="AC15" s="167" t="n">
        <v>500</v>
      </c>
      <c r="AD15" s="167" t="n">
        <v>332</v>
      </c>
      <c r="AE15" s="168" t="n">
        <v>0.88</v>
      </c>
      <c r="AF15" s="168" t="n">
        <v>0.58</v>
      </c>
    </row>
    <row r="16" customFormat="false" ht="15" hidden="true" customHeight="true" outlineLevel="0" collapsed="false">
      <c r="A16" s="165" t="s">
        <v>199</v>
      </c>
      <c r="B16" s="166" t="s">
        <v>191</v>
      </c>
      <c r="C16" s="167" t="n">
        <v>168</v>
      </c>
      <c r="D16" s="167" t="n">
        <v>168</v>
      </c>
      <c r="E16" s="167" t="n">
        <v>43</v>
      </c>
      <c r="F16" s="168" t="n">
        <v>1</v>
      </c>
      <c r="G16" s="168" t="n">
        <v>0.26</v>
      </c>
      <c r="H16" s="167" t="n">
        <v>390</v>
      </c>
      <c r="I16" s="167" t="n">
        <v>376</v>
      </c>
      <c r="J16" s="167" t="n">
        <v>83</v>
      </c>
      <c r="K16" s="168" t="n">
        <v>0.96</v>
      </c>
      <c r="L16" s="168" t="n">
        <v>0.21</v>
      </c>
      <c r="M16" s="167" t="n">
        <v>675</v>
      </c>
      <c r="N16" s="167" t="n">
        <v>631</v>
      </c>
      <c r="O16" s="167" t="n">
        <v>124</v>
      </c>
      <c r="P16" s="168" t="n">
        <v>0.93</v>
      </c>
      <c r="Q16" s="168" t="n">
        <v>0.18</v>
      </c>
      <c r="R16" s="167" t="n">
        <v>719</v>
      </c>
      <c r="S16" s="167" t="n">
        <v>679</v>
      </c>
      <c r="T16" s="167" t="n">
        <v>159</v>
      </c>
      <c r="U16" s="168" t="n">
        <v>0.94</v>
      </c>
      <c r="V16" s="168" t="n">
        <v>0.22</v>
      </c>
      <c r="W16" s="167" t="n">
        <v>527</v>
      </c>
      <c r="X16" s="167" t="n">
        <v>489</v>
      </c>
      <c r="Y16" s="167" t="n">
        <v>113</v>
      </c>
      <c r="Z16" s="168" t="n">
        <v>0.927893738140417</v>
      </c>
      <c r="AA16" s="168" t="n">
        <v>0.214421252371917</v>
      </c>
      <c r="AB16" s="167" t="n">
        <v>569</v>
      </c>
      <c r="AC16" s="167" t="n">
        <v>547</v>
      </c>
      <c r="AD16" s="167" t="n">
        <v>75</v>
      </c>
      <c r="AE16" s="168" t="n">
        <v>0.96</v>
      </c>
      <c r="AF16" s="168" t="n">
        <v>0.13</v>
      </c>
    </row>
    <row r="17" customFormat="false" ht="15" hidden="true" customHeight="true" outlineLevel="0" collapsed="false">
      <c r="A17" s="165" t="s">
        <v>199</v>
      </c>
      <c r="B17" s="166" t="s">
        <v>189</v>
      </c>
      <c r="C17" s="167" t="n">
        <v>168</v>
      </c>
      <c r="D17" s="167" t="n">
        <v>140</v>
      </c>
      <c r="E17" s="167" t="n">
        <v>55</v>
      </c>
      <c r="F17" s="168" t="n">
        <v>0.83</v>
      </c>
      <c r="G17" s="168" t="n">
        <v>0.33</v>
      </c>
      <c r="H17" s="167" t="n">
        <v>390</v>
      </c>
      <c r="I17" s="167" t="n">
        <v>325</v>
      </c>
      <c r="J17" s="167" t="n">
        <v>256</v>
      </c>
      <c r="K17" s="168" t="n">
        <v>0.83</v>
      </c>
      <c r="L17" s="168" t="n">
        <v>0.66</v>
      </c>
      <c r="M17" s="167" t="n">
        <v>675</v>
      </c>
      <c r="N17" s="167" t="n">
        <v>544</v>
      </c>
      <c r="O17" s="167" t="n">
        <v>409</v>
      </c>
      <c r="P17" s="168" t="n">
        <v>0.81</v>
      </c>
      <c r="Q17" s="168" t="n">
        <v>0.61</v>
      </c>
      <c r="R17" s="167" t="n">
        <v>719</v>
      </c>
      <c r="S17" s="167" t="n">
        <v>607</v>
      </c>
      <c r="T17" s="167" t="n">
        <v>373</v>
      </c>
      <c r="U17" s="168" t="n">
        <v>0.84</v>
      </c>
      <c r="V17" s="168" t="n">
        <v>0.52</v>
      </c>
      <c r="W17" s="167" t="n">
        <v>527</v>
      </c>
      <c r="X17" s="167" t="n">
        <v>431</v>
      </c>
      <c r="Y17" s="167" t="n">
        <v>231</v>
      </c>
      <c r="Z17" s="168" t="n">
        <v>0.817836812144213</v>
      </c>
      <c r="AA17" s="168" t="n">
        <v>0.438330170777989</v>
      </c>
      <c r="AB17" s="167" t="n">
        <v>569</v>
      </c>
      <c r="AC17" s="167" t="n">
        <v>502</v>
      </c>
      <c r="AD17" s="167" t="n">
        <v>261</v>
      </c>
      <c r="AE17" s="168" t="n">
        <v>0.88</v>
      </c>
      <c r="AF17" s="168" t="n">
        <v>0.46</v>
      </c>
    </row>
    <row r="18" customFormat="false" ht="15" hidden="true" customHeight="true" outlineLevel="0" collapsed="false">
      <c r="A18" s="169" t="s">
        <v>200</v>
      </c>
      <c r="B18" s="170" t="s">
        <v>189</v>
      </c>
      <c r="C18" s="171" t="n">
        <v>115</v>
      </c>
      <c r="D18" s="171" t="n">
        <v>75</v>
      </c>
      <c r="E18" s="171" t="n">
        <v>69</v>
      </c>
      <c r="F18" s="172" t="n">
        <v>0.65</v>
      </c>
      <c r="G18" s="172" t="n">
        <v>0.6</v>
      </c>
      <c r="H18" s="171" t="n">
        <v>190</v>
      </c>
      <c r="I18" s="171" t="n">
        <v>73</v>
      </c>
      <c r="J18" s="171" t="n">
        <v>58</v>
      </c>
      <c r="K18" s="172" t="n">
        <v>0.38</v>
      </c>
      <c r="L18" s="172" t="n">
        <v>0.31</v>
      </c>
      <c r="M18" s="171" t="n">
        <v>354</v>
      </c>
      <c r="N18" s="171" t="n">
        <v>102</v>
      </c>
      <c r="O18" s="171" t="n">
        <v>23</v>
      </c>
      <c r="P18" s="172" t="n">
        <v>0.29</v>
      </c>
      <c r="Q18" s="172" t="n">
        <v>0.06</v>
      </c>
      <c r="R18" s="171" t="n">
        <v>294</v>
      </c>
      <c r="S18" s="171" t="n">
        <v>120</v>
      </c>
      <c r="T18" s="171" t="n">
        <v>75</v>
      </c>
      <c r="U18" s="172" t="n">
        <v>0.41</v>
      </c>
      <c r="V18" s="172" t="n">
        <v>0.26</v>
      </c>
      <c r="W18" s="171" t="n">
        <v>223</v>
      </c>
      <c r="X18" s="171" t="n">
        <v>78</v>
      </c>
      <c r="Y18" s="171" t="n">
        <v>31</v>
      </c>
      <c r="Z18" s="172" t="n">
        <v>0.349775784753363</v>
      </c>
      <c r="AA18" s="172" t="n">
        <v>0.139013452914798</v>
      </c>
      <c r="AB18" s="173" t="n">
        <v>183</v>
      </c>
      <c r="AC18" s="173" t="n">
        <v>74</v>
      </c>
      <c r="AD18" s="173" t="n">
        <v>52</v>
      </c>
      <c r="AE18" s="174" t="n">
        <v>0.4</v>
      </c>
      <c r="AF18" s="175" t="n">
        <v>0.28</v>
      </c>
    </row>
    <row r="19" customFormat="false" ht="15" hidden="false" customHeight="true" outlineLevel="0" collapsed="false">
      <c r="A19" s="169" t="s">
        <v>201</v>
      </c>
      <c r="B19" s="170" t="s">
        <v>189</v>
      </c>
      <c r="C19" s="171" t="n">
        <v>53</v>
      </c>
      <c r="D19" s="171" t="n">
        <v>12</v>
      </c>
      <c r="E19" s="171" t="n">
        <v>2</v>
      </c>
      <c r="F19" s="172" t="n">
        <v>0.23</v>
      </c>
      <c r="G19" s="172" t="n">
        <v>0.04</v>
      </c>
      <c r="H19" s="171" t="n">
        <v>200</v>
      </c>
      <c r="I19" s="171" t="n">
        <v>25</v>
      </c>
      <c r="J19" s="171" t="n">
        <v>12</v>
      </c>
      <c r="K19" s="172" t="n">
        <v>0.13</v>
      </c>
      <c r="L19" s="172" t="n">
        <v>0.06</v>
      </c>
      <c r="M19" s="171" t="n">
        <v>321</v>
      </c>
      <c r="N19" s="171" t="n">
        <v>98</v>
      </c>
      <c r="O19" s="171" t="n">
        <v>57</v>
      </c>
      <c r="P19" s="172" t="n">
        <v>0.31</v>
      </c>
      <c r="Q19" s="172" t="n">
        <v>0.18</v>
      </c>
      <c r="R19" s="171" t="n">
        <v>425</v>
      </c>
      <c r="S19" s="171" t="n">
        <v>258</v>
      </c>
      <c r="T19" s="171" t="n">
        <v>160</v>
      </c>
      <c r="U19" s="172" t="n">
        <v>0.61</v>
      </c>
      <c r="V19" s="172" t="n">
        <v>0.38</v>
      </c>
      <c r="W19" s="171" t="n">
        <v>304</v>
      </c>
      <c r="X19" s="171" t="n">
        <v>194</v>
      </c>
      <c r="Y19" s="171" t="n">
        <v>93</v>
      </c>
      <c r="Z19" s="172" t="n">
        <v>0.638157894736842</v>
      </c>
      <c r="AA19" s="172" t="n">
        <v>0.305921052631579</v>
      </c>
      <c r="AB19" s="173" t="n">
        <v>386</v>
      </c>
      <c r="AC19" s="173" t="n">
        <v>316</v>
      </c>
      <c r="AD19" s="173" t="n">
        <v>145</v>
      </c>
      <c r="AE19" s="174" t="n">
        <v>0.82</v>
      </c>
      <c r="AF19" s="175" t="n">
        <v>0.38</v>
      </c>
    </row>
    <row r="20" customFormat="false" ht="15" hidden="false" customHeight="true" outlineLevel="0" collapsed="false">
      <c r="A20" s="169" t="s">
        <v>202</v>
      </c>
      <c r="B20" s="170" t="s">
        <v>189</v>
      </c>
      <c r="C20" s="171" t="n">
        <v>53</v>
      </c>
      <c r="D20" s="171" t="n">
        <v>15</v>
      </c>
      <c r="E20" s="171" t="n">
        <v>3</v>
      </c>
      <c r="F20" s="172" t="n">
        <v>0.28</v>
      </c>
      <c r="G20" s="172" t="n">
        <v>0.06</v>
      </c>
      <c r="H20" s="171" t="n">
        <v>200</v>
      </c>
      <c r="I20" s="171" t="n">
        <v>67</v>
      </c>
      <c r="J20" s="171" t="n">
        <v>30</v>
      </c>
      <c r="K20" s="172" t="n">
        <v>0.34</v>
      </c>
      <c r="L20" s="172" t="n">
        <v>0.15</v>
      </c>
      <c r="M20" s="171" t="n">
        <v>321</v>
      </c>
      <c r="N20" s="171" t="n">
        <v>158</v>
      </c>
      <c r="O20" s="171" t="n">
        <v>79</v>
      </c>
      <c r="P20" s="172" t="n">
        <v>0.49</v>
      </c>
      <c r="Q20" s="172" t="n">
        <v>0.25</v>
      </c>
      <c r="R20" s="171" t="n">
        <v>425</v>
      </c>
      <c r="S20" s="171" t="n">
        <v>311</v>
      </c>
      <c r="T20" s="171" t="n">
        <v>174</v>
      </c>
      <c r="U20" s="172" t="n">
        <v>0.73</v>
      </c>
      <c r="V20" s="172" t="n">
        <v>0.41</v>
      </c>
      <c r="W20" s="171" t="n">
        <v>304</v>
      </c>
      <c r="X20" s="171" t="n">
        <v>212</v>
      </c>
      <c r="Y20" s="171" t="n">
        <v>95</v>
      </c>
      <c r="Z20" s="172" t="n">
        <v>0.697368421052632</v>
      </c>
      <c r="AA20" s="172" t="n">
        <v>0.3125</v>
      </c>
      <c r="AB20" s="173" t="n">
        <v>386</v>
      </c>
      <c r="AC20" s="173" t="n">
        <v>335</v>
      </c>
      <c r="AD20" s="173" t="n">
        <v>142</v>
      </c>
      <c r="AE20" s="174" t="n">
        <v>0.87</v>
      </c>
      <c r="AF20" s="175" t="n">
        <v>0.37</v>
      </c>
    </row>
    <row r="21" customFormat="false" ht="15" hidden="false" customHeight="true" outlineLevel="0" collapsed="false">
      <c r="A21" s="169" t="s">
        <v>203</v>
      </c>
      <c r="B21" s="170" t="s">
        <v>189</v>
      </c>
      <c r="C21" s="171" t="n">
        <v>53</v>
      </c>
      <c r="D21" s="171" t="n">
        <v>15</v>
      </c>
      <c r="E21" s="171" t="n">
        <v>2</v>
      </c>
      <c r="F21" s="172" t="n">
        <v>0.28</v>
      </c>
      <c r="G21" s="172" t="n">
        <v>0.04</v>
      </c>
      <c r="H21" s="171" t="n">
        <v>200</v>
      </c>
      <c r="I21" s="171" t="n">
        <v>27</v>
      </c>
      <c r="J21" s="171" t="n">
        <v>16</v>
      </c>
      <c r="K21" s="172" t="n">
        <v>0.14</v>
      </c>
      <c r="L21" s="172" t="n">
        <v>0.08</v>
      </c>
      <c r="M21" s="171" t="n">
        <v>321</v>
      </c>
      <c r="N21" s="171" t="n">
        <v>110</v>
      </c>
      <c r="O21" s="171" t="n">
        <v>70</v>
      </c>
      <c r="P21" s="172" t="n">
        <v>0.34</v>
      </c>
      <c r="Q21" s="172" t="n">
        <v>0.22</v>
      </c>
      <c r="R21" s="171" t="n">
        <v>425</v>
      </c>
      <c r="S21" s="171" t="n">
        <v>281</v>
      </c>
      <c r="T21" s="171" t="n">
        <v>213</v>
      </c>
      <c r="U21" s="172" t="n">
        <v>0.66</v>
      </c>
      <c r="V21" s="172" t="n">
        <v>0.5</v>
      </c>
      <c r="W21" s="171" t="n">
        <v>304</v>
      </c>
      <c r="X21" s="171" t="n">
        <v>213</v>
      </c>
      <c r="Y21" s="171" t="n">
        <v>138</v>
      </c>
      <c r="Z21" s="172" t="n">
        <v>0.700657894736842</v>
      </c>
      <c r="AA21" s="172" t="n">
        <v>0.453947368421053</v>
      </c>
      <c r="AB21" s="173" t="n">
        <v>386</v>
      </c>
      <c r="AC21" s="173" t="n">
        <v>337</v>
      </c>
      <c r="AD21" s="173" t="n">
        <v>235</v>
      </c>
      <c r="AE21" s="174" t="n">
        <v>0.87</v>
      </c>
      <c r="AF21" s="175" t="n">
        <v>0.61</v>
      </c>
    </row>
    <row r="22" customFormat="false" ht="15" hidden="true" customHeight="true" outlineLevel="0" collapsed="false">
      <c r="A22" s="165" t="s">
        <v>204</v>
      </c>
      <c r="B22" s="166" t="s">
        <v>189</v>
      </c>
      <c r="C22" s="167" t="n">
        <v>118</v>
      </c>
      <c r="D22" s="167" t="n">
        <v>118</v>
      </c>
      <c r="E22" s="167" t="n">
        <v>118</v>
      </c>
      <c r="F22" s="168" t="n">
        <v>1</v>
      </c>
      <c r="G22" s="168" t="n">
        <v>1</v>
      </c>
      <c r="H22" s="167" t="n">
        <v>129</v>
      </c>
      <c r="I22" s="167" t="n">
        <v>129</v>
      </c>
      <c r="J22" s="167" t="n">
        <v>119</v>
      </c>
      <c r="K22" s="168" t="n">
        <v>1</v>
      </c>
      <c r="L22" s="168" t="n">
        <v>0.92</v>
      </c>
      <c r="M22" s="167" t="n">
        <v>213</v>
      </c>
      <c r="N22" s="167" t="n">
        <v>120</v>
      </c>
      <c r="O22" s="167" t="n">
        <v>116</v>
      </c>
      <c r="P22" s="168" t="n">
        <v>0.56</v>
      </c>
      <c r="Q22" s="168" t="n">
        <v>0.54</v>
      </c>
      <c r="R22" s="167" t="n">
        <v>184</v>
      </c>
      <c r="S22" s="167" t="n">
        <v>77</v>
      </c>
      <c r="T22" s="167" t="n">
        <v>68</v>
      </c>
      <c r="U22" s="168" t="n">
        <v>0.42</v>
      </c>
      <c r="V22" s="168" t="n">
        <v>0.37</v>
      </c>
      <c r="W22" s="167" t="n">
        <v>109</v>
      </c>
      <c r="X22" s="167" t="n">
        <v>52</v>
      </c>
      <c r="Y22" s="167" t="n">
        <v>52</v>
      </c>
      <c r="Z22" s="168" t="n">
        <v>0.477064220183486</v>
      </c>
      <c r="AA22" s="168" t="n">
        <v>0.477064220183486</v>
      </c>
      <c r="AB22" s="167" t="n">
        <v>110</v>
      </c>
      <c r="AC22" s="167" t="n">
        <v>23</v>
      </c>
      <c r="AD22" s="167" t="n">
        <v>23</v>
      </c>
      <c r="AE22" s="168" t="n">
        <v>0.21</v>
      </c>
      <c r="AF22" s="168" t="n">
        <v>0.21</v>
      </c>
    </row>
    <row r="23" customFormat="false" ht="15" hidden="true" customHeight="true" outlineLevel="0" collapsed="false">
      <c r="A23" s="169" t="s">
        <v>205</v>
      </c>
      <c r="B23" s="170" t="s">
        <v>189</v>
      </c>
      <c r="C23" s="171" t="n">
        <v>50</v>
      </c>
      <c r="D23" s="171" t="n">
        <v>10</v>
      </c>
      <c r="E23" s="171" t="n">
        <v>9</v>
      </c>
      <c r="F23" s="172" t="n">
        <v>0.2</v>
      </c>
      <c r="G23" s="172" t="n">
        <v>0.18</v>
      </c>
      <c r="H23" s="171" t="n">
        <v>261</v>
      </c>
      <c r="I23" s="171" t="n">
        <v>22</v>
      </c>
      <c r="J23" s="171" t="n">
        <v>19</v>
      </c>
      <c r="K23" s="172" t="n">
        <v>0.08</v>
      </c>
      <c r="L23" s="172" t="n">
        <v>0.07</v>
      </c>
      <c r="M23" s="171" t="n">
        <v>462</v>
      </c>
      <c r="N23" s="171" t="n">
        <v>49</v>
      </c>
      <c r="O23" s="171" t="n">
        <v>18</v>
      </c>
      <c r="P23" s="172" t="n">
        <v>0.11</v>
      </c>
      <c r="Q23" s="172" t="n">
        <v>0.04</v>
      </c>
      <c r="R23" s="171" t="n">
        <v>535</v>
      </c>
      <c r="S23" s="171" t="n">
        <v>69</v>
      </c>
      <c r="T23" s="171" t="n">
        <v>12</v>
      </c>
      <c r="U23" s="172" t="n">
        <v>0.13</v>
      </c>
      <c r="V23" s="172" t="n">
        <v>0.02</v>
      </c>
      <c r="W23" s="171" t="n">
        <v>418</v>
      </c>
      <c r="X23" s="171" t="n">
        <v>73</v>
      </c>
      <c r="Y23" s="171" t="n">
        <v>37</v>
      </c>
      <c r="Z23" s="172" t="n">
        <v>0.174641148325359</v>
      </c>
      <c r="AA23" s="172" t="n">
        <v>0.0885167464114833</v>
      </c>
      <c r="AB23" s="173" t="n">
        <v>459</v>
      </c>
      <c r="AC23" s="173" t="n">
        <v>55</v>
      </c>
      <c r="AD23" s="173" t="n">
        <v>24</v>
      </c>
      <c r="AE23" s="174" t="n">
        <v>0.12</v>
      </c>
      <c r="AF23" s="175" t="n">
        <v>0.05</v>
      </c>
    </row>
    <row r="24" customFormat="false" ht="15" hidden="true" customHeight="true" outlineLevel="0" collapsed="false">
      <c r="A24" s="165" t="s">
        <v>206</v>
      </c>
      <c r="B24" s="166" t="s">
        <v>191</v>
      </c>
      <c r="C24" s="167" t="n">
        <v>50</v>
      </c>
      <c r="D24" s="167" t="n">
        <v>48</v>
      </c>
      <c r="E24" s="167" t="n">
        <v>40</v>
      </c>
      <c r="F24" s="168" t="n">
        <v>0.96</v>
      </c>
      <c r="G24" s="168" t="n">
        <v>0.8</v>
      </c>
      <c r="H24" s="167" t="n">
        <v>261</v>
      </c>
      <c r="I24" s="167" t="n">
        <v>258</v>
      </c>
      <c r="J24" s="167" t="n">
        <v>214</v>
      </c>
      <c r="K24" s="168" t="n">
        <v>0.99</v>
      </c>
      <c r="L24" s="168" t="n">
        <v>0.82</v>
      </c>
      <c r="M24" s="167" t="n">
        <v>462</v>
      </c>
      <c r="N24" s="167" t="n">
        <v>449</v>
      </c>
      <c r="O24" s="167" t="n">
        <v>325</v>
      </c>
      <c r="P24" s="168" t="n">
        <v>0.97</v>
      </c>
      <c r="Q24" s="168" t="n">
        <v>0.7</v>
      </c>
      <c r="R24" s="167" t="n">
        <v>535</v>
      </c>
      <c r="S24" s="167" t="n">
        <v>522</v>
      </c>
      <c r="T24" s="167" t="n">
        <v>358</v>
      </c>
      <c r="U24" s="168" t="n">
        <v>0.98</v>
      </c>
      <c r="V24" s="168" t="n">
        <v>0.67</v>
      </c>
      <c r="W24" s="167" t="n">
        <v>418</v>
      </c>
      <c r="X24" s="167" t="n">
        <v>400</v>
      </c>
      <c r="Y24" s="167" t="n">
        <v>288</v>
      </c>
      <c r="Z24" s="168" t="n">
        <v>0.956937799043062</v>
      </c>
      <c r="AA24" s="168" t="n">
        <v>0.688995215311005</v>
      </c>
      <c r="AB24" s="167" t="n">
        <v>459</v>
      </c>
      <c r="AC24" s="167" t="n">
        <v>430</v>
      </c>
      <c r="AD24" s="167" t="n">
        <v>309</v>
      </c>
      <c r="AE24" s="168" t="n">
        <v>0.94</v>
      </c>
      <c r="AF24" s="168" t="n">
        <v>0.67</v>
      </c>
    </row>
    <row r="25" customFormat="false" ht="15" hidden="true" customHeight="true" outlineLevel="0" collapsed="false">
      <c r="A25" s="165" t="s">
        <v>206</v>
      </c>
      <c r="B25" s="166" t="s">
        <v>189</v>
      </c>
      <c r="C25" s="167" t="n">
        <v>50</v>
      </c>
      <c r="D25" s="167" t="n">
        <v>50</v>
      </c>
      <c r="E25" s="167" t="n">
        <v>2</v>
      </c>
      <c r="F25" s="168" t="n">
        <v>1</v>
      </c>
      <c r="G25" s="168" t="n">
        <v>0.04</v>
      </c>
      <c r="H25" s="167" t="n">
        <v>261</v>
      </c>
      <c r="I25" s="167" t="n">
        <v>261</v>
      </c>
      <c r="J25" s="167" t="n">
        <v>32</v>
      </c>
      <c r="K25" s="168" t="n">
        <v>1</v>
      </c>
      <c r="L25" s="168" t="n">
        <v>0.12</v>
      </c>
      <c r="M25" s="167" t="n">
        <v>462</v>
      </c>
      <c r="N25" s="167" t="n">
        <v>353</v>
      </c>
      <c r="O25" s="167" t="n">
        <v>132</v>
      </c>
      <c r="P25" s="168" t="n">
        <v>0.76</v>
      </c>
      <c r="Q25" s="168" t="n">
        <v>0.29</v>
      </c>
      <c r="R25" s="167" t="n">
        <v>535</v>
      </c>
      <c r="S25" s="167" t="n">
        <v>445</v>
      </c>
      <c r="T25" s="167" t="n">
        <v>48</v>
      </c>
      <c r="U25" s="168" t="n">
        <v>0.83</v>
      </c>
      <c r="V25" s="168" t="n">
        <v>0.09</v>
      </c>
      <c r="W25" s="167" t="n">
        <v>418</v>
      </c>
      <c r="X25" s="167" t="n">
        <v>351</v>
      </c>
      <c r="Y25" s="167" t="n">
        <v>44</v>
      </c>
      <c r="Z25" s="168" t="n">
        <v>0.839712918660287</v>
      </c>
      <c r="AA25" s="168" t="n">
        <v>0.105263157894737</v>
      </c>
      <c r="AB25" s="167" t="n">
        <v>459</v>
      </c>
      <c r="AC25" s="167" t="n">
        <v>304</v>
      </c>
      <c r="AD25" s="167" t="n">
        <v>73</v>
      </c>
      <c r="AE25" s="168" t="n">
        <v>0.66</v>
      </c>
      <c r="AF25" s="168" t="n">
        <v>0.16</v>
      </c>
    </row>
  </sheetData>
  <autoFilter ref="A4:AF25">
    <filterColumn colId="0">
      <filters>
        <filter val="S12 - On hand at destination Hub/ CC"/>
        <filter val="S13 - On hand at destination SVC"/>
        <filter val="S18 - Recovered from carrier"/>
      </filters>
    </filterColumn>
  </autoFilter>
  <mergeCells count="8">
    <mergeCell ref="A1:V1"/>
    <mergeCell ref="A2:V2"/>
    <mergeCell ref="C3:G3"/>
    <mergeCell ref="H3:L3"/>
    <mergeCell ref="M3:Q3"/>
    <mergeCell ref="R3:V3"/>
    <mergeCell ref="W3:AA3"/>
    <mergeCell ref="AB3:AF3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4" activeCellId="0" sqref="A4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59" width="38"/>
    <col collapsed="false" customWidth="true" hidden="false" outlineLevel="0" max="2" min="2" style="159" width="12"/>
    <col collapsed="false" customWidth="true" hidden="false" outlineLevel="0" max="22" min="3" style="159" width="13"/>
    <col collapsed="false" customWidth="true" hidden="false" outlineLevel="0" max="23" min="23" style="159" width="11"/>
    <col collapsed="false" customWidth="true" hidden="false" outlineLevel="0" max="24" min="24" style="159" width="10.83"/>
    <col collapsed="false" customWidth="true" hidden="false" outlineLevel="0" max="25" min="25" style="159" width="10"/>
    <col collapsed="false" customWidth="true" hidden="false" outlineLevel="0" max="26" min="26" style="159" width="13.5"/>
    <col collapsed="false" customWidth="true" hidden="false" outlineLevel="0" max="27" min="27" style="159" width="10"/>
    <col collapsed="false" customWidth="true" hidden="false" outlineLevel="0" max="29" min="28" style="159" width="10.51"/>
    <col collapsed="false" customWidth="false" hidden="false" outlineLevel="0" max="30" min="30" style="159" width="8.67"/>
    <col collapsed="false" customWidth="true" hidden="false" outlineLevel="0" max="31" min="31" style="159" width="10.51"/>
    <col collapsed="false" customWidth="false" hidden="false" outlineLevel="0" max="16384" min="32" style="159" width="8.67"/>
  </cols>
  <sheetData>
    <row r="1" customFormat="false" ht="30" hidden="false" customHeight="true" outlineLevel="0" collapsed="false">
      <c r="A1" s="160" t="s">
        <v>207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</row>
    <row r="2" customFormat="false" ht="15" hidden="false" customHeight="true" outlineLevel="0" collapsed="false">
      <c r="A2" s="161" t="s">
        <v>208</v>
      </c>
      <c r="B2" s="161"/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  <c r="O2" s="161"/>
      <c r="P2" s="161"/>
      <c r="Q2" s="161"/>
      <c r="R2" s="161"/>
      <c r="S2" s="161"/>
      <c r="T2" s="161"/>
      <c r="U2" s="161"/>
      <c r="V2" s="161"/>
    </row>
    <row r="3" customFormat="false" ht="15" hidden="false" customHeight="true" outlineLevel="0" collapsed="false">
      <c r="C3" s="162" t="s">
        <v>177</v>
      </c>
      <c r="D3" s="162"/>
      <c r="E3" s="162"/>
      <c r="F3" s="162"/>
      <c r="G3" s="162"/>
      <c r="H3" s="162" t="s">
        <v>178</v>
      </c>
      <c r="I3" s="162"/>
      <c r="J3" s="162"/>
      <c r="K3" s="162"/>
      <c r="L3" s="162"/>
      <c r="M3" s="162" t="s">
        <v>179</v>
      </c>
      <c r="N3" s="162"/>
      <c r="O3" s="162"/>
      <c r="P3" s="162"/>
      <c r="Q3" s="162"/>
      <c r="R3" s="162" t="s">
        <v>180</v>
      </c>
      <c r="S3" s="162"/>
      <c r="T3" s="162"/>
      <c r="U3" s="162"/>
      <c r="V3" s="162"/>
      <c r="W3" s="162" t="s">
        <v>181</v>
      </c>
      <c r="X3" s="162"/>
      <c r="Y3" s="162"/>
      <c r="Z3" s="162"/>
      <c r="AA3" s="162"/>
      <c r="AB3" s="162" t="s">
        <v>182</v>
      </c>
      <c r="AC3" s="162"/>
      <c r="AD3" s="162"/>
      <c r="AE3" s="162"/>
      <c r="AF3" s="162"/>
    </row>
    <row r="4" customFormat="false" ht="34.5" hidden="false" customHeight="true" outlineLevel="0" collapsed="false">
      <c r="A4" s="163" t="s">
        <v>183</v>
      </c>
      <c r="B4" s="163" t="s">
        <v>184</v>
      </c>
      <c r="C4" s="164" t="s">
        <v>185</v>
      </c>
      <c r="D4" s="164" t="s">
        <v>186</v>
      </c>
      <c r="E4" s="164" t="s">
        <v>187</v>
      </c>
      <c r="F4" s="164" t="s">
        <v>118</v>
      </c>
      <c r="G4" s="164" t="s">
        <v>126</v>
      </c>
      <c r="H4" s="164" t="s">
        <v>185</v>
      </c>
      <c r="I4" s="164" t="s">
        <v>186</v>
      </c>
      <c r="J4" s="164" t="s">
        <v>187</v>
      </c>
      <c r="K4" s="164" t="s">
        <v>118</v>
      </c>
      <c r="L4" s="164" t="s">
        <v>126</v>
      </c>
      <c r="M4" s="164" t="s">
        <v>185</v>
      </c>
      <c r="N4" s="164" t="s">
        <v>186</v>
      </c>
      <c r="O4" s="164" t="s">
        <v>187</v>
      </c>
      <c r="P4" s="164" t="s">
        <v>118</v>
      </c>
      <c r="Q4" s="164" t="s">
        <v>126</v>
      </c>
      <c r="R4" s="164" t="s">
        <v>185</v>
      </c>
      <c r="S4" s="164" t="s">
        <v>186</v>
      </c>
      <c r="T4" s="164" t="s">
        <v>187</v>
      </c>
      <c r="U4" s="164" t="s">
        <v>118</v>
      </c>
      <c r="V4" s="164" t="s">
        <v>126</v>
      </c>
      <c r="W4" s="164" t="s">
        <v>185</v>
      </c>
      <c r="X4" s="164" t="s">
        <v>186</v>
      </c>
      <c r="Y4" s="164" t="s">
        <v>187</v>
      </c>
      <c r="Z4" s="164" t="s">
        <v>118</v>
      </c>
      <c r="AA4" s="164" t="s">
        <v>126</v>
      </c>
      <c r="AB4" s="164" t="s">
        <v>185</v>
      </c>
      <c r="AC4" s="164" t="s">
        <v>186</v>
      </c>
      <c r="AD4" s="164" t="s">
        <v>187</v>
      </c>
      <c r="AE4" s="164" t="s">
        <v>118</v>
      </c>
      <c r="AF4" s="164" t="s">
        <v>126</v>
      </c>
    </row>
    <row r="5" customFormat="false" ht="15" hidden="false" customHeight="true" outlineLevel="0" collapsed="false">
      <c r="A5" s="169" t="s">
        <v>209</v>
      </c>
      <c r="B5" s="170" t="s">
        <v>189</v>
      </c>
      <c r="C5" s="171" t="n">
        <v>29</v>
      </c>
      <c r="D5" s="171" t="n">
        <v>27</v>
      </c>
      <c r="E5" s="171" t="n">
        <v>27</v>
      </c>
      <c r="F5" s="172" t="n">
        <v>0.931</v>
      </c>
      <c r="G5" s="172" t="n">
        <v>0.931</v>
      </c>
      <c r="H5" s="171" t="n">
        <v>36</v>
      </c>
      <c r="I5" s="171" t="n">
        <v>33</v>
      </c>
      <c r="J5" s="171" t="n">
        <v>33</v>
      </c>
      <c r="K5" s="172" t="n">
        <v>0.917</v>
      </c>
      <c r="L5" s="172" t="n">
        <v>0.917</v>
      </c>
      <c r="M5" s="171" t="n">
        <v>51</v>
      </c>
      <c r="N5" s="171" t="n">
        <v>47</v>
      </c>
      <c r="O5" s="171" t="n">
        <v>47</v>
      </c>
      <c r="P5" s="172" t="n">
        <v>0.922</v>
      </c>
      <c r="Q5" s="172" t="n">
        <v>0.922</v>
      </c>
      <c r="R5" s="171" t="n">
        <v>66</v>
      </c>
      <c r="S5" s="171" t="n">
        <v>63</v>
      </c>
      <c r="T5" s="171" t="n">
        <v>62</v>
      </c>
      <c r="U5" s="172" t="n">
        <v>0.955</v>
      </c>
      <c r="V5" s="172" t="n">
        <v>0.939</v>
      </c>
      <c r="W5" s="171" t="n">
        <v>52</v>
      </c>
      <c r="X5" s="171" t="n">
        <v>48</v>
      </c>
      <c r="Y5" s="171" t="n">
        <v>48</v>
      </c>
      <c r="Z5" s="172" t="n">
        <v>0.923076923076923</v>
      </c>
      <c r="AA5" s="172" t="n">
        <v>0.923076923076923</v>
      </c>
      <c r="AB5" s="171" t="n">
        <v>76</v>
      </c>
      <c r="AC5" s="171" t="n">
        <v>70</v>
      </c>
      <c r="AD5" s="171" t="n">
        <v>70</v>
      </c>
      <c r="AE5" s="172" t="n">
        <v>0.921</v>
      </c>
      <c r="AF5" s="172" t="n">
        <v>0.921</v>
      </c>
    </row>
    <row r="6" customFormat="false" ht="15" hidden="false" customHeight="true" outlineLevel="0" collapsed="false">
      <c r="A6" s="169" t="s">
        <v>210</v>
      </c>
      <c r="B6" s="170" t="s">
        <v>189</v>
      </c>
      <c r="C6" s="171" t="n">
        <v>26</v>
      </c>
      <c r="D6" s="171" t="n">
        <v>7</v>
      </c>
      <c r="E6" s="171" t="n">
        <v>5</v>
      </c>
      <c r="F6" s="172" t="n">
        <v>0.269</v>
      </c>
      <c r="G6" s="172" t="n">
        <v>0.192</v>
      </c>
      <c r="H6" s="171" t="n">
        <v>27</v>
      </c>
      <c r="I6" s="171" t="n">
        <v>8</v>
      </c>
      <c r="J6" s="171" t="n">
        <v>6</v>
      </c>
      <c r="K6" s="172" t="n">
        <v>0.296</v>
      </c>
      <c r="L6" s="172" t="n">
        <v>0.222</v>
      </c>
      <c r="M6" s="171" t="n">
        <v>47</v>
      </c>
      <c r="N6" s="171" t="n">
        <v>14</v>
      </c>
      <c r="O6" s="171" t="n">
        <v>12</v>
      </c>
      <c r="P6" s="172" t="n">
        <v>0.298</v>
      </c>
      <c r="Q6" s="172" t="n">
        <v>0.255</v>
      </c>
      <c r="R6" s="171" t="n">
        <v>52</v>
      </c>
      <c r="S6" s="171" t="n">
        <v>10</v>
      </c>
      <c r="T6" s="171" t="n">
        <v>6</v>
      </c>
      <c r="U6" s="172" t="n">
        <v>0.192</v>
      </c>
      <c r="V6" s="172" t="n">
        <v>0.115</v>
      </c>
      <c r="W6" s="171" t="n">
        <v>45</v>
      </c>
      <c r="X6" s="171" t="n">
        <v>13</v>
      </c>
      <c r="Y6" s="171" t="n">
        <v>11</v>
      </c>
      <c r="Z6" s="172" t="n">
        <v>0.288888888888889</v>
      </c>
      <c r="AA6" s="172" t="n">
        <v>0.244444444444444</v>
      </c>
      <c r="AB6" s="171" t="n">
        <v>46</v>
      </c>
      <c r="AC6" s="171" t="n">
        <v>14</v>
      </c>
      <c r="AD6" s="171" t="n">
        <v>6</v>
      </c>
      <c r="AE6" s="172" t="n">
        <v>0.304</v>
      </c>
      <c r="AF6" s="172" t="n">
        <v>0.13</v>
      </c>
    </row>
    <row r="7" customFormat="false" ht="15" hidden="false" customHeight="true" outlineLevel="0" collapsed="false">
      <c r="A7" s="165" t="s">
        <v>190</v>
      </c>
      <c r="B7" s="166" t="s">
        <v>189</v>
      </c>
      <c r="C7" s="167" t="n">
        <v>240</v>
      </c>
      <c r="D7" s="167" t="n">
        <v>195</v>
      </c>
      <c r="E7" s="167" t="n">
        <v>76</v>
      </c>
      <c r="F7" s="168" t="n">
        <v>0.813</v>
      </c>
      <c r="G7" s="168" t="n">
        <v>0.317</v>
      </c>
      <c r="H7" s="167" t="n">
        <v>283</v>
      </c>
      <c r="I7" s="167" t="n">
        <v>224</v>
      </c>
      <c r="J7" s="167" t="n">
        <v>111</v>
      </c>
      <c r="K7" s="168" t="n">
        <v>0.792</v>
      </c>
      <c r="L7" s="168" t="n">
        <v>0.392</v>
      </c>
      <c r="M7" s="167" t="n">
        <v>289</v>
      </c>
      <c r="N7" s="167" t="n">
        <v>211</v>
      </c>
      <c r="O7" s="167" t="n">
        <v>92</v>
      </c>
      <c r="P7" s="168" t="n">
        <v>0.73</v>
      </c>
      <c r="Q7" s="168" t="n">
        <v>0.318</v>
      </c>
      <c r="R7" s="167" t="n">
        <v>306</v>
      </c>
      <c r="S7" s="167" t="n">
        <v>242</v>
      </c>
      <c r="T7" s="167" t="n">
        <v>97</v>
      </c>
      <c r="U7" s="168" t="n">
        <v>0.791</v>
      </c>
      <c r="V7" s="168" t="n">
        <v>0.317</v>
      </c>
      <c r="W7" s="167" t="n">
        <v>292</v>
      </c>
      <c r="X7" s="167" t="n">
        <v>221</v>
      </c>
      <c r="Y7" s="167" t="n">
        <v>100</v>
      </c>
      <c r="Z7" s="168" t="n">
        <v>0.756849315068493</v>
      </c>
      <c r="AA7" s="168" t="n">
        <v>0.342465753424658</v>
      </c>
      <c r="AB7" s="167" t="n">
        <v>304</v>
      </c>
      <c r="AC7" s="167" t="n">
        <v>239</v>
      </c>
      <c r="AD7" s="167" t="n">
        <v>117</v>
      </c>
      <c r="AE7" s="168" t="n">
        <v>0.786</v>
      </c>
      <c r="AF7" s="168" t="n">
        <v>0.385</v>
      </c>
    </row>
    <row r="8" customFormat="false" ht="15" hidden="false" customHeight="true" outlineLevel="0" collapsed="false">
      <c r="A8" s="165" t="s">
        <v>190</v>
      </c>
      <c r="B8" s="166" t="s">
        <v>191</v>
      </c>
      <c r="C8" s="167" t="n">
        <v>214</v>
      </c>
      <c r="D8" s="167" t="n">
        <v>174</v>
      </c>
      <c r="E8" s="167" t="n">
        <v>0</v>
      </c>
      <c r="F8" s="168" t="n">
        <v>0.813</v>
      </c>
      <c r="G8" s="168" t="n">
        <v>0</v>
      </c>
      <c r="H8" s="167" t="n">
        <v>256</v>
      </c>
      <c r="I8" s="167" t="n">
        <v>207</v>
      </c>
      <c r="J8" s="167" t="n">
        <v>0</v>
      </c>
      <c r="K8" s="168" t="n">
        <v>0.809</v>
      </c>
      <c r="L8" s="168" t="n">
        <v>0</v>
      </c>
      <c r="M8" s="167" t="n">
        <v>242</v>
      </c>
      <c r="N8" s="167" t="n">
        <v>188</v>
      </c>
      <c r="O8" s="167" t="n">
        <v>0</v>
      </c>
      <c r="P8" s="168" t="n">
        <v>0.777</v>
      </c>
      <c r="Q8" s="168" t="n">
        <v>0</v>
      </c>
      <c r="R8" s="167" t="n">
        <v>254</v>
      </c>
      <c r="S8" s="167" t="n">
        <v>213</v>
      </c>
      <c r="T8" s="167" t="n">
        <v>0</v>
      </c>
      <c r="U8" s="168" t="n">
        <v>0.839</v>
      </c>
      <c r="V8" s="168" t="n">
        <v>0</v>
      </c>
      <c r="W8" s="167" t="n">
        <v>247</v>
      </c>
      <c r="X8" s="167" t="n">
        <v>205</v>
      </c>
      <c r="Y8" s="167" t="n">
        <v>0</v>
      </c>
      <c r="Z8" s="168" t="n">
        <v>0.82995951417004</v>
      </c>
      <c r="AA8" s="168" t="n">
        <v>0</v>
      </c>
      <c r="AB8" s="167" t="n">
        <v>258</v>
      </c>
      <c r="AC8" s="167" t="n">
        <v>219</v>
      </c>
      <c r="AD8" s="167" t="n">
        <v>0</v>
      </c>
      <c r="AE8" s="168" t="n">
        <v>0.849</v>
      </c>
      <c r="AF8" s="168" t="n">
        <v>0</v>
      </c>
    </row>
    <row r="9" customFormat="false" ht="15" hidden="false" customHeight="true" outlineLevel="0" collapsed="false">
      <c r="A9" s="169" t="s">
        <v>193</v>
      </c>
      <c r="B9" s="170" t="s">
        <v>189</v>
      </c>
      <c r="C9" s="171" t="n">
        <v>146</v>
      </c>
      <c r="D9" s="171" t="n">
        <v>138</v>
      </c>
      <c r="E9" s="171" t="n">
        <v>95</v>
      </c>
      <c r="F9" s="172" t="n">
        <v>0.945</v>
      </c>
      <c r="G9" s="172" t="n">
        <v>0.651</v>
      </c>
      <c r="H9" s="171" t="n">
        <v>208</v>
      </c>
      <c r="I9" s="171" t="n">
        <v>194</v>
      </c>
      <c r="J9" s="171" t="n">
        <v>114</v>
      </c>
      <c r="K9" s="172" t="n">
        <v>0.933</v>
      </c>
      <c r="L9" s="172" t="n">
        <v>0.548</v>
      </c>
      <c r="M9" s="171" t="n">
        <v>181</v>
      </c>
      <c r="N9" s="171" t="n">
        <v>162</v>
      </c>
      <c r="O9" s="171" t="n">
        <v>105</v>
      </c>
      <c r="P9" s="172" t="n">
        <v>0.895</v>
      </c>
      <c r="Q9" s="172" t="n">
        <v>0.58</v>
      </c>
      <c r="R9" s="171" t="n">
        <v>198</v>
      </c>
      <c r="S9" s="171" t="n">
        <v>176</v>
      </c>
      <c r="T9" s="171" t="n">
        <v>97</v>
      </c>
      <c r="U9" s="172" t="n">
        <v>0.889</v>
      </c>
      <c r="V9" s="172" t="n">
        <v>0.49</v>
      </c>
      <c r="W9" s="171" t="n">
        <v>183</v>
      </c>
      <c r="X9" s="171" t="n">
        <v>171</v>
      </c>
      <c r="Y9" s="171" t="n">
        <v>108</v>
      </c>
      <c r="Z9" s="172" t="n">
        <v>0.934426229508197</v>
      </c>
      <c r="AA9" s="172" t="n">
        <v>0.590163934426229</v>
      </c>
      <c r="AB9" s="171" t="n">
        <v>216</v>
      </c>
      <c r="AC9" s="171" t="n">
        <v>195</v>
      </c>
      <c r="AD9" s="171" t="n">
        <v>104</v>
      </c>
      <c r="AE9" s="172" t="n">
        <v>0.903</v>
      </c>
      <c r="AF9" s="172" t="n">
        <v>0.481</v>
      </c>
    </row>
    <row r="10" customFormat="false" ht="15" hidden="false" customHeight="true" outlineLevel="0" collapsed="false">
      <c r="A10" s="169" t="s">
        <v>197</v>
      </c>
      <c r="B10" s="170" t="s">
        <v>189</v>
      </c>
      <c r="C10" s="171" t="n">
        <v>107</v>
      </c>
      <c r="D10" s="171" t="n">
        <v>84</v>
      </c>
      <c r="E10" s="171" t="n">
        <v>75</v>
      </c>
      <c r="F10" s="172" t="n">
        <v>0.785</v>
      </c>
      <c r="G10" s="172" t="n">
        <v>0.701</v>
      </c>
      <c r="H10" s="171" t="n">
        <v>115</v>
      </c>
      <c r="I10" s="171" t="n">
        <v>90</v>
      </c>
      <c r="J10" s="171" t="n">
        <v>82</v>
      </c>
      <c r="K10" s="172" t="n">
        <v>0.783</v>
      </c>
      <c r="L10" s="172" t="n">
        <v>0.713</v>
      </c>
      <c r="M10" s="171" t="n">
        <v>125</v>
      </c>
      <c r="N10" s="171" t="n">
        <v>97</v>
      </c>
      <c r="O10" s="171" t="n">
        <v>84</v>
      </c>
      <c r="P10" s="172" t="n">
        <v>0.776</v>
      </c>
      <c r="Q10" s="172" t="n">
        <v>0.672</v>
      </c>
      <c r="R10" s="171" t="n">
        <v>153</v>
      </c>
      <c r="S10" s="171" t="n">
        <v>106</v>
      </c>
      <c r="T10" s="171" t="n">
        <v>100</v>
      </c>
      <c r="U10" s="172" t="n">
        <v>0.693</v>
      </c>
      <c r="V10" s="172" t="n">
        <v>0.654</v>
      </c>
      <c r="W10" s="171" t="n">
        <v>147</v>
      </c>
      <c r="X10" s="171" t="n">
        <v>117</v>
      </c>
      <c r="Y10" s="171" t="n">
        <v>104</v>
      </c>
      <c r="Z10" s="172" t="n">
        <v>0.795918367346939</v>
      </c>
      <c r="AA10" s="172" t="n">
        <v>0.707482993197279</v>
      </c>
      <c r="AB10" s="171" t="n">
        <v>150</v>
      </c>
      <c r="AC10" s="171" t="n">
        <v>96</v>
      </c>
      <c r="AD10" s="171" t="n">
        <v>74</v>
      </c>
      <c r="AE10" s="172" t="n">
        <v>0.64</v>
      </c>
      <c r="AF10" s="172" t="n">
        <v>0.493</v>
      </c>
    </row>
    <row r="11" customFormat="false" ht="15" hidden="false" customHeight="true" outlineLevel="0" collapsed="false">
      <c r="A11" s="169" t="s">
        <v>211</v>
      </c>
      <c r="B11" s="170" t="s">
        <v>189</v>
      </c>
      <c r="C11" s="171" t="n">
        <v>29</v>
      </c>
      <c r="D11" s="171" t="n">
        <v>12</v>
      </c>
      <c r="E11" s="171" t="n">
        <v>11</v>
      </c>
      <c r="F11" s="172" t="n">
        <v>0.414</v>
      </c>
      <c r="G11" s="172" t="n">
        <v>0.379</v>
      </c>
      <c r="H11" s="171" t="n">
        <v>36</v>
      </c>
      <c r="I11" s="171" t="n">
        <v>15</v>
      </c>
      <c r="J11" s="171" t="n">
        <v>14</v>
      </c>
      <c r="K11" s="172" t="n">
        <v>0.417</v>
      </c>
      <c r="L11" s="172" t="n">
        <v>0.389</v>
      </c>
      <c r="M11" s="171" t="n">
        <v>51</v>
      </c>
      <c r="N11" s="171" t="n">
        <v>26</v>
      </c>
      <c r="O11" s="171" t="n">
        <v>25</v>
      </c>
      <c r="P11" s="172" t="n">
        <v>0.51</v>
      </c>
      <c r="Q11" s="172" t="n">
        <v>0.49</v>
      </c>
      <c r="R11" s="171" t="n">
        <v>66</v>
      </c>
      <c r="S11" s="171" t="n">
        <v>28</v>
      </c>
      <c r="T11" s="171" t="n">
        <v>23</v>
      </c>
      <c r="U11" s="172" t="n">
        <v>0.424</v>
      </c>
      <c r="V11" s="172" t="n">
        <v>0.348</v>
      </c>
      <c r="W11" s="171" t="n">
        <v>54</v>
      </c>
      <c r="X11" s="171" t="n">
        <v>37</v>
      </c>
      <c r="Y11" s="171" t="n">
        <v>34</v>
      </c>
      <c r="Z11" s="172" t="n">
        <v>0.685185185185185</v>
      </c>
      <c r="AA11" s="172" t="n">
        <v>0.62962962962963</v>
      </c>
      <c r="AB11" s="171" t="n">
        <v>78</v>
      </c>
      <c r="AC11" s="171" t="n">
        <v>46</v>
      </c>
      <c r="AD11" s="171" t="n">
        <v>43</v>
      </c>
      <c r="AE11" s="172" t="n">
        <v>0.59</v>
      </c>
      <c r="AF11" s="172" t="n">
        <v>0.551</v>
      </c>
    </row>
    <row r="12" customFormat="false" ht="15" hidden="false" customHeight="true" outlineLevel="0" collapsed="false">
      <c r="A12" s="165" t="s">
        <v>198</v>
      </c>
      <c r="B12" s="166" t="s">
        <v>189</v>
      </c>
      <c r="C12" s="167" t="n">
        <v>253</v>
      </c>
      <c r="D12" s="167" t="n">
        <v>219</v>
      </c>
      <c r="E12" s="167" t="n">
        <v>217</v>
      </c>
      <c r="F12" s="168" t="n">
        <v>0.866</v>
      </c>
      <c r="G12" s="168" t="n">
        <v>0.858</v>
      </c>
      <c r="H12" s="167" t="n">
        <v>323</v>
      </c>
      <c r="I12" s="167" t="n">
        <v>279</v>
      </c>
      <c r="J12" s="167" t="n">
        <v>277</v>
      </c>
      <c r="K12" s="168" t="n">
        <v>0.864</v>
      </c>
      <c r="L12" s="168" t="n">
        <v>0.858</v>
      </c>
      <c r="M12" s="167" t="n">
        <v>306</v>
      </c>
      <c r="N12" s="167" t="n">
        <v>258</v>
      </c>
      <c r="O12" s="167" t="n">
        <v>250</v>
      </c>
      <c r="P12" s="168" t="n">
        <v>0.843</v>
      </c>
      <c r="Q12" s="168" t="n">
        <v>0.817</v>
      </c>
      <c r="R12" s="167" t="n">
        <v>351</v>
      </c>
      <c r="S12" s="167" t="n">
        <v>281</v>
      </c>
      <c r="T12" s="167" t="n">
        <v>274</v>
      </c>
      <c r="U12" s="168" t="n">
        <v>0.801</v>
      </c>
      <c r="V12" s="168" t="n">
        <v>0.781</v>
      </c>
      <c r="W12" s="167" t="n">
        <v>330</v>
      </c>
      <c r="X12" s="167" t="n">
        <v>301</v>
      </c>
      <c r="Y12" s="167" t="n">
        <v>294</v>
      </c>
      <c r="Z12" s="168" t="n">
        <v>0.912121212121212</v>
      </c>
      <c r="AA12" s="168" t="n">
        <v>0.890909090909091</v>
      </c>
      <c r="AB12" s="167" t="n">
        <v>366</v>
      </c>
      <c r="AC12" s="167" t="n">
        <v>311</v>
      </c>
      <c r="AD12" s="167" t="n">
        <v>304</v>
      </c>
      <c r="AE12" s="168" t="n">
        <v>0.85</v>
      </c>
      <c r="AF12" s="168" t="n">
        <v>0.831</v>
      </c>
    </row>
    <row r="13" customFormat="false" ht="15" hidden="false" customHeight="true" outlineLevel="0" collapsed="false">
      <c r="A13" s="165" t="s">
        <v>198</v>
      </c>
      <c r="B13" s="166" t="s">
        <v>191</v>
      </c>
      <c r="C13" s="167" t="n">
        <v>253</v>
      </c>
      <c r="D13" s="167" t="n">
        <v>219</v>
      </c>
      <c r="E13" s="167" t="n">
        <v>174</v>
      </c>
      <c r="F13" s="168" t="n">
        <v>0.866</v>
      </c>
      <c r="G13" s="168" t="n">
        <v>0.688</v>
      </c>
      <c r="H13" s="167" t="n">
        <v>323</v>
      </c>
      <c r="I13" s="167" t="n">
        <v>289</v>
      </c>
      <c r="J13" s="167" t="n">
        <v>234</v>
      </c>
      <c r="K13" s="168" t="n">
        <v>0.895</v>
      </c>
      <c r="L13" s="168" t="n">
        <v>0.724</v>
      </c>
      <c r="M13" s="167" t="n">
        <v>306</v>
      </c>
      <c r="N13" s="167" t="n">
        <v>264</v>
      </c>
      <c r="O13" s="167" t="n">
        <v>216</v>
      </c>
      <c r="P13" s="168" t="n">
        <v>0.863</v>
      </c>
      <c r="Q13" s="168" t="n">
        <v>0.706</v>
      </c>
      <c r="R13" s="167" t="n">
        <v>351</v>
      </c>
      <c r="S13" s="167" t="n">
        <v>297</v>
      </c>
      <c r="T13" s="167" t="n">
        <v>239</v>
      </c>
      <c r="U13" s="168" t="n">
        <v>0.846</v>
      </c>
      <c r="V13" s="168" t="n">
        <v>0.681</v>
      </c>
      <c r="W13" s="167" t="n">
        <v>330</v>
      </c>
      <c r="X13" s="167" t="n">
        <v>301</v>
      </c>
      <c r="Y13" s="167" t="n">
        <v>268</v>
      </c>
      <c r="Z13" s="168" t="n">
        <v>0.912121212121212</v>
      </c>
      <c r="AA13" s="168" t="n">
        <v>0.812121212121212</v>
      </c>
      <c r="AB13" s="167" t="n">
        <v>366</v>
      </c>
      <c r="AC13" s="167" t="n">
        <v>307</v>
      </c>
      <c r="AD13" s="167" t="n">
        <v>259</v>
      </c>
      <c r="AE13" s="168" t="n">
        <v>0.839</v>
      </c>
      <c r="AF13" s="168" t="n">
        <v>0.708</v>
      </c>
    </row>
    <row r="14" customFormat="false" ht="15" hidden="false" customHeight="true" outlineLevel="0" collapsed="false">
      <c r="A14" s="165" t="s">
        <v>199</v>
      </c>
      <c r="B14" s="166" t="s">
        <v>189</v>
      </c>
      <c r="C14" s="167" t="n">
        <v>253</v>
      </c>
      <c r="D14" s="167" t="n">
        <v>229</v>
      </c>
      <c r="E14" s="167" t="n">
        <v>224</v>
      </c>
      <c r="F14" s="168" t="n">
        <v>0.905</v>
      </c>
      <c r="G14" s="168" t="n">
        <v>0.885</v>
      </c>
      <c r="H14" s="167" t="n">
        <v>323</v>
      </c>
      <c r="I14" s="167" t="n">
        <v>291</v>
      </c>
      <c r="J14" s="167" t="n">
        <v>287</v>
      </c>
      <c r="K14" s="168" t="n">
        <v>0.901</v>
      </c>
      <c r="L14" s="168" t="n">
        <v>0.889</v>
      </c>
      <c r="M14" s="167" t="n">
        <v>306</v>
      </c>
      <c r="N14" s="167" t="n">
        <v>264</v>
      </c>
      <c r="O14" s="167" t="n">
        <v>260</v>
      </c>
      <c r="P14" s="168" t="n">
        <v>0.863</v>
      </c>
      <c r="Q14" s="168" t="n">
        <v>0.85</v>
      </c>
      <c r="R14" s="167" t="n">
        <v>351</v>
      </c>
      <c r="S14" s="167" t="n">
        <v>302</v>
      </c>
      <c r="T14" s="167" t="n">
        <v>298</v>
      </c>
      <c r="U14" s="168" t="n">
        <v>0.86</v>
      </c>
      <c r="V14" s="168" t="n">
        <v>0.849</v>
      </c>
      <c r="W14" s="167" t="n">
        <v>330</v>
      </c>
      <c r="X14" s="167" t="n">
        <v>308</v>
      </c>
      <c r="Y14" s="167" t="n">
        <v>307</v>
      </c>
      <c r="Z14" s="168" t="n">
        <v>0.933333333333333</v>
      </c>
      <c r="AA14" s="168" t="n">
        <v>0.93030303030303</v>
      </c>
      <c r="AB14" s="167" t="n">
        <v>366</v>
      </c>
      <c r="AC14" s="167" t="n">
        <v>320</v>
      </c>
      <c r="AD14" s="167" t="n">
        <v>316</v>
      </c>
      <c r="AE14" s="168" t="n">
        <v>0.874</v>
      </c>
      <c r="AF14" s="168" t="n">
        <v>0.863</v>
      </c>
    </row>
    <row r="15" customFormat="false" ht="15" hidden="false" customHeight="true" outlineLevel="0" collapsed="false">
      <c r="A15" s="165" t="s">
        <v>199</v>
      </c>
      <c r="B15" s="166" t="s">
        <v>191</v>
      </c>
      <c r="C15" s="167" t="n">
        <v>253</v>
      </c>
      <c r="D15" s="167" t="n">
        <v>223</v>
      </c>
      <c r="E15" s="167" t="n">
        <v>211</v>
      </c>
      <c r="F15" s="168" t="n">
        <v>0.881</v>
      </c>
      <c r="G15" s="168" t="n">
        <v>0.834</v>
      </c>
      <c r="H15" s="167" t="n">
        <v>323</v>
      </c>
      <c r="I15" s="167" t="n">
        <v>295</v>
      </c>
      <c r="J15" s="167" t="n">
        <v>279</v>
      </c>
      <c r="K15" s="168" t="n">
        <v>0.913</v>
      </c>
      <c r="L15" s="168" t="n">
        <v>0.864</v>
      </c>
      <c r="M15" s="167" t="n">
        <v>306</v>
      </c>
      <c r="N15" s="167" t="n">
        <v>269</v>
      </c>
      <c r="O15" s="167" t="n">
        <v>254</v>
      </c>
      <c r="P15" s="168" t="n">
        <v>0.879</v>
      </c>
      <c r="Q15" s="168" t="n">
        <v>0.83</v>
      </c>
      <c r="R15" s="167" t="n">
        <v>351</v>
      </c>
      <c r="S15" s="167" t="n">
        <v>304</v>
      </c>
      <c r="T15" s="167" t="n">
        <v>290</v>
      </c>
      <c r="U15" s="168" t="n">
        <v>0.866</v>
      </c>
      <c r="V15" s="168" t="n">
        <v>0.826</v>
      </c>
      <c r="W15" s="167" t="n">
        <v>330</v>
      </c>
      <c r="X15" s="167" t="n">
        <v>309</v>
      </c>
      <c r="Y15" s="167" t="n">
        <v>294</v>
      </c>
      <c r="Z15" s="168" t="n">
        <v>0.936363636363636</v>
      </c>
      <c r="AA15" s="168" t="n">
        <v>0.890909090909091</v>
      </c>
      <c r="AB15" s="167" t="n">
        <v>366</v>
      </c>
      <c r="AC15" s="167" t="n">
        <v>325</v>
      </c>
      <c r="AD15" s="167" t="n">
        <v>303</v>
      </c>
      <c r="AE15" s="168" t="n">
        <v>0.888</v>
      </c>
      <c r="AF15" s="168" t="n">
        <v>0.828</v>
      </c>
    </row>
    <row r="16" customFormat="false" ht="15" hidden="false" customHeight="true" outlineLevel="0" collapsed="false">
      <c r="A16" s="169" t="s">
        <v>212</v>
      </c>
      <c r="B16" s="170" t="s">
        <v>189</v>
      </c>
      <c r="C16" s="171" t="n">
        <v>29</v>
      </c>
      <c r="D16" s="171" t="n">
        <v>4</v>
      </c>
      <c r="E16" s="171" t="n">
        <v>2</v>
      </c>
      <c r="F16" s="172" t="n">
        <v>0.138</v>
      </c>
      <c r="G16" s="172" t="n">
        <v>0.069</v>
      </c>
      <c r="H16" s="171" t="n">
        <v>36</v>
      </c>
      <c r="I16" s="171" t="n">
        <v>5</v>
      </c>
      <c r="J16" s="171" t="n">
        <v>5</v>
      </c>
      <c r="K16" s="172" t="n">
        <v>0.139</v>
      </c>
      <c r="L16" s="172" t="n">
        <v>0.139</v>
      </c>
      <c r="M16" s="171" t="n">
        <v>51</v>
      </c>
      <c r="N16" s="171" t="n">
        <v>2</v>
      </c>
      <c r="O16" s="171" t="n">
        <v>0</v>
      </c>
      <c r="P16" s="172" t="n">
        <v>0.039</v>
      </c>
      <c r="Q16" s="172" t="n">
        <v>0</v>
      </c>
      <c r="R16" s="171" t="n">
        <v>66</v>
      </c>
      <c r="S16" s="171" t="n">
        <v>3</v>
      </c>
      <c r="T16" s="171" t="n">
        <v>3</v>
      </c>
      <c r="U16" s="172" t="n">
        <v>0.045</v>
      </c>
      <c r="V16" s="172" t="n">
        <v>0.045</v>
      </c>
      <c r="W16" s="171" t="n">
        <v>54</v>
      </c>
      <c r="X16" s="171" t="n">
        <v>4</v>
      </c>
      <c r="Y16" s="171" t="n">
        <v>3</v>
      </c>
      <c r="Z16" s="172" t="n">
        <v>0.0740740740740741</v>
      </c>
      <c r="AA16" s="172" t="n">
        <v>0.0555555555555556</v>
      </c>
      <c r="AB16" s="171" t="n">
        <v>78</v>
      </c>
      <c r="AC16" s="171" t="n">
        <v>2</v>
      </c>
      <c r="AD16" s="171" t="n">
        <v>2</v>
      </c>
      <c r="AE16" s="172" t="n">
        <v>0.026</v>
      </c>
      <c r="AF16" s="172" t="n">
        <v>0.026</v>
      </c>
    </row>
    <row r="17" customFormat="false" ht="15" hidden="false" customHeight="true" outlineLevel="0" collapsed="false">
      <c r="A17" s="169" t="s">
        <v>200</v>
      </c>
      <c r="B17" s="170" t="s">
        <v>189</v>
      </c>
      <c r="C17" s="171" t="n">
        <v>107</v>
      </c>
      <c r="D17" s="171" t="n">
        <v>44</v>
      </c>
      <c r="E17" s="171" t="n">
        <v>9</v>
      </c>
      <c r="F17" s="172" t="n">
        <v>0.411</v>
      </c>
      <c r="G17" s="172" t="n">
        <v>0.084</v>
      </c>
      <c r="H17" s="171" t="n">
        <v>115</v>
      </c>
      <c r="I17" s="171" t="n">
        <v>49</v>
      </c>
      <c r="J17" s="171" t="n">
        <v>8</v>
      </c>
      <c r="K17" s="172" t="n">
        <v>0.426</v>
      </c>
      <c r="L17" s="172" t="n">
        <v>0.07</v>
      </c>
      <c r="M17" s="171" t="n">
        <v>125</v>
      </c>
      <c r="N17" s="171" t="n">
        <v>39</v>
      </c>
      <c r="O17" s="171" t="n">
        <v>7</v>
      </c>
      <c r="P17" s="172" t="n">
        <v>0.312</v>
      </c>
      <c r="Q17" s="172" t="n">
        <v>0.056</v>
      </c>
      <c r="R17" s="171" t="n">
        <v>153</v>
      </c>
      <c r="S17" s="171" t="n">
        <v>61</v>
      </c>
      <c r="T17" s="171" t="n">
        <v>42</v>
      </c>
      <c r="U17" s="172" t="n">
        <v>0.399</v>
      </c>
      <c r="V17" s="172" t="n">
        <v>0.275</v>
      </c>
      <c r="W17" s="171" t="n">
        <v>147</v>
      </c>
      <c r="X17" s="171" t="n">
        <v>63</v>
      </c>
      <c r="Y17" s="171" t="n">
        <v>55</v>
      </c>
      <c r="Z17" s="172" t="n">
        <v>0.428571428571429</v>
      </c>
      <c r="AA17" s="172" t="n">
        <v>0.374149659863946</v>
      </c>
      <c r="AB17" s="171" t="n">
        <v>150</v>
      </c>
      <c r="AC17" s="171" t="n">
        <v>47</v>
      </c>
      <c r="AD17" s="171" t="n">
        <v>42</v>
      </c>
      <c r="AE17" s="172" t="n">
        <v>0.313</v>
      </c>
      <c r="AF17" s="172" t="n">
        <v>0.28</v>
      </c>
    </row>
    <row r="18" customFormat="false" ht="15" hidden="false" customHeight="true" outlineLevel="0" collapsed="false">
      <c r="A18" s="169" t="s">
        <v>203</v>
      </c>
      <c r="B18" s="170" t="s">
        <v>189</v>
      </c>
      <c r="C18" s="171" t="n">
        <v>146</v>
      </c>
      <c r="D18" s="171" t="n">
        <v>12</v>
      </c>
      <c r="E18" s="171" t="n">
        <v>9</v>
      </c>
      <c r="F18" s="172" t="n">
        <v>0.082</v>
      </c>
      <c r="G18" s="172" t="n">
        <v>0.062</v>
      </c>
      <c r="H18" s="171" t="n">
        <v>208</v>
      </c>
      <c r="I18" s="171" t="n">
        <v>38</v>
      </c>
      <c r="J18" s="171" t="n">
        <v>36</v>
      </c>
      <c r="K18" s="172" t="n">
        <v>0.183</v>
      </c>
      <c r="L18" s="172" t="n">
        <v>0.173</v>
      </c>
      <c r="M18" s="171" t="n">
        <v>181</v>
      </c>
      <c r="N18" s="171" t="n">
        <v>75</v>
      </c>
      <c r="O18" s="171" t="n">
        <v>66</v>
      </c>
      <c r="P18" s="172" t="n">
        <v>0.414</v>
      </c>
      <c r="Q18" s="172" t="n">
        <v>0.365</v>
      </c>
      <c r="R18" s="171" t="n">
        <v>198</v>
      </c>
      <c r="S18" s="171" t="n">
        <v>118</v>
      </c>
      <c r="T18" s="171" t="n">
        <v>108</v>
      </c>
      <c r="U18" s="172" t="n">
        <v>0.596</v>
      </c>
      <c r="V18" s="172" t="n">
        <v>0.545</v>
      </c>
      <c r="W18" s="171" t="n">
        <v>183</v>
      </c>
      <c r="X18" s="171" t="n">
        <v>147</v>
      </c>
      <c r="Y18" s="171" t="n">
        <v>132</v>
      </c>
      <c r="Z18" s="172" t="n">
        <v>0.80327868852459</v>
      </c>
      <c r="AA18" s="172" t="n">
        <v>0.721311475409836</v>
      </c>
      <c r="AB18" s="171" t="n">
        <v>216</v>
      </c>
      <c r="AC18" s="171" t="n">
        <v>182</v>
      </c>
      <c r="AD18" s="171" t="n">
        <v>170</v>
      </c>
      <c r="AE18" s="172" t="n">
        <v>0.843</v>
      </c>
      <c r="AF18" s="172" t="n">
        <v>0.787</v>
      </c>
    </row>
    <row r="19" customFormat="false" ht="15" hidden="false" customHeight="true" outlineLevel="0" collapsed="false">
      <c r="A19" s="165" t="s">
        <v>204</v>
      </c>
      <c r="B19" s="166" t="s">
        <v>189</v>
      </c>
      <c r="C19" s="167" t="n">
        <v>111</v>
      </c>
      <c r="D19" s="167" t="n">
        <v>41</v>
      </c>
      <c r="E19" s="167" t="n">
        <v>41</v>
      </c>
      <c r="F19" s="168" t="n">
        <v>0.369</v>
      </c>
      <c r="G19" s="168" t="n">
        <v>0.369</v>
      </c>
      <c r="H19" s="167" t="n">
        <v>111</v>
      </c>
      <c r="I19" s="167" t="n">
        <v>31</v>
      </c>
      <c r="J19" s="167" t="n">
        <v>31</v>
      </c>
      <c r="K19" s="168" t="n">
        <v>0.279</v>
      </c>
      <c r="L19" s="168" t="n">
        <v>0.279</v>
      </c>
      <c r="M19" s="167" t="n">
        <v>106</v>
      </c>
      <c r="N19" s="167" t="n">
        <v>43</v>
      </c>
      <c r="O19" s="167" t="n">
        <v>42</v>
      </c>
      <c r="P19" s="168" t="n">
        <v>0.406</v>
      </c>
      <c r="Q19" s="168" t="n">
        <v>0.396</v>
      </c>
      <c r="R19" s="167" t="n">
        <v>124</v>
      </c>
      <c r="S19" s="167" t="n">
        <v>58</v>
      </c>
      <c r="T19" s="167" t="n">
        <v>56</v>
      </c>
      <c r="U19" s="168" t="n">
        <v>0.468</v>
      </c>
      <c r="V19" s="168" t="n">
        <v>0.452</v>
      </c>
      <c r="W19" s="167" t="n">
        <v>127</v>
      </c>
      <c r="X19" s="167" t="n">
        <v>56</v>
      </c>
      <c r="Y19" s="167" t="n">
        <v>53</v>
      </c>
      <c r="Z19" s="168" t="n">
        <v>0.440944881889764</v>
      </c>
      <c r="AA19" s="168" t="n">
        <v>0.417322834645669</v>
      </c>
      <c r="AB19" s="167" t="n">
        <v>115</v>
      </c>
      <c r="AC19" s="167" t="n">
        <v>53</v>
      </c>
      <c r="AD19" s="167" t="n">
        <v>49</v>
      </c>
      <c r="AE19" s="168" t="n">
        <v>0.461</v>
      </c>
      <c r="AF19" s="168" t="n">
        <v>0.426</v>
      </c>
    </row>
    <row r="20" customFormat="false" ht="15" hidden="false" customHeight="true" outlineLevel="0" collapsed="false">
      <c r="A20" s="165" t="s">
        <v>204</v>
      </c>
      <c r="B20" s="166" t="s">
        <v>191</v>
      </c>
      <c r="C20" s="167" t="n">
        <v>33</v>
      </c>
      <c r="D20" s="167" t="n">
        <v>3</v>
      </c>
      <c r="E20" s="167" t="n">
        <v>3</v>
      </c>
      <c r="F20" s="168" t="n">
        <v>0.091</v>
      </c>
      <c r="G20" s="168" t="n">
        <v>0.091</v>
      </c>
      <c r="H20" s="167" t="n">
        <v>32</v>
      </c>
      <c r="I20" s="167" t="n">
        <v>8</v>
      </c>
      <c r="J20" s="167" t="n">
        <v>8</v>
      </c>
      <c r="K20" s="168" t="n">
        <v>0.25</v>
      </c>
      <c r="L20" s="168" t="n">
        <v>0.25</v>
      </c>
      <c r="M20" s="167" t="n">
        <v>32</v>
      </c>
      <c r="N20" s="167" t="n">
        <v>12</v>
      </c>
      <c r="O20" s="167" t="n">
        <v>12</v>
      </c>
      <c r="P20" s="168" t="n">
        <v>0.375</v>
      </c>
      <c r="Q20" s="168" t="n">
        <v>0.375</v>
      </c>
      <c r="R20" s="167" t="n">
        <v>37</v>
      </c>
      <c r="S20" s="167" t="n">
        <v>19</v>
      </c>
      <c r="T20" s="167" t="n">
        <v>17</v>
      </c>
      <c r="U20" s="168" t="n">
        <v>0.514</v>
      </c>
      <c r="V20" s="168" t="n">
        <v>0.459</v>
      </c>
      <c r="W20" s="167" t="n">
        <v>34</v>
      </c>
      <c r="X20" s="167" t="n">
        <v>21</v>
      </c>
      <c r="Y20" s="167" t="n">
        <v>20</v>
      </c>
      <c r="Z20" s="168" t="n">
        <v>0.617647058823529</v>
      </c>
      <c r="AA20" s="168" t="n">
        <v>0.588235294117647</v>
      </c>
      <c r="AB20" s="167" t="n">
        <v>43</v>
      </c>
      <c r="AC20" s="167" t="n">
        <v>28</v>
      </c>
      <c r="AD20" s="167" t="n">
        <v>25</v>
      </c>
      <c r="AE20" s="168" t="n">
        <v>0.651</v>
      </c>
      <c r="AF20" s="168" t="n">
        <v>0.581</v>
      </c>
    </row>
    <row r="21" customFormat="false" ht="15" hidden="false" customHeight="true" outlineLevel="0" collapsed="false">
      <c r="A21" s="169" t="s">
        <v>205</v>
      </c>
      <c r="B21" s="170" t="s">
        <v>189</v>
      </c>
      <c r="C21" s="171" t="n">
        <v>187</v>
      </c>
      <c r="D21" s="171" t="n">
        <v>74</v>
      </c>
      <c r="E21" s="171" t="n">
        <v>44</v>
      </c>
      <c r="F21" s="172" t="n">
        <v>0.396</v>
      </c>
      <c r="G21" s="172" t="n">
        <v>0.235</v>
      </c>
      <c r="H21" s="171" t="n">
        <v>259</v>
      </c>
      <c r="I21" s="171" t="n">
        <v>135</v>
      </c>
      <c r="J21" s="171" t="n">
        <v>59</v>
      </c>
      <c r="K21" s="172" t="n">
        <v>0.521</v>
      </c>
      <c r="L21" s="172" t="n">
        <v>0.228</v>
      </c>
      <c r="M21" s="171" t="n">
        <v>248</v>
      </c>
      <c r="N21" s="171" t="n">
        <v>109</v>
      </c>
      <c r="O21" s="171" t="n">
        <v>63</v>
      </c>
      <c r="P21" s="172" t="n">
        <v>0.44</v>
      </c>
      <c r="Q21" s="172" t="n">
        <v>0.254</v>
      </c>
      <c r="R21" s="171" t="n">
        <v>278</v>
      </c>
      <c r="S21" s="171" t="n">
        <v>133</v>
      </c>
      <c r="T21" s="171" t="n">
        <v>96</v>
      </c>
      <c r="U21" s="172" t="n">
        <v>0.478</v>
      </c>
      <c r="V21" s="172" t="n">
        <v>0.345</v>
      </c>
      <c r="W21" s="171" t="n">
        <v>258</v>
      </c>
      <c r="X21" s="171" t="n">
        <v>143</v>
      </c>
      <c r="Y21" s="171" t="n">
        <v>113</v>
      </c>
      <c r="Z21" s="172" t="n">
        <v>0.554263565891473</v>
      </c>
      <c r="AA21" s="172" t="n">
        <v>0.437984496124031</v>
      </c>
      <c r="AB21" s="171" t="n">
        <v>312</v>
      </c>
      <c r="AC21" s="171" t="n">
        <v>177</v>
      </c>
      <c r="AD21" s="171" t="n">
        <v>162</v>
      </c>
      <c r="AE21" s="172" t="n">
        <v>0.567</v>
      </c>
      <c r="AF21" s="172" t="n">
        <v>0.519</v>
      </c>
    </row>
    <row r="22" customFormat="false" ht="15" hidden="false" customHeight="true" outlineLevel="0" collapsed="false">
      <c r="A22" s="165" t="s">
        <v>206</v>
      </c>
      <c r="B22" s="166" t="s">
        <v>189</v>
      </c>
      <c r="C22" s="167" t="n">
        <v>187</v>
      </c>
      <c r="D22" s="167" t="n">
        <v>79</v>
      </c>
      <c r="E22" s="167" t="n">
        <v>27</v>
      </c>
      <c r="F22" s="168" t="n">
        <v>0.422</v>
      </c>
      <c r="G22" s="168" t="n">
        <v>0.144</v>
      </c>
      <c r="H22" s="167" t="n">
        <v>259</v>
      </c>
      <c r="I22" s="167" t="n">
        <v>149</v>
      </c>
      <c r="J22" s="167" t="n">
        <v>40</v>
      </c>
      <c r="K22" s="168" t="n">
        <v>0.575</v>
      </c>
      <c r="L22" s="168" t="n">
        <v>0.154</v>
      </c>
      <c r="M22" s="167" t="n">
        <v>248</v>
      </c>
      <c r="N22" s="167" t="n">
        <v>134</v>
      </c>
      <c r="O22" s="167" t="n">
        <v>25</v>
      </c>
      <c r="P22" s="168" t="n">
        <v>0.54</v>
      </c>
      <c r="Q22" s="168" t="n">
        <v>0.101</v>
      </c>
      <c r="R22" s="167" t="n">
        <v>278</v>
      </c>
      <c r="S22" s="167" t="n">
        <v>162</v>
      </c>
      <c r="T22" s="167" t="n">
        <v>26</v>
      </c>
      <c r="U22" s="168" t="n">
        <v>0.583</v>
      </c>
      <c r="V22" s="168" t="n">
        <v>0.094</v>
      </c>
      <c r="W22" s="167" t="n">
        <v>258</v>
      </c>
      <c r="X22" s="167" t="n">
        <v>146</v>
      </c>
      <c r="Y22" s="167" t="n">
        <v>33</v>
      </c>
      <c r="Z22" s="168" t="n">
        <v>0.565891472868217</v>
      </c>
      <c r="AA22" s="168" t="n">
        <v>0.127906976744186</v>
      </c>
      <c r="AB22" s="167" t="n">
        <v>312</v>
      </c>
      <c r="AC22" s="167" t="n">
        <v>179</v>
      </c>
      <c r="AD22" s="167" t="n">
        <v>59</v>
      </c>
      <c r="AE22" s="168" t="n">
        <v>0.574</v>
      </c>
      <c r="AF22" s="168" t="n">
        <v>0.189</v>
      </c>
    </row>
    <row r="23" customFormat="false" ht="15" hidden="false" customHeight="true" outlineLevel="0" collapsed="false">
      <c r="A23" s="165" t="s">
        <v>206</v>
      </c>
      <c r="B23" s="166" t="s">
        <v>191</v>
      </c>
      <c r="C23" s="167" t="n">
        <v>187</v>
      </c>
      <c r="D23" s="167" t="n">
        <v>135</v>
      </c>
      <c r="E23" s="167" t="n">
        <v>108</v>
      </c>
      <c r="F23" s="168" t="n">
        <v>0.722</v>
      </c>
      <c r="G23" s="168" t="n">
        <v>0.578</v>
      </c>
      <c r="H23" s="167" t="n">
        <v>259</v>
      </c>
      <c r="I23" s="167" t="n">
        <v>198</v>
      </c>
      <c r="J23" s="167" t="n">
        <v>152</v>
      </c>
      <c r="K23" s="168" t="n">
        <v>0.764</v>
      </c>
      <c r="L23" s="168" t="n">
        <v>0.587</v>
      </c>
      <c r="M23" s="167" t="n">
        <v>248</v>
      </c>
      <c r="N23" s="167" t="n">
        <v>172</v>
      </c>
      <c r="O23" s="167" t="n">
        <v>125</v>
      </c>
      <c r="P23" s="168" t="n">
        <v>0.694</v>
      </c>
      <c r="Q23" s="168" t="n">
        <v>0.504</v>
      </c>
      <c r="R23" s="167" t="n">
        <v>278</v>
      </c>
      <c r="S23" s="167" t="n">
        <v>197</v>
      </c>
      <c r="T23" s="167" t="n">
        <v>130</v>
      </c>
      <c r="U23" s="168" t="n">
        <v>0.709</v>
      </c>
      <c r="V23" s="168" t="n">
        <v>0.468</v>
      </c>
      <c r="W23" s="167" t="n">
        <v>258</v>
      </c>
      <c r="X23" s="167" t="n">
        <v>173</v>
      </c>
      <c r="Y23" s="167" t="n">
        <v>125</v>
      </c>
      <c r="Z23" s="168" t="n">
        <v>0.670542635658915</v>
      </c>
      <c r="AA23" s="168" t="n">
        <v>0.484496124031008</v>
      </c>
      <c r="AB23" s="167" t="n">
        <v>312</v>
      </c>
      <c r="AC23" s="167" t="n">
        <v>202</v>
      </c>
      <c r="AD23" s="167" t="n">
        <v>141</v>
      </c>
      <c r="AE23" s="168" t="n">
        <v>0.647</v>
      </c>
      <c r="AF23" s="168" t="n">
        <v>0.452</v>
      </c>
    </row>
    <row r="24" customFormat="false" ht="15" hidden="false" customHeight="true" outlineLevel="0" collapsed="false">
      <c r="A24" s="169" t="s">
        <v>213</v>
      </c>
      <c r="B24" s="170" t="s">
        <v>189</v>
      </c>
      <c r="C24" s="171" t="n">
        <v>28</v>
      </c>
      <c r="D24" s="171" t="n">
        <v>10</v>
      </c>
      <c r="E24" s="171" t="n">
        <v>7</v>
      </c>
      <c r="F24" s="172" t="n">
        <v>0.357</v>
      </c>
      <c r="G24" s="172" t="n">
        <v>0.25</v>
      </c>
      <c r="H24" s="171" t="n">
        <v>36</v>
      </c>
      <c r="I24" s="171" t="n">
        <v>24</v>
      </c>
      <c r="J24" s="171" t="n">
        <v>20</v>
      </c>
      <c r="K24" s="172" t="n">
        <v>0.667</v>
      </c>
      <c r="L24" s="172" t="n">
        <v>0.556</v>
      </c>
      <c r="M24" s="171" t="n">
        <v>50</v>
      </c>
      <c r="N24" s="171" t="n">
        <v>31</v>
      </c>
      <c r="O24" s="171" t="n">
        <v>26</v>
      </c>
      <c r="P24" s="172" t="n">
        <v>0.62</v>
      </c>
      <c r="Q24" s="172" t="n">
        <v>0.52</v>
      </c>
      <c r="R24" s="171" t="n">
        <v>64</v>
      </c>
      <c r="S24" s="171" t="n">
        <v>42</v>
      </c>
      <c r="T24" s="171" t="n">
        <v>40</v>
      </c>
      <c r="U24" s="172" t="n">
        <v>0.656</v>
      </c>
      <c r="V24" s="172" t="n">
        <v>0.625</v>
      </c>
      <c r="W24" s="171" t="n">
        <v>52</v>
      </c>
      <c r="X24" s="171" t="n">
        <v>40</v>
      </c>
      <c r="Y24" s="171" t="n">
        <v>40</v>
      </c>
      <c r="Z24" s="172" t="n">
        <v>0.769230769230769</v>
      </c>
      <c r="AA24" s="172" t="n">
        <v>0.769230769230769</v>
      </c>
      <c r="AB24" s="173" t="n">
        <v>77</v>
      </c>
      <c r="AC24" s="173" t="n">
        <v>61</v>
      </c>
      <c r="AD24" s="173" t="n">
        <v>60</v>
      </c>
      <c r="AE24" s="172" t="n">
        <v>0.792</v>
      </c>
      <c r="AF24" s="172" t="n">
        <v>0.779</v>
      </c>
    </row>
    <row r="25" customFormat="false" ht="15" hidden="false" customHeight="true" outlineLevel="0" collapsed="false">
      <c r="AB25" s="176"/>
      <c r="AC25" s="176"/>
      <c r="AD25" s="176"/>
    </row>
  </sheetData>
  <autoFilter ref="A4:AF24"/>
  <mergeCells count="8">
    <mergeCell ref="A1:V1"/>
    <mergeCell ref="A2:V2"/>
    <mergeCell ref="C3:G3"/>
    <mergeCell ref="H3:L3"/>
    <mergeCell ref="M3:Q3"/>
    <mergeCell ref="R3:V3"/>
    <mergeCell ref="W3:AA3"/>
    <mergeCell ref="AB3:AF3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59" width="35"/>
    <col collapsed="false" customWidth="true" hidden="false" outlineLevel="0" max="10" min="2" style="159" width="12"/>
    <col collapsed="false" customWidth="false" hidden="false" outlineLevel="0" max="16384" min="11" style="159" width="8.83"/>
  </cols>
  <sheetData>
    <row r="1" customFormat="false" ht="18.75" hidden="false" customHeight="true" outlineLevel="0" collapsed="false">
      <c r="A1" s="177" t="s">
        <v>214</v>
      </c>
      <c r="B1" s="177"/>
      <c r="C1" s="177"/>
      <c r="D1" s="177"/>
      <c r="E1" s="177"/>
      <c r="F1" s="177"/>
      <c r="G1" s="177"/>
      <c r="H1" s="177"/>
      <c r="I1" s="177"/>
      <c r="J1" s="177"/>
    </row>
    <row r="3" customFormat="false" ht="15.75" hidden="false" customHeight="true" outlineLevel="0" collapsed="false">
      <c r="A3" s="178" t="s">
        <v>215</v>
      </c>
    </row>
    <row r="5" customFormat="false" ht="15" hidden="false" customHeight="true" outlineLevel="0" collapsed="false">
      <c r="A5" s="179" t="s">
        <v>216</v>
      </c>
      <c r="B5" s="179" t="s">
        <v>217</v>
      </c>
      <c r="C5" s="179" t="s">
        <v>29</v>
      </c>
      <c r="D5" s="179" t="s">
        <v>218</v>
      </c>
    </row>
    <row r="6" customFormat="false" ht="15" hidden="false" customHeight="true" outlineLevel="0" collapsed="false">
      <c r="A6" s="159" t="s">
        <v>219</v>
      </c>
      <c r="B6" s="159" t="n">
        <v>43415</v>
      </c>
      <c r="C6" s="159" t="n">
        <v>43415</v>
      </c>
      <c r="D6" s="159" t="n">
        <v>0</v>
      </c>
    </row>
    <row r="7" customFormat="false" ht="15" hidden="false" customHeight="true" outlineLevel="0" collapsed="false">
      <c r="A7" s="159" t="s">
        <v>220</v>
      </c>
      <c r="B7" s="180" t="n">
        <v>0.664977542324082</v>
      </c>
      <c r="C7" s="180" t="n">
        <v>0.95</v>
      </c>
      <c r="D7" s="180" t="n">
        <v>0.285022457675918</v>
      </c>
    </row>
    <row r="8" customFormat="false" ht="15" hidden="false" customHeight="true" outlineLevel="0" collapsed="false">
      <c r="A8" s="159" t="s">
        <v>221</v>
      </c>
      <c r="B8" s="180" t="n">
        <v>0.412069561211563</v>
      </c>
      <c r="C8" s="180" t="n">
        <v>0.95</v>
      </c>
      <c r="D8" s="180" t="n">
        <v>0.537930438788437</v>
      </c>
    </row>
    <row r="11" customFormat="false" ht="15.75" hidden="false" customHeight="true" outlineLevel="0" collapsed="false">
      <c r="A11" s="178" t="s">
        <v>222</v>
      </c>
    </row>
    <row r="13" customFormat="false" ht="31.5" hidden="false" customHeight="true" outlineLevel="0" collapsed="false">
      <c r="A13" s="181" t="s">
        <v>183</v>
      </c>
      <c r="B13" s="181" t="s">
        <v>185</v>
      </c>
      <c r="C13" s="181" t="s">
        <v>186</v>
      </c>
      <c r="D13" s="181" t="s">
        <v>187</v>
      </c>
      <c r="E13" s="181" t="s">
        <v>223</v>
      </c>
      <c r="F13" s="181" t="s">
        <v>224</v>
      </c>
      <c r="G13" s="181" t="s">
        <v>225</v>
      </c>
      <c r="H13" s="181" t="s">
        <v>226</v>
      </c>
      <c r="I13" s="181" t="s">
        <v>227</v>
      </c>
      <c r="J13" s="181" t="s">
        <v>228</v>
      </c>
    </row>
    <row r="14" customFormat="false" ht="15" hidden="false" customHeight="true" outlineLevel="0" collapsed="false">
      <c r="A14" s="182" t="s">
        <v>190</v>
      </c>
      <c r="B14" s="182" t="n">
        <v>5502</v>
      </c>
      <c r="C14" s="182" t="n">
        <v>4621</v>
      </c>
      <c r="D14" s="182" t="n">
        <v>1140</v>
      </c>
      <c r="E14" s="183" t="n">
        <v>0.839876408578699</v>
      </c>
      <c r="F14" s="183" t="n">
        <v>0.207197382769902</v>
      </c>
      <c r="G14" s="183" t="n">
        <v>0.110123591421301</v>
      </c>
      <c r="H14" s="183" t="n">
        <v>0.742802617230098</v>
      </c>
      <c r="I14" s="182" t="n">
        <v>4692.8</v>
      </c>
      <c r="J14" s="183" t="n">
        <v>0.131</v>
      </c>
    </row>
    <row r="15" customFormat="false" ht="15" hidden="false" customHeight="true" outlineLevel="0" collapsed="false">
      <c r="A15" s="182" t="s">
        <v>206</v>
      </c>
      <c r="B15" s="182" t="n">
        <v>4464</v>
      </c>
      <c r="C15" s="182" t="n">
        <v>3387</v>
      </c>
      <c r="D15" s="182" t="n">
        <v>1761</v>
      </c>
      <c r="E15" s="183" t="n">
        <v>0.758736559139785</v>
      </c>
      <c r="F15" s="183" t="n">
        <v>0.394489247311828</v>
      </c>
      <c r="G15" s="183" t="n">
        <v>0.191263440860215</v>
      </c>
      <c r="H15" s="183" t="n">
        <v>0.555510752688172</v>
      </c>
      <c r="I15" s="182" t="n">
        <v>3333.6</v>
      </c>
      <c r="J15" s="183" t="n">
        <v>0.225</v>
      </c>
    </row>
    <row r="16" customFormat="false" ht="15" hidden="false" customHeight="true" outlineLevel="0" collapsed="false">
      <c r="A16" s="182" t="s">
        <v>203</v>
      </c>
      <c r="B16" s="182" t="n">
        <v>1779</v>
      </c>
      <c r="C16" s="182" t="n">
        <v>139</v>
      </c>
      <c r="D16" s="182" t="n">
        <v>89</v>
      </c>
      <c r="E16" s="183" t="n">
        <v>0.0781337830241708</v>
      </c>
      <c r="F16" s="183" t="n">
        <v>0.0500281056773468</v>
      </c>
      <c r="G16" s="183" t="n">
        <v>0.871866216975829</v>
      </c>
      <c r="H16" s="183" t="n">
        <v>0.899971894322653</v>
      </c>
      <c r="I16" s="182" t="n">
        <v>3152.1</v>
      </c>
      <c r="J16" s="183" t="n">
        <v>0.313</v>
      </c>
    </row>
    <row r="17" customFormat="false" ht="15" hidden="false" customHeight="true" outlineLevel="0" collapsed="false">
      <c r="A17" s="182" t="s">
        <v>205</v>
      </c>
      <c r="B17" s="182" t="n">
        <v>2232</v>
      </c>
      <c r="C17" s="182" t="n">
        <v>686</v>
      </c>
      <c r="D17" s="182" t="n">
        <v>542</v>
      </c>
      <c r="E17" s="183" t="n">
        <v>0.307347670250896</v>
      </c>
      <c r="F17" s="183" t="n">
        <v>0.242831541218638</v>
      </c>
      <c r="G17" s="183" t="n">
        <v>0.642652329749104</v>
      </c>
      <c r="H17" s="183" t="n">
        <v>0.707168458781362</v>
      </c>
      <c r="I17" s="182" t="n">
        <v>3012.8</v>
      </c>
      <c r="J17" s="183" t="n">
        <v>0.397</v>
      </c>
    </row>
    <row r="18" customFormat="false" ht="15" hidden="false" customHeight="true" outlineLevel="0" collapsed="false">
      <c r="A18" s="182" t="s">
        <v>199</v>
      </c>
      <c r="B18" s="182" t="n">
        <v>6636</v>
      </c>
      <c r="C18" s="182" t="n">
        <v>5890</v>
      </c>
      <c r="D18" s="182" t="n">
        <v>4338</v>
      </c>
      <c r="E18" s="183" t="n">
        <v>0.887582881253767</v>
      </c>
      <c r="F18" s="183" t="n">
        <v>0.65370705244123</v>
      </c>
      <c r="G18" s="183" t="n">
        <v>0.0624171187462326</v>
      </c>
      <c r="H18" s="183" t="n">
        <v>0.29629294755877</v>
      </c>
      <c r="I18" s="182" t="n">
        <v>2380.4</v>
      </c>
      <c r="J18" s="183" t="n">
        <v>0.464</v>
      </c>
    </row>
    <row r="19" customFormat="false" ht="15" hidden="false" customHeight="true" outlineLevel="0" collapsed="false">
      <c r="A19" s="182" t="s">
        <v>198</v>
      </c>
      <c r="B19" s="182" t="n">
        <v>6636</v>
      </c>
      <c r="C19" s="182" t="n">
        <v>6029</v>
      </c>
      <c r="D19" s="182" t="n">
        <v>4326</v>
      </c>
      <c r="E19" s="183" t="n">
        <v>0.908529234478602</v>
      </c>
      <c r="F19" s="183" t="n">
        <v>0.651898734177215</v>
      </c>
      <c r="G19" s="183" t="n">
        <v>0.0414707655213983</v>
      </c>
      <c r="H19" s="183" t="n">
        <v>0.298101265822785</v>
      </c>
      <c r="I19" s="182" t="n">
        <v>2253.4</v>
      </c>
      <c r="J19" s="183" t="n">
        <v>0.527</v>
      </c>
    </row>
    <row r="20" customFormat="false" ht="15" hidden="false" customHeight="true" outlineLevel="0" collapsed="false">
      <c r="A20" s="182" t="s">
        <v>200</v>
      </c>
      <c r="B20" s="182" t="n">
        <v>1539</v>
      </c>
      <c r="C20" s="182" t="n">
        <v>479</v>
      </c>
      <c r="D20" s="182" t="n">
        <v>322</v>
      </c>
      <c r="E20" s="183" t="n">
        <v>0.311241065627031</v>
      </c>
      <c r="F20" s="183" t="n">
        <v>0.209226770630279</v>
      </c>
      <c r="G20" s="183" t="n">
        <v>0.638758934372969</v>
      </c>
      <c r="H20" s="183" t="n">
        <v>0.740773229369721</v>
      </c>
      <c r="I20" s="182" t="n">
        <v>2123.1</v>
      </c>
      <c r="J20" s="183" t="n">
        <v>0.586</v>
      </c>
    </row>
    <row r="21" customFormat="false" ht="15" hidden="false" customHeight="true" outlineLevel="0" collapsed="false">
      <c r="A21" s="182" t="s">
        <v>192</v>
      </c>
      <c r="B21" s="182" t="n">
        <v>1372</v>
      </c>
      <c r="C21" s="182" t="n">
        <v>427</v>
      </c>
      <c r="D21" s="182" t="n">
        <v>179</v>
      </c>
      <c r="E21" s="183" t="n">
        <v>0.311224489795918</v>
      </c>
      <c r="F21" s="183" t="n">
        <v>0.130466472303207</v>
      </c>
      <c r="G21" s="183" t="n">
        <v>0.638775510204082</v>
      </c>
      <c r="H21" s="183" t="n">
        <v>0.819533527696793</v>
      </c>
      <c r="I21" s="182" t="n">
        <v>2000.8</v>
      </c>
      <c r="J21" s="183" t="n">
        <v>0.642</v>
      </c>
    </row>
    <row r="22" customFormat="false" ht="15" hidden="false" customHeight="true" outlineLevel="0" collapsed="false">
      <c r="A22" s="182" t="s">
        <v>188</v>
      </c>
      <c r="B22" s="182" t="n">
        <v>1372</v>
      </c>
      <c r="C22" s="182" t="n">
        <v>412</v>
      </c>
      <c r="D22" s="182" t="n">
        <v>406</v>
      </c>
      <c r="E22" s="183" t="n">
        <v>0.300291545189504</v>
      </c>
      <c r="F22" s="183" t="n">
        <v>0.295918367346939</v>
      </c>
      <c r="G22" s="183" t="n">
        <v>0.649708454810496</v>
      </c>
      <c r="H22" s="183" t="n">
        <v>0.654081632653061</v>
      </c>
      <c r="I22" s="182" t="n">
        <v>1788.8</v>
      </c>
      <c r="J22" s="183" t="n">
        <v>0.692</v>
      </c>
    </row>
    <row r="23" customFormat="false" ht="15" hidden="false" customHeight="true" outlineLevel="0" collapsed="false">
      <c r="A23" s="182" t="s">
        <v>196</v>
      </c>
      <c r="B23" s="182" t="n">
        <v>1200</v>
      </c>
      <c r="C23" s="182" t="n">
        <v>419</v>
      </c>
      <c r="D23" s="182" t="n">
        <v>204</v>
      </c>
      <c r="E23" s="183" t="n">
        <v>0.349166666666667</v>
      </c>
      <c r="F23" s="183" t="n">
        <v>0.17</v>
      </c>
      <c r="G23" s="183" t="n">
        <v>0.600833333333333</v>
      </c>
      <c r="H23" s="183" t="n">
        <v>0.78</v>
      </c>
      <c r="I23" s="182" t="n">
        <v>1657</v>
      </c>
      <c r="J23" s="183" t="n">
        <v>0.739</v>
      </c>
    </row>
    <row r="24" customFormat="false" ht="15" hidden="false" customHeight="true" outlineLevel="0" collapsed="false">
      <c r="A24" s="182" t="s">
        <v>194</v>
      </c>
      <c r="B24" s="182" t="n">
        <v>1200</v>
      </c>
      <c r="C24" s="182" t="n">
        <v>433</v>
      </c>
      <c r="D24" s="182" t="n">
        <v>297</v>
      </c>
      <c r="E24" s="183" t="n">
        <v>0.360833333333333</v>
      </c>
      <c r="F24" s="183" t="n">
        <v>0.2475</v>
      </c>
      <c r="G24" s="183" t="n">
        <v>0.589166666666667</v>
      </c>
      <c r="H24" s="183" t="n">
        <v>0.7025</v>
      </c>
      <c r="I24" s="182" t="n">
        <v>1550</v>
      </c>
      <c r="J24" s="183" t="n">
        <v>0.782</v>
      </c>
    </row>
    <row r="25" customFormat="false" ht="15" hidden="false" customHeight="true" outlineLevel="0" collapsed="false">
      <c r="A25" s="184" t="s">
        <v>195</v>
      </c>
      <c r="B25" s="184" t="n">
        <v>1372</v>
      </c>
      <c r="C25" s="184" t="n">
        <v>715</v>
      </c>
      <c r="D25" s="184" t="n">
        <v>551</v>
      </c>
      <c r="E25" s="185" t="n">
        <v>0.521137026239067</v>
      </c>
      <c r="F25" s="185" t="n">
        <v>0.401603498542274</v>
      </c>
      <c r="G25" s="185" t="n">
        <v>0.428862973760933</v>
      </c>
      <c r="H25" s="185" t="n">
        <v>0.548396501457726</v>
      </c>
      <c r="I25" s="184" t="n">
        <v>1340.8</v>
      </c>
      <c r="J25" s="185" t="n">
        <v>0.82</v>
      </c>
    </row>
    <row r="26" customFormat="false" ht="15" hidden="false" customHeight="true" outlineLevel="0" collapsed="false">
      <c r="A26" s="184" t="s">
        <v>204</v>
      </c>
      <c r="B26" s="184" t="n">
        <v>1594</v>
      </c>
      <c r="C26" s="184" t="n">
        <v>954</v>
      </c>
      <c r="D26" s="184" t="n">
        <v>840</v>
      </c>
      <c r="E26" s="185" t="n">
        <v>0.598494353826851</v>
      </c>
      <c r="F26" s="185" t="n">
        <v>0.526976160602259</v>
      </c>
      <c r="G26" s="185" t="n">
        <v>0.351505646173149</v>
      </c>
      <c r="H26" s="185" t="n">
        <v>0.423023839397741</v>
      </c>
      <c r="I26" s="184" t="n">
        <v>1234.6</v>
      </c>
      <c r="J26" s="185" t="n">
        <v>0.854</v>
      </c>
    </row>
    <row r="27" customFormat="false" ht="15" hidden="false" customHeight="true" outlineLevel="0" collapsed="false">
      <c r="A27" s="184" t="s">
        <v>201</v>
      </c>
      <c r="B27" s="184" t="n">
        <v>621</v>
      </c>
      <c r="C27" s="184" t="n">
        <v>40</v>
      </c>
      <c r="D27" s="184" t="n">
        <v>15</v>
      </c>
      <c r="E27" s="185" t="n">
        <v>0.0644122383252818</v>
      </c>
      <c r="F27" s="185" t="n">
        <v>0.0241545893719806</v>
      </c>
      <c r="G27" s="185" t="n">
        <v>0.885587761674718</v>
      </c>
      <c r="H27" s="185" t="n">
        <v>0.925845410628019</v>
      </c>
      <c r="I27" s="184" t="n">
        <v>1124.9</v>
      </c>
      <c r="J27" s="185" t="n">
        <v>0.886</v>
      </c>
    </row>
    <row r="28" customFormat="false" ht="15" hidden="false" customHeight="true" outlineLevel="0" collapsed="false">
      <c r="A28" s="184" t="s">
        <v>202</v>
      </c>
      <c r="B28" s="184" t="n">
        <v>621</v>
      </c>
      <c r="C28" s="184" t="n">
        <v>167</v>
      </c>
      <c r="D28" s="184" t="n">
        <v>46</v>
      </c>
      <c r="E28" s="185" t="n">
        <v>0.268921095008052</v>
      </c>
      <c r="F28" s="185" t="n">
        <v>0.074074074074074</v>
      </c>
      <c r="G28" s="185" t="n">
        <v>0.681078904991949</v>
      </c>
      <c r="H28" s="185" t="n">
        <v>0.875925925925926</v>
      </c>
      <c r="I28" s="184" t="n">
        <v>966.9</v>
      </c>
      <c r="J28" s="185" t="n">
        <v>0.913</v>
      </c>
    </row>
    <row r="29" customFormat="false" ht="15" hidden="false" customHeight="true" outlineLevel="0" collapsed="false">
      <c r="A29" s="184" t="s">
        <v>193</v>
      </c>
      <c r="B29" s="184" t="n">
        <v>2358</v>
      </c>
      <c r="C29" s="184" t="n">
        <v>2181</v>
      </c>
      <c r="D29" s="184" t="n">
        <v>1437</v>
      </c>
      <c r="E29" s="185" t="n">
        <v>0.924936386768448</v>
      </c>
      <c r="F29" s="185" t="n">
        <v>0.60941475826972</v>
      </c>
      <c r="G29" s="185" t="n">
        <v>0.0250636132315521</v>
      </c>
      <c r="H29" s="185" t="n">
        <v>0.34058524173028</v>
      </c>
      <c r="I29" s="184" t="n">
        <v>862.2</v>
      </c>
      <c r="J29" s="185" t="n">
        <v>0.937</v>
      </c>
    </row>
    <row r="30" customFormat="false" ht="15" hidden="false" customHeight="true" outlineLevel="0" collapsed="false">
      <c r="A30" s="184" t="s">
        <v>197</v>
      </c>
      <c r="B30" s="184" t="n">
        <v>1539</v>
      </c>
      <c r="C30" s="184" t="n">
        <v>1275</v>
      </c>
      <c r="D30" s="184" t="n">
        <v>841</v>
      </c>
      <c r="E30" s="185" t="n">
        <v>0.828460038986355</v>
      </c>
      <c r="F30" s="185" t="n">
        <v>0.546458739441196</v>
      </c>
      <c r="G30" s="185" t="n">
        <v>0.121539961013645</v>
      </c>
      <c r="H30" s="185" t="n">
        <v>0.403541260558804</v>
      </c>
      <c r="I30" s="184" t="n">
        <v>808.1</v>
      </c>
      <c r="J30" s="185" t="n">
        <v>0.96</v>
      </c>
    </row>
    <row r="31" customFormat="false" ht="15" hidden="false" customHeight="true" outlineLevel="0" collapsed="false">
      <c r="A31" s="184" t="s">
        <v>212</v>
      </c>
      <c r="B31" s="184" t="n">
        <v>285</v>
      </c>
      <c r="C31" s="184" t="n">
        <v>33</v>
      </c>
      <c r="D31" s="184" t="n">
        <v>30</v>
      </c>
      <c r="E31" s="185" t="n">
        <v>0.115789473684211</v>
      </c>
      <c r="F31" s="185" t="n">
        <v>0.105263157894737</v>
      </c>
      <c r="G31" s="185" t="n">
        <v>0.834210526315789</v>
      </c>
      <c r="H31" s="185" t="n">
        <v>0.844736842105263</v>
      </c>
      <c r="I31" s="184" t="n">
        <v>478.5</v>
      </c>
      <c r="J31" s="185" t="n">
        <v>0.973</v>
      </c>
    </row>
    <row r="32" customFormat="false" ht="15" hidden="false" customHeight="true" outlineLevel="0" collapsed="false">
      <c r="A32" s="184" t="s">
        <v>210</v>
      </c>
      <c r="B32" s="184" t="n">
        <v>250</v>
      </c>
      <c r="C32" s="184" t="n">
        <v>76</v>
      </c>
      <c r="D32" s="184" t="n">
        <v>53</v>
      </c>
      <c r="E32" s="185" t="n">
        <v>0.304</v>
      </c>
      <c r="F32" s="185" t="n">
        <v>0.212</v>
      </c>
      <c r="G32" s="185" t="n">
        <v>0.646</v>
      </c>
      <c r="H32" s="185" t="n">
        <v>0.738</v>
      </c>
      <c r="I32" s="184" t="n">
        <v>346</v>
      </c>
      <c r="J32" s="185" t="n">
        <v>0.983</v>
      </c>
    </row>
    <row r="33" customFormat="false" ht="15" hidden="false" customHeight="true" outlineLevel="0" collapsed="false">
      <c r="A33" s="184" t="s">
        <v>211</v>
      </c>
      <c r="B33" s="184" t="n">
        <v>285</v>
      </c>
      <c r="C33" s="184" t="n">
        <v>129</v>
      </c>
      <c r="D33" s="184" t="n">
        <v>119</v>
      </c>
      <c r="E33" s="185" t="n">
        <v>0.452631578947368</v>
      </c>
      <c r="F33" s="185" t="n">
        <v>0.417543859649123</v>
      </c>
      <c r="G33" s="185" t="n">
        <v>0.497368421052632</v>
      </c>
      <c r="H33" s="185" t="n">
        <v>0.532456140350877</v>
      </c>
      <c r="I33" s="184" t="n">
        <v>293.5</v>
      </c>
      <c r="J33" s="185" t="n">
        <v>0.991</v>
      </c>
    </row>
    <row r="34" customFormat="false" ht="15" hidden="false" customHeight="true" outlineLevel="0" collapsed="false">
      <c r="A34" s="184" t="s">
        <v>213</v>
      </c>
      <c r="B34" s="184" t="n">
        <v>275</v>
      </c>
      <c r="C34" s="184" t="n">
        <v>124</v>
      </c>
      <c r="D34" s="184" t="n">
        <v>113</v>
      </c>
      <c r="E34" s="185" t="n">
        <v>0.450909090909091</v>
      </c>
      <c r="F34" s="185" t="n">
        <v>0.410909090909091</v>
      </c>
      <c r="G34" s="185" t="n">
        <v>0.499090909090909</v>
      </c>
      <c r="H34" s="185" t="n">
        <v>0.539090909090909</v>
      </c>
      <c r="I34" s="184" t="n">
        <v>285.5</v>
      </c>
      <c r="J34" s="185" t="n">
        <v>0.999</v>
      </c>
    </row>
    <row r="35" customFormat="false" ht="15" hidden="false" customHeight="true" outlineLevel="0" collapsed="false">
      <c r="A35" s="184" t="s">
        <v>209</v>
      </c>
      <c r="B35" s="184" t="n">
        <v>281</v>
      </c>
      <c r="C35" s="184" t="n">
        <v>252</v>
      </c>
      <c r="D35" s="184" t="n">
        <v>241</v>
      </c>
      <c r="E35" s="185" t="n">
        <v>0.896797153024911</v>
      </c>
      <c r="F35" s="185" t="n">
        <v>0.857651245551601</v>
      </c>
      <c r="G35" s="185" t="n">
        <v>0.0532028469750889</v>
      </c>
      <c r="H35" s="185" t="n">
        <v>0.0923487544483985</v>
      </c>
      <c r="I35" s="184" t="n">
        <v>40.9</v>
      </c>
      <c r="J35" s="185" t="n">
        <v>1</v>
      </c>
    </row>
    <row r="36" customFormat="false" ht="15" hidden="false" customHeight="true" outlineLevel="0" collapsed="false">
      <c r="A36" s="184" t="s">
        <v>229</v>
      </c>
      <c r="B36" s="184" t="n">
        <v>2</v>
      </c>
      <c r="C36" s="184" t="n">
        <v>2</v>
      </c>
      <c r="D36" s="184" t="n">
        <v>0</v>
      </c>
      <c r="E36" s="185" t="n">
        <v>1</v>
      </c>
      <c r="F36" s="185" t="n">
        <v>0</v>
      </c>
      <c r="G36" s="185" t="n">
        <v>-0.05</v>
      </c>
      <c r="H36" s="185" t="n">
        <v>0.95</v>
      </c>
      <c r="I36" s="184" t="n">
        <v>1.8</v>
      </c>
      <c r="J36" s="185" t="n">
        <v>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4" colorId="64" zoomScale="186" zoomScaleNormal="186" zoomScalePageLayoutView="100" workbookViewId="0">
      <selection pane="topLeft" activeCell="B9" activeCellId="0" sqref="B9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59" width="8"/>
    <col collapsed="false" customWidth="true" hidden="false" outlineLevel="0" max="2" min="2" style="159" width="35"/>
    <col collapsed="false" customWidth="true" hidden="false" outlineLevel="0" max="3" min="3" style="159" width="15"/>
    <col collapsed="false" customWidth="true" hidden="false" outlineLevel="0" max="4" min="4" style="159" width="18"/>
    <col collapsed="false" customWidth="true" hidden="false" outlineLevel="0" max="5" min="5" style="159" width="15"/>
    <col collapsed="false" customWidth="true" hidden="false" outlineLevel="0" max="6" min="6" style="159" width="12.83"/>
    <col collapsed="false" customWidth="false" hidden="false" outlineLevel="0" max="16384" min="7" style="159" width="8.83"/>
  </cols>
  <sheetData>
    <row r="1" customFormat="false" ht="18.75" hidden="false" customHeight="true" outlineLevel="0" collapsed="false">
      <c r="A1" s="177" t="s">
        <v>230</v>
      </c>
      <c r="B1" s="177"/>
      <c r="C1" s="177"/>
      <c r="D1" s="177"/>
      <c r="E1" s="177"/>
    </row>
    <row r="3" customFormat="false" ht="15" hidden="false" customHeight="true" outlineLevel="0" collapsed="false">
      <c r="A3" s="186" t="s">
        <v>231</v>
      </c>
      <c r="B3" s="186"/>
      <c r="C3" s="186"/>
      <c r="D3" s="186"/>
      <c r="E3" s="186"/>
    </row>
    <row r="5" customFormat="false" ht="15" hidden="false" customHeight="true" outlineLevel="0" collapsed="false">
      <c r="A5" s="179" t="s">
        <v>232</v>
      </c>
      <c r="B5" s="179" t="s">
        <v>183</v>
      </c>
      <c r="C5" s="179" t="s">
        <v>227</v>
      </c>
      <c r="D5" s="179" t="s">
        <v>233</v>
      </c>
      <c r="E5" s="179" t="s">
        <v>228</v>
      </c>
    </row>
    <row r="6" customFormat="false" ht="15" hidden="false" customHeight="true" outlineLevel="0" collapsed="false">
      <c r="A6" s="182" t="n">
        <v>1</v>
      </c>
      <c r="B6" s="182" t="s">
        <v>190</v>
      </c>
      <c r="C6" s="182" t="n">
        <v>4692.8</v>
      </c>
      <c r="D6" s="182" t="n">
        <v>4692.8</v>
      </c>
      <c r="E6" s="183" t="n">
        <v>0.131</v>
      </c>
      <c r="F6" s="159" t="s">
        <v>234</v>
      </c>
    </row>
    <row r="7" customFormat="false" ht="15" hidden="false" customHeight="true" outlineLevel="0" collapsed="false">
      <c r="A7" s="182" t="n">
        <v>2</v>
      </c>
      <c r="B7" s="182" t="s">
        <v>206</v>
      </c>
      <c r="C7" s="182" t="n">
        <v>3333.6</v>
      </c>
      <c r="D7" s="182" t="n">
        <v>8026.4</v>
      </c>
      <c r="E7" s="183" t="n">
        <v>0.225</v>
      </c>
      <c r="F7" s="159" t="s">
        <v>234</v>
      </c>
    </row>
    <row r="8" customFormat="false" ht="15" hidden="false" customHeight="true" outlineLevel="0" collapsed="false">
      <c r="A8" s="182" t="n">
        <v>3</v>
      </c>
      <c r="B8" s="182" t="s">
        <v>203</v>
      </c>
      <c r="C8" s="182" t="n">
        <v>3152.1</v>
      </c>
      <c r="D8" s="182" t="n">
        <v>11178.5</v>
      </c>
      <c r="E8" s="183" t="n">
        <v>0.313</v>
      </c>
    </row>
    <row r="9" customFormat="false" ht="15" hidden="false" customHeight="true" outlineLevel="0" collapsed="false">
      <c r="A9" s="182" t="n">
        <v>4</v>
      </c>
      <c r="B9" s="182" t="s">
        <v>205</v>
      </c>
      <c r="C9" s="182" t="n">
        <v>3012.8</v>
      </c>
      <c r="D9" s="182" t="n">
        <v>14191.3</v>
      </c>
      <c r="E9" s="183" t="n">
        <v>0.397</v>
      </c>
      <c r="F9" s="159" t="s">
        <v>235</v>
      </c>
    </row>
    <row r="10" customFormat="false" ht="15" hidden="false" customHeight="true" outlineLevel="0" collapsed="false">
      <c r="A10" s="182" t="n">
        <v>5</v>
      </c>
      <c r="B10" s="182" t="s">
        <v>199</v>
      </c>
      <c r="C10" s="182" t="n">
        <v>2380.4</v>
      </c>
      <c r="D10" s="182" t="n">
        <v>16571.7</v>
      </c>
      <c r="E10" s="183" t="n">
        <v>0.464</v>
      </c>
      <c r="F10" s="159" t="s">
        <v>234</v>
      </c>
    </row>
    <row r="11" customFormat="false" ht="15" hidden="false" customHeight="true" outlineLevel="0" collapsed="false">
      <c r="A11" s="182" t="n">
        <v>6</v>
      </c>
      <c r="B11" s="182" t="s">
        <v>198</v>
      </c>
      <c r="C11" s="182" t="n">
        <v>2253.4</v>
      </c>
      <c r="D11" s="182" t="n">
        <v>18825.1</v>
      </c>
      <c r="E11" s="183" t="n">
        <v>0.527</v>
      </c>
      <c r="F11" s="159" t="s">
        <v>234</v>
      </c>
    </row>
    <row r="12" customFormat="false" ht="15" hidden="false" customHeight="true" outlineLevel="0" collapsed="false">
      <c r="A12" s="182" t="n">
        <v>7</v>
      </c>
      <c r="B12" s="182" t="s">
        <v>200</v>
      </c>
      <c r="C12" s="182" t="n">
        <v>2123.1</v>
      </c>
      <c r="D12" s="182" t="n">
        <v>20948.2</v>
      </c>
      <c r="E12" s="183" t="n">
        <v>0.586</v>
      </c>
      <c r="F12" s="159" t="s">
        <v>235</v>
      </c>
    </row>
    <row r="13" customFormat="false" ht="15" hidden="false" customHeight="true" outlineLevel="0" collapsed="false">
      <c r="A13" s="182" t="n">
        <v>8</v>
      </c>
      <c r="B13" s="182" t="s">
        <v>192</v>
      </c>
      <c r="C13" s="182" t="n">
        <v>2000.8</v>
      </c>
      <c r="D13" s="182" t="n">
        <v>22949</v>
      </c>
      <c r="E13" s="183" t="n">
        <v>0.642</v>
      </c>
    </row>
    <row r="14" customFormat="false" ht="15" hidden="false" customHeight="true" outlineLevel="0" collapsed="false">
      <c r="A14" s="182" t="n">
        <v>9</v>
      </c>
      <c r="B14" s="182" t="s">
        <v>188</v>
      </c>
      <c r="C14" s="182" t="n">
        <v>1788.8</v>
      </c>
      <c r="D14" s="182" t="n">
        <v>24737.8</v>
      </c>
      <c r="E14" s="183" t="n">
        <v>0.692</v>
      </c>
      <c r="F14" s="159" t="s">
        <v>234</v>
      </c>
    </row>
    <row r="15" customFormat="false" ht="15" hidden="false" customHeight="true" outlineLevel="0" collapsed="false">
      <c r="A15" s="182" t="n">
        <v>10</v>
      </c>
      <c r="B15" s="182" t="s">
        <v>196</v>
      </c>
      <c r="C15" s="182" t="n">
        <v>1657</v>
      </c>
      <c r="D15" s="182" t="n">
        <v>26394.8</v>
      </c>
      <c r="E15" s="183" t="n">
        <v>0.739</v>
      </c>
      <c r="F15" s="159" t="s">
        <v>235</v>
      </c>
    </row>
    <row r="16" customFormat="false" ht="15" hidden="false" customHeight="true" outlineLevel="0" collapsed="false">
      <c r="A16" s="182" t="n">
        <v>11</v>
      </c>
      <c r="B16" s="182" t="s">
        <v>194</v>
      </c>
      <c r="C16" s="182" t="n">
        <v>1550</v>
      </c>
      <c r="D16" s="182" t="n">
        <v>27944.8</v>
      </c>
      <c r="E16" s="183" t="n">
        <v>0.782</v>
      </c>
    </row>
    <row r="17" customFormat="false" ht="15" hidden="false" customHeight="true" outlineLevel="0" collapsed="false">
      <c r="A17" s="184" t="n">
        <v>12</v>
      </c>
      <c r="B17" s="184" t="s">
        <v>195</v>
      </c>
      <c r="C17" s="184" t="n">
        <v>1340.8</v>
      </c>
      <c r="D17" s="184" t="n">
        <v>29285.6</v>
      </c>
      <c r="E17" s="185" t="n">
        <v>0.82</v>
      </c>
    </row>
    <row r="18" customFormat="false" ht="15" hidden="false" customHeight="true" outlineLevel="0" collapsed="false">
      <c r="A18" s="184" t="n">
        <v>13</v>
      </c>
      <c r="B18" s="184" t="s">
        <v>204</v>
      </c>
      <c r="C18" s="184" t="n">
        <v>1234.6</v>
      </c>
      <c r="D18" s="184" t="n">
        <v>30520.2</v>
      </c>
      <c r="E18" s="185" t="n">
        <v>0.854</v>
      </c>
    </row>
    <row r="19" customFormat="false" ht="15" hidden="false" customHeight="true" outlineLevel="0" collapsed="false">
      <c r="A19" s="184" t="n">
        <v>14</v>
      </c>
      <c r="B19" s="184" t="s">
        <v>201</v>
      </c>
      <c r="C19" s="184" t="n">
        <v>1124.9</v>
      </c>
      <c r="D19" s="184" t="n">
        <v>31645.1</v>
      </c>
      <c r="E19" s="185" t="n">
        <v>0.886</v>
      </c>
    </row>
    <row r="20" customFormat="false" ht="15" hidden="false" customHeight="true" outlineLevel="0" collapsed="false">
      <c r="A20" s="184" t="n">
        <v>15</v>
      </c>
      <c r="B20" s="184" t="s">
        <v>202</v>
      </c>
      <c r="C20" s="184" t="n">
        <v>966.9</v>
      </c>
      <c r="D20" s="184" t="n">
        <v>32612</v>
      </c>
      <c r="E20" s="185" t="n">
        <v>0.913</v>
      </c>
    </row>
    <row r="21" customFormat="false" ht="15" hidden="false" customHeight="true" outlineLevel="0" collapsed="false">
      <c r="A21" s="184" t="n">
        <v>16</v>
      </c>
      <c r="B21" s="184" t="s">
        <v>193</v>
      </c>
      <c r="C21" s="184" t="n">
        <v>862.2</v>
      </c>
      <c r="D21" s="184" t="n">
        <v>33474.2</v>
      </c>
      <c r="E21" s="185" t="n">
        <v>0.937</v>
      </c>
    </row>
    <row r="22" customFormat="false" ht="15" hidden="false" customHeight="true" outlineLevel="0" collapsed="false">
      <c r="A22" s="184" t="n">
        <v>17</v>
      </c>
      <c r="B22" s="184" t="s">
        <v>197</v>
      </c>
      <c r="C22" s="184" t="n">
        <v>808.1</v>
      </c>
      <c r="D22" s="184" t="n">
        <v>34282.3</v>
      </c>
      <c r="E22" s="185" t="n">
        <v>0.96</v>
      </c>
    </row>
    <row r="23" customFormat="false" ht="15" hidden="false" customHeight="true" outlineLevel="0" collapsed="false">
      <c r="A23" s="184" t="n">
        <v>18</v>
      </c>
      <c r="B23" s="184" t="s">
        <v>212</v>
      </c>
      <c r="C23" s="184" t="n">
        <v>478.5</v>
      </c>
      <c r="D23" s="184" t="n">
        <v>34760.8</v>
      </c>
      <c r="E23" s="185" t="n">
        <v>0.973</v>
      </c>
    </row>
    <row r="24" customFormat="false" ht="15" hidden="false" customHeight="true" outlineLevel="0" collapsed="false">
      <c r="A24" s="184" t="n">
        <v>19</v>
      </c>
      <c r="B24" s="184" t="s">
        <v>210</v>
      </c>
      <c r="C24" s="184" t="n">
        <v>346</v>
      </c>
      <c r="D24" s="184" t="n">
        <v>35106.8</v>
      </c>
      <c r="E24" s="185" t="n">
        <v>0.983</v>
      </c>
    </row>
    <row r="25" customFormat="false" ht="15" hidden="false" customHeight="true" outlineLevel="0" collapsed="false">
      <c r="A25" s="184" t="n">
        <v>20</v>
      </c>
      <c r="B25" s="184" t="s">
        <v>211</v>
      </c>
      <c r="C25" s="184" t="n">
        <v>293.5</v>
      </c>
      <c r="D25" s="184" t="n">
        <v>35400.3</v>
      </c>
      <c r="E25" s="185" t="n">
        <v>0.991</v>
      </c>
    </row>
    <row r="26" customFormat="false" ht="15" hidden="false" customHeight="true" outlineLevel="0" collapsed="false">
      <c r="A26" s="184" t="n">
        <v>21</v>
      </c>
      <c r="B26" s="184" t="s">
        <v>213</v>
      </c>
      <c r="C26" s="184" t="n">
        <v>285.5</v>
      </c>
      <c r="D26" s="184" t="n">
        <v>35685.8</v>
      </c>
      <c r="E26" s="185" t="n">
        <v>0.999</v>
      </c>
    </row>
    <row r="27" customFormat="false" ht="15" hidden="false" customHeight="true" outlineLevel="0" collapsed="false">
      <c r="A27" s="184" t="n">
        <v>22</v>
      </c>
      <c r="B27" s="184" t="s">
        <v>209</v>
      </c>
      <c r="C27" s="184" t="n">
        <v>40.9</v>
      </c>
      <c r="D27" s="184" t="n">
        <v>35726.7</v>
      </c>
      <c r="E27" s="185" t="n">
        <v>1</v>
      </c>
    </row>
    <row r="28" customFormat="false" ht="15" hidden="false" customHeight="true" outlineLevel="0" collapsed="false">
      <c r="A28" s="184" t="n">
        <v>23</v>
      </c>
      <c r="B28" s="184" t="s">
        <v>229</v>
      </c>
      <c r="C28" s="184" t="n">
        <v>1.8</v>
      </c>
      <c r="D28" s="184" t="n">
        <v>35728.5</v>
      </c>
      <c r="E28" s="185" t="n">
        <v>1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1" min="1" style="187" width="5.83"/>
    <col collapsed="false" customWidth="true" hidden="false" outlineLevel="0" max="2" min="2" style="187" width="45"/>
    <col collapsed="false" customWidth="true" hidden="true" outlineLevel="0" max="3" min="3" style="187" width="22.33"/>
    <col collapsed="false" customWidth="true" hidden="false" outlineLevel="0" max="7" min="5" style="187" width="17"/>
    <col collapsed="false" customWidth="true" hidden="false" outlineLevel="0" max="8" min="8" style="187" width="35.33"/>
  </cols>
  <sheetData>
    <row r="1" customFormat="false" ht="15" hidden="false" customHeight="true" outlineLevel="0" collapsed="false">
      <c r="A1" s="188" t="s">
        <v>236</v>
      </c>
      <c r="B1" s="188" t="s">
        <v>237</v>
      </c>
      <c r="C1" s="188" t="s">
        <v>238</v>
      </c>
      <c r="D1" s="188" t="s">
        <v>239</v>
      </c>
      <c r="E1" s="188" t="s">
        <v>240</v>
      </c>
      <c r="F1" s="188" t="s">
        <v>241</v>
      </c>
      <c r="G1" s="188" t="s">
        <v>242</v>
      </c>
      <c r="H1" s="188" t="s">
        <v>103</v>
      </c>
    </row>
    <row r="2" customFormat="false" ht="45" hidden="false" customHeight="true" outlineLevel="0" collapsed="false">
      <c r="A2" s="189" t="s">
        <v>243</v>
      </c>
      <c r="B2" s="190" t="s">
        <v>244</v>
      </c>
      <c r="C2" s="191" t="s">
        <v>245</v>
      </c>
      <c r="D2" s="192" t="s">
        <v>246</v>
      </c>
      <c r="E2" s="190" t="s">
        <v>247</v>
      </c>
      <c r="F2" s="190" t="s">
        <v>248</v>
      </c>
      <c r="G2" s="193" t="n">
        <v>46058</v>
      </c>
      <c r="H2" s="194" t="s">
        <v>249</v>
      </c>
    </row>
    <row r="3" customFormat="false" ht="30" hidden="false" customHeight="true" outlineLevel="0" collapsed="false">
      <c r="A3" s="189" t="s">
        <v>250</v>
      </c>
      <c r="B3" s="190" t="s">
        <v>251</v>
      </c>
      <c r="C3" s="191"/>
      <c r="D3" s="192" t="s">
        <v>246</v>
      </c>
      <c r="E3" s="190" t="s">
        <v>247</v>
      </c>
      <c r="F3" s="190" t="s">
        <v>252</v>
      </c>
      <c r="G3" s="193" t="n">
        <v>46058</v>
      </c>
      <c r="H3" s="194" t="s">
        <v>253</v>
      </c>
    </row>
    <row r="4" customFormat="false" ht="42.75" hidden="false" customHeight="true" outlineLevel="0" collapsed="false">
      <c r="A4" s="189" t="s">
        <v>243</v>
      </c>
      <c r="B4" s="190" t="s">
        <v>254</v>
      </c>
      <c r="C4" s="191"/>
      <c r="D4" s="192" t="s">
        <v>246</v>
      </c>
      <c r="E4" s="190" t="s">
        <v>255</v>
      </c>
      <c r="F4" s="195" t="s">
        <v>248</v>
      </c>
      <c r="G4" s="193" t="n">
        <v>46062</v>
      </c>
      <c r="H4" s="194" t="s">
        <v>256</v>
      </c>
    </row>
    <row r="5" customFormat="false" ht="15" hidden="false" customHeight="true" outlineLevel="0" collapsed="false">
      <c r="A5" s="189" t="s">
        <v>257</v>
      </c>
      <c r="B5" s="190" t="s">
        <v>258</v>
      </c>
      <c r="C5" s="191" t="s">
        <v>245</v>
      </c>
      <c r="D5" s="192" t="s">
        <v>246</v>
      </c>
      <c r="E5" s="190" t="s">
        <v>259</v>
      </c>
      <c r="F5" s="190" t="s">
        <v>252</v>
      </c>
      <c r="G5" s="196" t="n">
        <v>46054</v>
      </c>
      <c r="H5" s="197" t="s">
        <v>260</v>
      </c>
    </row>
    <row r="6" customFormat="false" ht="30" hidden="false" customHeight="true" outlineLevel="0" collapsed="false">
      <c r="A6" s="189" t="s">
        <v>257</v>
      </c>
      <c r="B6" s="190" t="s">
        <v>261</v>
      </c>
      <c r="C6" s="191" t="s">
        <v>262</v>
      </c>
      <c r="D6" s="192" t="s">
        <v>246</v>
      </c>
      <c r="E6" s="190" t="s">
        <v>259</v>
      </c>
      <c r="F6" s="190" t="s">
        <v>252</v>
      </c>
      <c r="G6" s="196" t="n">
        <v>46054</v>
      </c>
      <c r="H6" s="198" t="s">
        <v>263</v>
      </c>
    </row>
    <row r="7" customFormat="false" ht="30" hidden="false" customHeight="true" outlineLevel="0" collapsed="false">
      <c r="A7" s="189" t="s">
        <v>264</v>
      </c>
      <c r="B7" s="190" t="s">
        <v>265</v>
      </c>
      <c r="C7" s="191" t="s">
        <v>245</v>
      </c>
      <c r="D7" s="192" t="s">
        <v>246</v>
      </c>
      <c r="E7" s="190" t="s">
        <v>259</v>
      </c>
      <c r="F7" s="195" t="s">
        <v>248</v>
      </c>
      <c r="G7" s="196" t="n">
        <v>46054</v>
      </c>
      <c r="H7" s="198" t="s">
        <v>263</v>
      </c>
    </row>
    <row r="8" customFormat="false" ht="15" hidden="false" customHeight="true" outlineLevel="0" collapsed="false">
      <c r="A8" s="189" t="s">
        <v>264</v>
      </c>
      <c r="B8" s="190" t="s">
        <v>266</v>
      </c>
      <c r="C8" s="191" t="s">
        <v>262</v>
      </c>
      <c r="D8" s="192" t="s">
        <v>246</v>
      </c>
      <c r="E8" s="190" t="s">
        <v>259</v>
      </c>
      <c r="F8" s="195" t="s">
        <v>248</v>
      </c>
      <c r="G8" s="196" t="n">
        <v>46054</v>
      </c>
      <c r="H8" s="198" t="s">
        <v>263</v>
      </c>
    </row>
    <row r="9" customFormat="false" ht="15" hidden="false" customHeight="true" outlineLevel="0" collapsed="false">
      <c r="A9" s="189" t="s">
        <v>267</v>
      </c>
      <c r="B9" s="190" t="s">
        <v>268</v>
      </c>
      <c r="C9" s="191" t="s">
        <v>245</v>
      </c>
      <c r="D9" s="192" t="s">
        <v>246</v>
      </c>
      <c r="E9" s="190" t="s">
        <v>259</v>
      </c>
      <c r="F9" s="195" t="s">
        <v>248</v>
      </c>
      <c r="G9" s="196" t="n">
        <v>46054</v>
      </c>
    </row>
    <row r="10" customFormat="false" ht="15" hidden="false" customHeight="true" outlineLevel="0" collapsed="false">
      <c r="A10" s="189" t="s">
        <v>267</v>
      </c>
      <c r="B10" s="190" t="s">
        <v>269</v>
      </c>
      <c r="C10" s="191" t="s">
        <v>262</v>
      </c>
      <c r="D10" s="192" t="s">
        <v>246</v>
      </c>
      <c r="E10" s="190" t="s">
        <v>270</v>
      </c>
      <c r="F10" s="195" t="s">
        <v>248</v>
      </c>
      <c r="G10" s="196" t="n">
        <v>46054</v>
      </c>
      <c r="H10" s="198" t="s">
        <v>263</v>
      </c>
    </row>
    <row r="11" customFormat="false" ht="15" hidden="false" customHeight="true" outlineLevel="0" collapsed="false">
      <c r="A11" s="189" t="s">
        <v>271</v>
      </c>
      <c r="B11" s="190" t="s">
        <v>272</v>
      </c>
      <c r="C11" s="191" t="s">
        <v>245</v>
      </c>
      <c r="D11" s="199" t="s">
        <v>273</v>
      </c>
      <c r="E11" s="190" t="s">
        <v>259</v>
      </c>
      <c r="F11" s="195" t="s">
        <v>248</v>
      </c>
      <c r="G11" s="196" t="n">
        <v>46054</v>
      </c>
      <c r="H11" s="197" t="s">
        <v>260</v>
      </c>
    </row>
    <row r="12" customFormat="false" ht="15" hidden="false" customHeight="true" outlineLevel="0" collapsed="false">
      <c r="A12" s="189" t="s">
        <v>271</v>
      </c>
      <c r="B12" s="190" t="s">
        <v>274</v>
      </c>
      <c r="C12" s="191" t="s">
        <v>262</v>
      </c>
      <c r="D12" s="199" t="s">
        <v>273</v>
      </c>
      <c r="E12" s="190" t="s">
        <v>259</v>
      </c>
      <c r="F12" s="195" t="s">
        <v>248</v>
      </c>
      <c r="G12" s="196" t="n">
        <v>46054</v>
      </c>
      <c r="H12" s="197" t="s">
        <v>260</v>
      </c>
    </row>
    <row r="13" customFormat="false" ht="15" hidden="false" customHeight="true" outlineLevel="0" collapsed="false">
      <c r="A13" s="189" t="s">
        <v>275</v>
      </c>
      <c r="B13" s="190" t="s">
        <v>276</v>
      </c>
      <c r="C13" s="191" t="s">
        <v>245</v>
      </c>
      <c r="D13" s="199" t="s">
        <v>273</v>
      </c>
      <c r="E13" s="190" t="s">
        <v>259</v>
      </c>
      <c r="F13" s="190" t="s">
        <v>252</v>
      </c>
      <c r="G13" s="196" t="n">
        <v>46054</v>
      </c>
      <c r="H13" s="197" t="s">
        <v>260</v>
      </c>
    </row>
    <row r="14" customFormat="false" ht="15" hidden="false" customHeight="true" outlineLevel="0" collapsed="false">
      <c r="A14" s="189" t="s">
        <v>275</v>
      </c>
      <c r="B14" s="190" t="s">
        <v>277</v>
      </c>
      <c r="C14" s="191" t="s">
        <v>262</v>
      </c>
      <c r="D14" s="199"/>
      <c r="E14" s="190"/>
      <c r="F14" s="190" t="s">
        <v>252</v>
      </c>
      <c r="G14" s="196" t="n">
        <v>46054</v>
      </c>
      <c r="H14" s="198"/>
    </row>
    <row r="15" customFormat="false" ht="15" hidden="false" customHeight="true" outlineLevel="0" collapsed="false">
      <c r="A15" s="189" t="s">
        <v>278</v>
      </c>
      <c r="B15" s="190" t="s">
        <v>279</v>
      </c>
      <c r="C15" s="191" t="s">
        <v>245</v>
      </c>
      <c r="D15" s="200" t="s">
        <v>280</v>
      </c>
      <c r="E15" s="190" t="s">
        <v>259</v>
      </c>
      <c r="F15" s="190" t="s">
        <v>252</v>
      </c>
      <c r="G15" s="196" t="n">
        <v>46054</v>
      </c>
      <c r="H15" s="197" t="s">
        <v>260</v>
      </c>
    </row>
    <row r="16" customFormat="false" ht="15" hidden="false" customHeight="true" outlineLevel="0" collapsed="false">
      <c r="A16" s="189" t="s">
        <v>281</v>
      </c>
      <c r="B16" s="190" t="s">
        <v>282</v>
      </c>
      <c r="C16" s="191" t="s">
        <v>245</v>
      </c>
      <c r="D16" s="200" t="s">
        <v>280</v>
      </c>
      <c r="E16" s="190" t="s">
        <v>259</v>
      </c>
      <c r="F16" s="190" t="s">
        <v>252</v>
      </c>
      <c r="G16" s="196" t="n">
        <v>46054</v>
      </c>
      <c r="H16" s="198" t="s">
        <v>263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"/>
  <sheetViews>
    <sheetView showFormulas="false" showGridLines="true" showRowColHeaders="true" showZeros="true" rightToLeft="false" tabSelected="false" showOutlineSymbols="true" defaultGridColor="true" view="normal" topLeftCell="A1" colorId="64" zoomScale="144" zoomScaleNormal="144" zoomScalePageLayoutView="100" workbookViewId="0">
      <selection pane="topLeft" activeCell="F11" activeCellId="0" sqref="F11"/>
    </sheetView>
  </sheetViews>
  <sheetFormatPr defaultColWidth="11.5078125" defaultRowHeight="12.75" customHeight="true" zeroHeight="false" outlineLevelRow="0" outlineLevelCol="0"/>
  <cols>
    <col collapsed="false" customWidth="true" hidden="false" outlineLevel="0" max="2" min="2" style="187" width="32.83"/>
    <col collapsed="false" customWidth="true" hidden="false" outlineLevel="0" max="4" min="3" style="187" width="7.5"/>
    <col collapsed="false" customWidth="true" hidden="false" outlineLevel="0" max="5" min="5" style="187" width="8"/>
    <col collapsed="false" customWidth="true" hidden="false" outlineLevel="0" max="6" min="6" style="187" width="6.67"/>
    <col collapsed="false" customWidth="true" hidden="false" outlineLevel="0" max="7" min="7" style="187" width="11.33"/>
    <col collapsed="false" customWidth="true" hidden="false" outlineLevel="0" max="8" min="8" style="187" width="11.83"/>
    <col collapsed="false" customWidth="true" hidden="false" outlineLevel="0" max="9" min="9" style="187" width="69"/>
  </cols>
  <sheetData>
    <row r="1" customFormat="false" ht="13.5" hidden="false" customHeight="true" outlineLevel="0" collapsed="false"/>
    <row r="2" customFormat="false" ht="13.5" hidden="false" customHeight="true" outlineLevel="0" collapsed="false">
      <c r="B2" s="201" t="s">
        <v>283</v>
      </c>
      <c r="C2" s="202" t="s">
        <v>284</v>
      </c>
      <c r="D2" s="202" t="s">
        <v>285</v>
      </c>
      <c r="E2" s="202"/>
      <c r="F2" s="202" t="s">
        <v>180</v>
      </c>
      <c r="G2" s="202" t="s">
        <v>286</v>
      </c>
      <c r="H2" s="202" t="s">
        <v>286</v>
      </c>
      <c r="I2" s="202"/>
    </row>
    <row r="3" customFormat="false" ht="13.5" hidden="false" customHeight="true" outlineLevel="0" collapsed="false">
      <c r="B3" s="201"/>
      <c r="C3" s="202"/>
      <c r="D3" s="202"/>
      <c r="E3" s="203" t="s">
        <v>287</v>
      </c>
      <c r="F3" s="202"/>
      <c r="G3" s="203" t="s">
        <v>288</v>
      </c>
      <c r="H3" s="203" t="s">
        <v>289</v>
      </c>
      <c r="I3" s="203" t="s">
        <v>290</v>
      </c>
    </row>
    <row r="4" customFormat="false" ht="60" hidden="false" customHeight="true" outlineLevel="0" collapsed="false">
      <c r="B4" s="204" t="s">
        <v>291</v>
      </c>
      <c r="C4" s="205" t="n">
        <v>0.82</v>
      </c>
      <c r="D4" s="205" t="n">
        <v>0.84</v>
      </c>
      <c r="E4" s="206" t="n">
        <v>0.858</v>
      </c>
      <c r="F4" s="206" t="n">
        <v>0.865</v>
      </c>
      <c r="G4" s="205" t="n">
        <v>0.95</v>
      </c>
      <c r="H4" s="207" t="n">
        <v>0.95</v>
      </c>
      <c r="I4" s="208" t="s">
        <v>292</v>
      </c>
    </row>
    <row r="5" customFormat="false" ht="45" hidden="false" customHeight="true" outlineLevel="0" collapsed="false">
      <c r="B5" s="204" t="s">
        <v>293</v>
      </c>
      <c r="C5" s="205" t="n">
        <v>0.1</v>
      </c>
      <c r="D5" s="205" t="n">
        <v>0.22</v>
      </c>
      <c r="E5" s="205" t="n">
        <v>0.486</v>
      </c>
      <c r="F5" s="206" t="n">
        <v>0.455</v>
      </c>
      <c r="G5" s="209" t="s">
        <v>294</v>
      </c>
      <c r="H5" s="207" t="n">
        <v>0.95</v>
      </c>
      <c r="I5" s="210" t="s">
        <v>295</v>
      </c>
    </row>
    <row r="6" customFormat="false" ht="60" hidden="false" customHeight="true" outlineLevel="0" collapsed="false">
      <c r="B6" s="204" t="s">
        <v>296</v>
      </c>
      <c r="C6" s="211" t="s">
        <v>297</v>
      </c>
      <c r="D6" s="211" t="s">
        <v>297</v>
      </c>
      <c r="E6" s="206" t="n">
        <v>0.858</v>
      </c>
      <c r="F6" s="205" t="n">
        <v>0.865</v>
      </c>
      <c r="G6" s="205" t="n">
        <v>0.9</v>
      </c>
      <c r="H6" s="207" t="n">
        <v>0.95</v>
      </c>
      <c r="I6" s="208" t="s">
        <v>298</v>
      </c>
    </row>
    <row r="7" customFormat="false" ht="45" hidden="false" customHeight="true" outlineLevel="0" collapsed="false">
      <c r="B7" s="204" t="s">
        <v>299</v>
      </c>
      <c r="C7" s="211" t="s">
        <v>297</v>
      </c>
      <c r="D7" s="211" t="s">
        <v>297</v>
      </c>
      <c r="E7" s="206" t="n">
        <v>0.486</v>
      </c>
      <c r="F7" s="212" t="n">
        <v>0.455</v>
      </c>
      <c r="G7" s="213" t="s">
        <v>294</v>
      </c>
      <c r="H7" s="214" t="n">
        <v>0.95</v>
      </c>
      <c r="I7" s="210" t="s">
        <v>300</v>
      </c>
    </row>
    <row r="8" customFormat="false" ht="45" hidden="false" customHeight="true" outlineLevel="0" collapsed="false">
      <c r="B8" s="215" t="s">
        <v>301</v>
      </c>
      <c r="C8" s="216"/>
      <c r="D8" s="216"/>
      <c r="E8" s="217" t="n">
        <v>0.65</v>
      </c>
      <c r="F8" s="217" t="n">
        <v>0.65</v>
      </c>
      <c r="G8" s="218" t="s">
        <v>294</v>
      </c>
      <c r="H8" s="219" t="n">
        <v>0.95</v>
      </c>
      <c r="I8" s="210" t="s">
        <v>302</v>
      </c>
    </row>
    <row r="9" customFormat="false" ht="13.5" hidden="false" customHeight="true" outlineLevel="0" collapsed="false">
      <c r="B9" s="220" t="s">
        <v>303</v>
      </c>
      <c r="C9" s="221"/>
      <c r="D9" s="221"/>
      <c r="E9" s="221"/>
      <c r="F9" s="222" t="n">
        <v>0.015</v>
      </c>
      <c r="G9" s="221"/>
      <c r="H9" s="223" t="n">
        <v>0.95</v>
      </c>
      <c r="I9" s="221" t="s">
        <v>304</v>
      </c>
    </row>
    <row r="10" customFormat="false" ht="12.75" hidden="false" customHeight="true" outlineLevel="0" collapsed="false">
      <c r="B10" s="224" t="s">
        <v>305</v>
      </c>
      <c r="C10" s="225"/>
      <c r="D10" s="225"/>
      <c r="E10" s="225"/>
      <c r="F10" s="226" t="n">
        <v>0.33</v>
      </c>
      <c r="G10" s="225"/>
      <c r="H10" s="227" t="n">
        <v>0.95</v>
      </c>
      <c r="I10" s="221" t="s">
        <v>304</v>
      </c>
    </row>
  </sheetData>
  <mergeCells count="4">
    <mergeCell ref="B2:B3"/>
    <mergeCell ref="C2:C3"/>
    <mergeCell ref="D2:D3"/>
    <mergeCell ref="F2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3" activeCellId="0" sqref="L23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59" width="35.33"/>
    <col collapsed="false" customWidth="true" hidden="false" outlineLevel="0" max="10" min="2" style="159" width="18"/>
    <col collapsed="false" customWidth="false" hidden="false" outlineLevel="0" max="16384" min="11" style="159" width="8.67"/>
  </cols>
  <sheetData>
    <row r="1" customFormat="false" ht="19.5" hidden="false" customHeight="true" outlineLevel="0" collapsed="false">
      <c r="A1" s="228" t="s">
        <v>306</v>
      </c>
      <c r="B1" s="228"/>
      <c r="C1" s="228"/>
      <c r="D1" s="228"/>
      <c r="E1" s="228"/>
      <c r="F1" s="228"/>
      <c r="G1" s="228"/>
      <c r="H1" s="228"/>
      <c r="I1" s="228"/>
      <c r="J1" s="228"/>
    </row>
    <row r="2" customFormat="false" ht="15" hidden="false" customHeight="true" outlineLevel="0" collapsed="false">
      <c r="A2" s="229" t="s">
        <v>307</v>
      </c>
      <c r="B2" s="229"/>
      <c r="C2" s="229"/>
      <c r="D2" s="229"/>
      <c r="E2" s="229"/>
      <c r="F2" s="229"/>
      <c r="G2" s="229"/>
      <c r="H2" s="229"/>
      <c r="I2" s="229"/>
      <c r="J2" s="229"/>
    </row>
    <row r="4" customFormat="false" ht="16.5" hidden="false" customHeight="true" outlineLevel="0" collapsed="false">
      <c r="A4" s="230" t="s">
        <v>308</v>
      </c>
      <c r="B4" s="230"/>
      <c r="C4" s="230"/>
      <c r="D4" s="230"/>
      <c r="E4" s="230"/>
      <c r="F4" s="231" t="s">
        <v>309</v>
      </c>
      <c r="G4" s="231"/>
      <c r="H4" s="231"/>
      <c r="I4" s="231"/>
      <c r="J4" s="231"/>
    </row>
    <row r="6" customFormat="false" ht="15" hidden="false" customHeight="true" outlineLevel="0" collapsed="false">
      <c r="A6" s="232" t="s">
        <v>310</v>
      </c>
      <c r="B6" s="232" t="s">
        <v>311</v>
      </c>
      <c r="C6" s="232" t="s">
        <v>312</v>
      </c>
      <c r="D6" s="232" t="s">
        <v>313</v>
      </c>
      <c r="F6" s="232" t="s">
        <v>310</v>
      </c>
      <c r="G6" s="232" t="s">
        <v>314</v>
      </c>
      <c r="H6" s="232" t="s">
        <v>315</v>
      </c>
      <c r="I6" s="232" t="s">
        <v>316</v>
      </c>
    </row>
    <row r="7" customFormat="false" ht="19.5" hidden="false" customHeight="true" outlineLevel="0" collapsed="false">
      <c r="A7" s="233" t="n">
        <v>1235</v>
      </c>
      <c r="B7" s="233" t="n">
        <v>65</v>
      </c>
      <c r="C7" s="233" t="n">
        <v>1165</v>
      </c>
      <c r="D7" s="233" t="n">
        <v>5</v>
      </c>
      <c r="F7" s="233" t="n">
        <v>1235</v>
      </c>
      <c r="G7" s="233" t="n">
        <v>1175</v>
      </c>
      <c r="H7" s="233" t="n">
        <v>5</v>
      </c>
      <c r="I7" s="233" t="s">
        <v>317</v>
      </c>
    </row>
    <row r="9" customFormat="false" ht="15" hidden="false" customHeight="true" outlineLevel="0" collapsed="false">
      <c r="A9" s="234" t="s">
        <v>318</v>
      </c>
      <c r="F9" s="234" t="s">
        <v>319</v>
      </c>
      <c r="O9" s="159" t="n">
        <f aca="false">65/1235*100</f>
        <v>5.26315789473684</v>
      </c>
    </row>
    <row r="10" customFormat="false" ht="15" hidden="false" customHeight="true" outlineLevel="0" collapsed="false">
      <c r="A10" s="235" t="s">
        <v>320</v>
      </c>
      <c r="B10" s="236" t="n">
        <v>19</v>
      </c>
      <c r="C10" s="237" t="s">
        <v>321</v>
      </c>
      <c r="F10" s="235" t="s">
        <v>320</v>
      </c>
      <c r="G10" s="236" t="n">
        <v>1091</v>
      </c>
      <c r="H10" s="237" t="s">
        <v>322</v>
      </c>
    </row>
    <row r="11" customFormat="false" ht="15" hidden="false" customHeight="true" outlineLevel="0" collapsed="false">
      <c r="A11" s="238" t="s">
        <v>323</v>
      </c>
      <c r="B11" s="236" t="n">
        <v>39</v>
      </c>
      <c r="C11" s="237" t="s">
        <v>324</v>
      </c>
      <c r="F11" s="238" t="s">
        <v>323</v>
      </c>
      <c r="G11" s="236" t="n">
        <v>77</v>
      </c>
      <c r="H11" s="237" t="s">
        <v>325</v>
      </c>
    </row>
    <row r="12" customFormat="false" ht="15" hidden="false" customHeight="true" outlineLevel="0" collapsed="false">
      <c r="A12" s="239" t="s">
        <v>326</v>
      </c>
      <c r="B12" s="236" t="n">
        <v>7</v>
      </c>
      <c r="C12" s="237" t="s">
        <v>327</v>
      </c>
      <c r="F12" s="239" t="s">
        <v>326</v>
      </c>
      <c r="G12" s="236" t="n">
        <v>7</v>
      </c>
      <c r="H12" s="237" t="s">
        <v>328</v>
      </c>
    </row>
    <row r="14" customFormat="false" ht="15.75" hidden="false" customHeight="true" outlineLevel="0" collapsed="false">
      <c r="A14" s="240" t="s">
        <v>329</v>
      </c>
      <c r="F14" s="241" t="s">
        <v>330</v>
      </c>
    </row>
    <row r="15" customFormat="false" ht="15.75" hidden="false" customHeight="true" outlineLevel="0" collapsed="false">
      <c r="A15" s="240" t="s">
        <v>331</v>
      </c>
      <c r="F15" s="241" t="s">
        <v>332</v>
      </c>
    </row>
    <row r="16" customFormat="false" ht="15" hidden="false" customHeight="true" outlineLevel="0" collapsed="false">
      <c r="A16" s="242" t="s">
        <v>333</v>
      </c>
    </row>
    <row r="18" customFormat="false" ht="15" hidden="false" customHeight="true" outlineLevel="0" collapsed="false">
      <c r="A18" s="234" t="s">
        <v>34</v>
      </c>
      <c r="B18" s="234" t="s">
        <v>334</v>
      </c>
      <c r="F18" s="234" t="s">
        <v>34</v>
      </c>
      <c r="G18" s="234" t="s">
        <v>334</v>
      </c>
    </row>
    <row r="19" customFormat="false" ht="15" hidden="false" customHeight="true" outlineLevel="0" collapsed="false">
      <c r="A19" s="236" t="s">
        <v>320</v>
      </c>
      <c r="B19" s="236" t="n">
        <v>19</v>
      </c>
      <c r="F19" s="236" t="s">
        <v>320</v>
      </c>
      <c r="G19" s="236" t="n">
        <v>1091</v>
      </c>
    </row>
    <row r="20" customFormat="false" ht="15" hidden="false" customHeight="true" outlineLevel="0" collapsed="false">
      <c r="A20" s="236" t="s">
        <v>335</v>
      </c>
      <c r="B20" s="236" t="n">
        <v>39</v>
      </c>
      <c r="F20" s="236" t="s">
        <v>335</v>
      </c>
      <c r="G20" s="236" t="n">
        <v>77</v>
      </c>
    </row>
    <row r="21" customFormat="false" ht="15" hidden="false" customHeight="true" outlineLevel="0" collapsed="false">
      <c r="A21" s="236" t="s">
        <v>336</v>
      </c>
      <c r="B21" s="236" t="n">
        <v>7</v>
      </c>
      <c r="F21" s="236" t="s">
        <v>336</v>
      </c>
      <c r="G21" s="236" t="n">
        <v>7</v>
      </c>
    </row>
    <row r="22" customFormat="false" ht="15" hidden="false" customHeight="true" outlineLevel="0" collapsed="false">
      <c r="A22" s="236" t="s">
        <v>337</v>
      </c>
      <c r="B22" s="236" t="n">
        <v>1165</v>
      </c>
      <c r="F22" s="236" t="s">
        <v>315</v>
      </c>
      <c r="G22" s="236" t="n">
        <v>5</v>
      </c>
    </row>
    <row r="23" customFormat="false" ht="15" hidden="false" customHeight="true" outlineLevel="0" collapsed="false">
      <c r="A23" s="236" t="s">
        <v>313</v>
      </c>
      <c r="B23" s="236" t="n">
        <v>5</v>
      </c>
    </row>
  </sheetData>
  <mergeCells count="4">
    <mergeCell ref="A1:J1"/>
    <mergeCell ref="A2:J2"/>
    <mergeCell ref="A4:E4"/>
    <mergeCell ref="F4:J4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5" zoomScaleNormal="105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0" min="1" style="159" width="18"/>
    <col collapsed="false" customWidth="false" hidden="false" outlineLevel="0" max="16384" min="11" style="159" width="8.67"/>
  </cols>
  <sheetData>
    <row r="1" customFormat="false" ht="19.5" hidden="false" customHeight="true" outlineLevel="0" collapsed="false">
      <c r="A1" s="228" t="s">
        <v>338</v>
      </c>
      <c r="B1" s="228"/>
      <c r="C1" s="228"/>
      <c r="D1" s="228"/>
      <c r="E1" s="228"/>
      <c r="F1" s="228"/>
      <c r="G1" s="228"/>
      <c r="H1" s="228"/>
      <c r="I1" s="228"/>
      <c r="J1" s="228"/>
    </row>
    <row r="2" customFormat="false" ht="15" hidden="false" customHeight="true" outlineLevel="0" collapsed="false">
      <c r="A2" s="229" t="s">
        <v>339</v>
      </c>
      <c r="B2" s="229"/>
      <c r="C2" s="229"/>
      <c r="D2" s="229"/>
      <c r="E2" s="229"/>
      <c r="F2" s="229"/>
      <c r="G2" s="229"/>
      <c r="H2" s="229"/>
      <c r="I2" s="229"/>
      <c r="J2" s="229"/>
    </row>
    <row r="4" customFormat="false" ht="16.5" hidden="false" customHeight="true" outlineLevel="0" collapsed="false">
      <c r="A4" s="230" t="s">
        <v>340</v>
      </c>
      <c r="B4" s="230"/>
      <c r="C4" s="230"/>
      <c r="D4" s="230"/>
      <c r="E4" s="230"/>
      <c r="F4" s="231" t="s">
        <v>341</v>
      </c>
      <c r="G4" s="231"/>
      <c r="H4" s="231"/>
      <c r="I4" s="231"/>
      <c r="J4" s="231"/>
    </row>
    <row r="6" customFormat="false" ht="15" hidden="false" customHeight="true" outlineLevel="0" collapsed="false">
      <c r="A6" s="232" t="s">
        <v>342</v>
      </c>
      <c r="B6" s="232" t="s">
        <v>343</v>
      </c>
      <c r="C6" s="232" t="s">
        <v>344</v>
      </c>
      <c r="D6" s="232" t="s">
        <v>345</v>
      </c>
      <c r="F6" s="232" t="s">
        <v>342</v>
      </c>
      <c r="G6" s="232" t="s">
        <v>346</v>
      </c>
      <c r="H6" s="232" t="s">
        <v>347</v>
      </c>
      <c r="I6" s="232" t="s">
        <v>316</v>
      </c>
    </row>
    <row r="7" customFormat="false" ht="19.5" hidden="false" customHeight="true" outlineLevel="0" collapsed="false">
      <c r="A7" s="233" t="n">
        <v>2642</v>
      </c>
      <c r="B7" s="233" t="n">
        <v>2520</v>
      </c>
      <c r="C7" s="233" t="n">
        <v>120</v>
      </c>
      <c r="D7" s="233" t="n">
        <v>2</v>
      </c>
      <c r="F7" s="233" t="n">
        <v>2642</v>
      </c>
      <c r="G7" s="233" t="n">
        <v>2570</v>
      </c>
      <c r="H7" s="233" t="n">
        <v>2</v>
      </c>
      <c r="I7" s="233" t="s">
        <v>348</v>
      </c>
    </row>
    <row r="9" customFormat="false" ht="15" hidden="false" customHeight="true" outlineLevel="0" collapsed="false">
      <c r="A9" s="234" t="s">
        <v>349</v>
      </c>
      <c r="F9" s="234" t="s">
        <v>350</v>
      </c>
    </row>
    <row r="10" customFormat="false" ht="15" hidden="false" customHeight="true" outlineLevel="0" collapsed="false">
      <c r="A10" s="235" t="s">
        <v>320</v>
      </c>
      <c r="B10" s="236" t="n">
        <v>840</v>
      </c>
      <c r="C10" s="237" t="s">
        <v>351</v>
      </c>
      <c r="F10" s="235" t="s">
        <v>320</v>
      </c>
      <c r="G10" s="236" t="n">
        <v>1520</v>
      </c>
      <c r="H10" s="237" t="s">
        <v>352</v>
      </c>
    </row>
    <row r="11" customFormat="false" ht="15" hidden="false" customHeight="true" outlineLevel="0" collapsed="false">
      <c r="A11" s="238" t="s">
        <v>335</v>
      </c>
      <c r="B11" s="236" t="n">
        <v>1617</v>
      </c>
      <c r="C11" s="237" t="s">
        <v>353</v>
      </c>
      <c r="F11" s="238" t="s">
        <v>335</v>
      </c>
      <c r="G11" s="236" t="n">
        <v>1003</v>
      </c>
      <c r="H11" s="237" t="s">
        <v>354</v>
      </c>
    </row>
    <row r="12" customFormat="false" ht="15" hidden="false" customHeight="true" outlineLevel="0" collapsed="false">
      <c r="A12" s="239" t="s">
        <v>336</v>
      </c>
      <c r="B12" s="236" t="n">
        <v>63</v>
      </c>
      <c r="C12" s="237" t="s">
        <v>355</v>
      </c>
      <c r="F12" s="239" t="s">
        <v>336</v>
      </c>
      <c r="G12" s="236" t="n">
        <v>47</v>
      </c>
      <c r="H12" s="237" t="s">
        <v>356</v>
      </c>
    </row>
    <row r="14" customFormat="false" ht="15.75" hidden="false" customHeight="true" outlineLevel="0" collapsed="false">
      <c r="A14" s="240" t="s">
        <v>357</v>
      </c>
      <c r="F14" s="241" t="s">
        <v>358</v>
      </c>
    </row>
    <row r="15" customFormat="false" ht="15.75" hidden="false" customHeight="true" outlineLevel="0" collapsed="false">
      <c r="A15" s="240" t="s">
        <v>359</v>
      </c>
      <c r="F15" s="241" t="s">
        <v>360</v>
      </c>
    </row>
    <row r="16" customFormat="false" ht="15" hidden="false" customHeight="true" outlineLevel="0" collapsed="false">
      <c r="A16" s="242" t="s">
        <v>361</v>
      </c>
      <c r="F16" s="242" t="s">
        <v>362</v>
      </c>
    </row>
    <row r="18" customFormat="false" ht="15" hidden="false" customHeight="true" outlineLevel="0" collapsed="false">
      <c r="A18" s="234" t="s">
        <v>34</v>
      </c>
      <c r="B18" s="234" t="s">
        <v>334</v>
      </c>
      <c r="F18" s="234" t="s">
        <v>34</v>
      </c>
      <c r="G18" s="234" t="s">
        <v>334</v>
      </c>
    </row>
    <row r="19" customFormat="false" ht="15" hidden="false" customHeight="true" outlineLevel="0" collapsed="false">
      <c r="A19" s="236" t="s">
        <v>320</v>
      </c>
      <c r="B19" s="236" t="n">
        <v>840</v>
      </c>
      <c r="F19" s="236" t="s">
        <v>320</v>
      </c>
      <c r="G19" s="236" t="n">
        <v>1520</v>
      </c>
    </row>
    <row r="20" customFormat="false" ht="15" hidden="false" customHeight="true" outlineLevel="0" collapsed="false">
      <c r="A20" s="236" t="s">
        <v>335</v>
      </c>
      <c r="B20" s="236" t="n">
        <v>1617</v>
      </c>
      <c r="F20" s="236" t="s">
        <v>335</v>
      </c>
      <c r="G20" s="236" t="n">
        <v>1003</v>
      </c>
    </row>
    <row r="21" customFormat="false" ht="15" hidden="false" customHeight="true" outlineLevel="0" collapsed="false">
      <c r="A21" s="236" t="s">
        <v>336</v>
      </c>
      <c r="B21" s="236" t="n">
        <v>63</v>
      </c>
      <c r="F21" s="236" t="s">
        <v>336</v>
      </c>
      <c r="G21" s="236" t="n">
        <v>47</v>
      </c>
    </row>
    <row r="22" customFormat="false" ht="15" hidden="false" customHeight="true" outlineLevel="0" collapsed="false">
      <c r="A22" s="236" t="s">
        <v>363</v>
      </c>
      <c r="B22" s="236" t="n">
        <v>120</v>
      </c>
      <c r="F22" s="236" t="s">
        <v>347</v>
      </c>
      <c r="G22" s="236" t="n">
        <v>2</v>
      </c>
    </row>
    <row r="23" customFormat="false" ht="15" hidden="false" customHeight="true" outlineLevel="0" collapsed="false">
      <c r="A23" s="236" t="s">
        <v>345</v>
      </c>
      <c r="B23" s="236" t="n">
        <v>2</v>
      </c>
    </row>
  </sheetData>
  <mergeCells count="4">
    <mergeCell ref="A1:J1"/>
    <mergeCell ref="A2:J2"/>
    <mergeCell ref="A4:E4"/>
    <mergeCell ref="F4:J4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4" colorId="64" zoomScale="136" zoomScaleNormal="136" zoomScalePageLayoutView="100" workbookViewId="0">
      <selection pane="topLeft" activeCell="B18" activeCellId="0" sqref="B18"/>
    </sheetView>
  </sheetViews>
  <sheetFormatPr defaultColWidth="8.83203125" defaultRowHeight="15" customHeight="true" zeroHeight="false" outlineLevelRow="0" outlineLevelCol="0"/>
  <cols>
    <col collapsed="false" customWidth="true" hidden="false" outlineLevel="0" max="8" min="1" style="159" width="25"/>
    <col collapsed="false" customWidth="false" hidden="false" outlineLevel="0" max="16384" min="9" style="159" width="8.83"/>
  </cols>
  <sheetData>
    <row r="1" customFormat="false" ht="27.75" hidden="false" customHeight="true" outlineLevel="0" collapsed="false">
      <c r="A1" s="243" t="s">
        <v>364</v>
      </c>
      <c r="B1" s="243"/>
      <c r="C1" s="243"/>
      <c r="D1" s="243"/>
      <c r="E1" s="243"/>
      <c r="F1" s="243"/>
      <c r="G1" s="243"/>
      <c r="H1" s="243"/>
    </row>
    <row r="3" customFormat="false" ht="15" hidden="false" customHeight="true" outlineLevel="0" collapsed="false">
      <c r="A3" s="244" t="s">
        <v>365</v>
      </c>
    </row>
    <row r="4" customFormat="false" ht="15" hidden="false" customHeight="true" outlineLevel="0" collapsed="false">
      <c r="A4" s="245" t="s">
        <v>366</v>
      </c>
    </row>
    <row r="5" customFormat="false" ht="15" hidden="false" customHeight="true" outlineLevel="0" collapsed="false">
      <c r="A5" s="245" t="s">
        <v>367</v>
      </c>
    </row>
    <row r="6" customFormat="false" ht="15" hidden="false" customHeight="true" outlineLevel="0" collapsed="false">
      <c r="A6" s="245" t="s">
        <v>368</v>
      </c>
    </row>
    <row r="7" customFormat="false" ht="15" hidden="false" customHeight="true" outlineLevel="0" collapsed="false">
      <c r="A7" s="245" t="s">
        <v>369</v>
      </c>
    </row>
    <row r="8" customFormat="false" ht="15" hidden="false" customHeight="true" outlineLevel="0" collapsed="false">
      <c r="A8" s="245" t="s">
        <v>370</v>
      </c>
    </row>
    <row r="9" customFormat="false" ht="15" hidden="false" customHeight="true" outlineLevel="0" collapsed="false">
      <c r="A9" s="245" t="s">
        <v>371</v>
      </c>
    </row>
    <row r="10" customFormat="false" ht="15" hidden="false" customHeight="true" outlineLevel="0" collapsed="false">
      <c r="A10" s="245" t="s">
        <v>372</v>
      </c>
    </row>
    <row r="11" customFormat="false" ht="15" hidden="false" customHeight="true" outlineLevel="0" collapsed="false">
      <c r="A11" s="245" t="s">
        <v>373</v>
      </c>
    </row>
    <row r="12" customFormat="false" ht="15" hidden="false" customHeight="true" outlineLevel="0" collapsed="false">
      <c r="A12" s="245" t="s">
        <v>374</v>
      </c>
    </row>
    <row r="15" customFormat="false" ht="15" hidden="false" customHeight="true" outlineLevel="0" collapsed="false">
      <c r="A15" s="246" t="s">
        <v>375</v>
      </c>
    </row>
    <row r="16" customFormat="false" ht="15" hidden="false" customHeight="true" outlineLevel="0" collapsed="false">
      <c r="A16" s="245" t="s">
        <v>376</v>
      </c>
    </row>
    <row r="17" customFormat="false" ht="15" hidden="false" customHeight="true" outlineLevel="0" collapsed="false">
      <c r="A17" s="245" t="s">
        <v>377</v>
      </c>
    </row>
    <row r="18" customFormat="false" ht="15" hidden="false" customHeight="true" outlineLevel="0" collapsed="false">
      <c r="A18" s="245" t="s">
        <v>378</v>
      </c>
    </row>
    <row r="19" customFormat="false" ht="15" hidden="false" customHeight="true" outlineLevel="0" collapsed="false">
      <c r="A19" s="245" t="s">
        <v>379</v>
      </c>
    </row>
    <row r="22" customFormat="false" ht="15" hidden="false" customHeight="true" outlineLevel="0" collapsed="false">
      <c r="A22" s="246" t="s">
        <v>380</v>
      </c>
    </row>
    <row r="23" customFormat="false" ht="15" hidden="false" customHeight="true" outlineLevel="0" collapsed="false">
      <c r="A23" s="247" t="s">
        <v>381</v>
      </c>
      <c r="B23" s="247" t="s">
        <v>382</v>
      </c>
      <c r="C23" s="247" t="s">
        <v>383</v>
      </c>
      <c r="D23" s="247" t="s">
        <v>384</v>
      </c>
    </row>
    <row r="24" customFormat="false" ht="15" hidden="false" customHeight="true" outlineLevel="0" collapsed="false">
      <c r="A24" s="248" t="s">
        <v>385</v>
      </c>
      <c r="B24" s="248" t="s">
        <v>386</v>
      </c>
      <c r="C24" s="248" t="s">
        <v>387</v>
      </c>
      <c r="D24" s="248" t="s">
        <v>388</v>
      </c>
    </row>
    <row r="25" customFormat="false" ht="15" hidden="false" customHeight="true" outlineLevel="0" collapsed="false">
      <c r="A25" s="248" t="s">
        <v>389</v>
      </c>
      <c r="B25" s="248" t="s">
        <v>386</v>
      </c>
      <c r="C25" s="248" t="s">
        <v>390</v>
      </c>
      <c r="D25" s="248" t="s">
        <v>391</v>
      </c>
    </row>
    <row r="26" customFormat="false" ht="15" hidden="false" customHeight="true" outlineLevel="0" collapsed="false">
      <c r="A26" s="248" t="s">
        <v>392</v>
      </c>
      <c r="B26" s="248" t="s">
        <v>386</v>
      </c>
      <c r="C26" s="248" t="s">
        <v>393</v>
      </c>
      <c r="D26" s="248" t="s">
        <v>391</v>
      </c>
    </row>
    <row r="27" customFormat="false" ht="15" hidden="false" customHeight="true" outlineLevel="0" collapsed="false">
      <c r="A27" s="248" t="s">
        <v>394</v>
      </c>
      <c r="B27" s="248" t="s">
        <v>386</v>
      </c>
      <c r="C27" s="248" t="s">
        <v>395</v>
      </c>
      <c r="D27" s="248" t="s">
        <v>391</v>
      </c>
    </row>
    <row r="28" customFormat="false" ht="15" hidden="false" customHeight="true" outlineLevel="0" collapsed="false">
      <c r="A28" s="248" t="s">
        <v>396</v>
      </c>
      <c r="B28" s="248" t="s">
        <v>397</v>
      </c>
      <c r="C28" s="248" t="s">
        <v>398</v>
      </c>
      <c r="D28" s="248" t="s">
        <v>399</v>
      </c>
    </row>
    <row r="29" customFormat="false" ht="15" hidden="false" customHeight="true" outlineLevel="0" collapsed="false">
      <c r="A29" s="248" t="s">
        <v>400</v>
      </c>
      <c r="B29" s="248" t="s">
        <v>386</v>
      </c>
      <c r="C29" s="248" t="s">
        <v>401</v>
      </c>
      <c r="D29" s="248" t="s">
        <v>399</v>
      </c>
    </row>
    <row r="30" customFormat="false" ht="15" hidden="false" customHeight="true" outlineLevel="0" collapsed="false">
      <c r="A30" s="248" t="s">
        <v>402</v>
      </c>
      <c r="B30" s="248" t="s">
        <v>397</v>
      </c>
      <c r="C30" s="248" t="s">
        <v>401</v>
      </c>
      <c r="D30" s="248" t="s">
        <v>399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30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customHeight="true" zeroHeight="false" outlineLevelRow="0" outlineLevelCol="0"/>
  <cols>
    <col collapsed="false" customWidth="true" hidden="false" outlineLevel="0" max="1" min="1" style="159" width="35"/>
    <col collapsed="false" customWidth="true" hidden="false" outlineLevel="0" max="2" min="2" style="159" width="25"/>
    <col collapsed="false" customWidth="true" hidden="false" outlineLevel="0" max="3" min="3" style="159" width="30"/>
    <col collapsed="false" customWidth="true" hidden="false" outlineLevel="0" max="4" min="4" style="159" width="22"/>
    <col collapsed="false" customWidth="true" hidden="false" outlineLevel="0" max="5" min="5" style="159" width="25"/>
    <col collapsed="false" customWidth="false" hidden="false" outlineLevel="0" max="16384" min="6" style="159" width="8.83"/>
  </cols>
  <sheetData>
    <row r="1" customFormat="false" ht="27.75" hidden="false" customHeight="true" outlineLevel="0" collapsed="false">
      <c r="A1" s="243" t="s">
        <v>403</v>
      </c>
      <c r="B1" s="243"/>
      <c r="C1" s="243"/>
      <c r="D1" s="243"/>
      <c r="E1" s="243"/>
    </row>
    <row r="3" customFormat="false" ht="15.75" hidden="false" customHeight="true" outlineLevel="0" collapsed="false">
      <c r="A3" s="249" t="s">
        <v>404</v>
      </c>
    </row>
    <row r="4" customFormat="false" ht="15" hidden="false" customHeight="true" outlineLevel="0" collapsed="false">
      <c r="A4" s="245" t="s">
        <v>405</v>
      </c>
    </row>
    <row r="5" customFormat="false" ht="15" hidden="false" customHeight="true" outlineLevel="0" collapsed="false">
      <c r="A5" s="245" t="s">
        <v>406</v>
      </c>
    </row>
    <row r="6" customFormat="false" ht="15" hidden="false" customHeight="true" outlineLevel="0" collapsed="false">
      <c r="A6" s="245" t="s">
        <v>407</v>
      </c>
    </row>
    <row r="7" customFormat="false" ht="15" hidden="false" customHeight="true" outlineLevel="0" collapsed="false">
      <c r="A7" s="245"/>
    </row>
    <row r="8" customFormat="false" ht="15" hidden="false" customHeight="true" outlineLevel="0" collapsed="false">
      <c r="A8" s="250" t="s">
        <v>408</v>
      </c>
    </row>
    <row r="9" customFormat="false" ht="15" hidden="false" customHeight="true" outlineLevel="0" collapsed="false">
      <c r="A9" s="245" t="s">
        <v>409</v>
      </c>
    </row>
    <row r="10" customFormat="false" ht="15" hidden="false" customHeight="true" outlineLevel="0" collapsed="false">
      <c r="A10" s="250" t="s">
        <v>410</v>
      </c>
    </row>
    <row r="13" customFormat="false" ht="15.75" hidden="false" customHeight="true" outlineLevel="0" collapsed="false">
      <c r="A13" s="249" t="s">
        <v>411</v>
      </c>
    </row>
    <row r="14" customFormat="false" ht="15" hidden="false" customHeight="true" outlineLevel="0" collapsed="false">
      <c r="A14" s="245" t="s">
        <v>412</v>
      </c>
    </row>
    <row r="15" customFormat="false" ht="15" hidden="false" customHeight="true" outlineLevel="0" collapsed="false">
      <c r="A15" s="245" t="s">
        <v>413</v>
      </c>
    </row>
    <row r="16" customFormat="false" ht="15" hidden="false" customHeight="true" outlineLevel="0" collapsed="false">
      <c r="A16" s="245" t="s">
        <v>414</v>
      </c>
    </row>
    <row r="17" customFormat="false" ht="15" hidden="false" customHeight="true" outlineLevel="0" collapsed="false">
      <c r="A17" s="245" t="s">
        <v>415</v>
      </c>
    </row>
    <row r="18" customFormat="false" ht="15" hidden="false" customHeight="true" outlineLevel="0" collapsed="false">
      <c r="A18" s="245" t="s">
        <v>416</v>
      </c>
    </row>
    <row r="21" customFormat="false" ht="18.75" hidden="false" customHeight="true" outlineLevel="0" collapsed="false">
      <c r="A21" s="251" t="s">
        <v>417</v>
      </c>
    </row>
    <row r="22" customFormat="false" ht="15" hidden="false" customHeight="true" outlineLevel="0" collapsed="false">
      <c r="A22" s="252" t="s">
        <v>216</v>
      </c>
      <c r="B22" s="252" t="s">
        <v>418</v>
      </c>
      <c r="C22" s="252" t="s">
        <v>419</v>
      </c>
    </row>
    <row r="23" customFormat="false" ht="15" hidden="false" customHeight="true" outlineLevel="0" collapsed="false">
      <c r="A23" s="248" t="s">
        <v>420</v>
      </c>
      <c r="B23" s="248" t="s">
        <v>421</v>
      </c>
      <c r="C23" s="248" t="s">
        <v>422</v>
      </c>
    </row>
    <row r="24" customFormat="false" ht="15" hidden="false" customHeight="true" outlineLevel="0" collapsed="false">
      <c r="A24" s="248" t="s">
        <v>423</v>
      </c>
      <c r="B24" s="248" t="s">
        <v>424</v>
      </c>
      <c r="C24" s="248" t="s">
        <v>425</v>
      </c>
    </row>
    <row r="25" customFormat="false" ht="15" hidden="false" customHeight="true" outlineLevel="0" collapsed="false">
      <c r="A25" s="248" t="s">
        <v>426</v>
      </c>
      <c r="B25" s="248" t="s">
        <v>427</v>
      </c>
      <c r="C25" s="253" t="s">
        <v>428</v>
      </c>
    </row>
    <row r="26" customFormat="false" ht="15" hidden="false" customHeight="true" outlineLevel="0" collapsed="false">
      <c r="A26" s="248" t="s">
        <v>429</v>
      </c>
      <c r="B26" s="248" t="s">
        <v>430</v>
      </c>
      <c r="C26" s="253" t="s">
        <v>431</v>
      </c>
    </row>
    <row r="27" customFormat="false" ht="15" hidden="false" customHeight="true" outlineLevel="0" collapsed="false">
      <c r="A27" s="248" t="s">
        <v>432</v>
      </c>
      <c r="B27" s="248" t="s">
        <v>433</v>
      </c>
      <c r="C27" s="253" t="s">
        <v>434</v>
      </c>
    </row>
    <row r="28" customFormat="false" ht="15" hidden="false" customHeight="true" outlineLevel="0" collapsed="false">
      <c r="A28" s="248" t="s">
        <v>435</v>
      </c>
      <c r="B28" s="248" t="s">
        <v>436</v>
      </c>
      <c r="C28" s="248" t="s">
        <v>437</v>
      </c>
    </row>
    <row r="29" customFormat="false" ht="15" hidden="false" customHeight="true" outlineLevel="0" collapsed="false">
      <c r="A29" s="248" t="s">
        <v>438</v>
      </c>
      <c r="B29" s="248" t="s">
        <v>439</v>
      </c>
      <c r="C29" s="248" t="s">
        <v>440</v>
      </c>
    </row>
    <row r="30" customFormat="false" ht="15" hidden="false" customHeight="true" outlineLevel="0" collapsed="false">
      <c r="A30" s="248" t="s">
        <v>441</v>
      </c>
      <c r="B30" s="248" t="s">
        <v>442</v>
      </c>
      <c r="C30" s="248" t="s">
        <v>443</v>
      </c>
    </row>
    <row r="31" customFormat="false" ht="15" hidden="false" customHeight="true" outlineLevel="0" collapsed="false">
      <c r="A31" s="248" t="s">
        <v>444</v>
      </c>
      <c r="B31" s="248" t="s">
        <v>445</v>
      </c>
      <c r="C31" s="248" t="s">
        <v>446</v>
      </c>
    </row>
    <row r="34" customFormat="false" ht="15" hidden="false" customHeight="true" outlineLevel="0" collapsed="false">
      <c r="A34" s="246" t="s">
        <v>447</v>
      </c>
    </row>
    <row r="35" customFormat="false" ht="15" hidden="false" customHeight="true" outlineLevel="0" collapsed="false">
      <c r="A35" s="245" t="s">
        <v>448</v>
      </c>
    </row>
    <row r="36" customFormat="false" ht="15" hidden="false" customHeight="true" outlineLevel="0" collapsed="false">
      <c r="A36" s="245" t="s">
        <v>449</v>
      </c>
    </row>
    <row r="37" customFormat="false" ht="15" hidden="false" customHeight="true" outlineLevel="0" collapsed="false">
      <c r="A37" s="245" t="s">
        <v>450</v>
      </c>
    </row>
    <row r="38" customFormat="false" ht="15" hidden="false" customHeight="true" outlineLevel="0" collapsed="false">
      <c r="A38" s="245" t="s">
        <v>451</v>
      </c>
    </row>
    <row r="41" customFormat="false" ht="15" hidden="false" customHeight="true" outlineLevel="0" collapsed="false">
      <c r="A41" s="246" t="s">
        <v>452</v>
      </c>
    </row>
    <row r="42" customFormat="false" ht="15" hidden="false" customHeight="true" outlineLevel="0" collapsed="false">
      <c r="A42" s="252" t="s">
        <v>453</v>
      </c>
      <c r="B42" s="252" t="s">
        <v>454</v>
      </c>
      <c r="C42" s="252" t="s">
        <v>455</v>
      </c>
      <c r="D42" s="252" t="s">
        <v>456</v>
      </c>
      <c r="E42" s="252" t="s">
        <v>457</v>
      </c>
    </row>
    <row r="43" customFormat="false" ht="15" hidden="false" customHeight="true" outlineLevel="0" collapsed="false">
      <c r="A43" s="248" t="s">
        <v>458</v>
      </c>
      <c r="B43" s="248" t="s">
        <v>459</v>
      </c>
      <c r="C43" s="248" t="s">
        <v>460</v>
      </c>
      <c r="D43" s="248" t="s">
        <v>461</v>
      </c>
      <c r="E43" s="248" t="s">
        <v>462</v>
      </c>
    </row>
    <row r="44" customFormat="false" ht="15" hidden="false" customHeight="true" outlineLevel="0" collapsed="false">
      <c r="A44" s="248" t="s">
        <v>463</v>
      </c>
      <c r="B44" s="248" t="s">
        <v>464</v>
      </c>
      <c r="C44" s="248" t="s">
        <v>465</v>
      </c>
      <c r="D44" s="248" t="s">
        <v>466</v>
      </c>
      <c r="E44" s="248" t="s">
        <v>467</v>
      </c>
    </row>
    <row r="45" customFormat="false" ht="15" hidden="false" customHeight="true" outlineLevel="0" collapsed="false">
      <c r="A45" s="248" t="s">
        <v>468</v>
      </c>
      <c r="B45" s="248" t="s">
        <v>469</v>
      </c>
      <c r="C45" s="248" t="s">
        <v>470</v>
      </c>
      <c r="D45" s="248" t="s">
        <v>471</v>
      </c>
      <c r="E45" s="248" t="s">
        <v>472</v>
      </c>
    </row>
    <row r="46" customFormat="false" ht="15" hidden="false" customHeight="true" outlineLevel="0" collapsed="false">
      <c r="A46" s="248" t="s">
        <v>473</v>
      </c>
      <c r="B46" s="248" t="s">
        <v>474</v>
      </c>
      <c r="C46" s="248" t="s">
        <v>475</v>
      </c>
      <c r="D46" s="248" t="s">
        <v>476</v>
      </c>
      <c r="E46" s="253" t="s">
        <v>477</v>
      </c>
    </row>
    <row r="47" customFormat="false" ht="15" hidden="false" customHeight="true" outlineLevel="0" collapsed="false">
      <c r="A47" s="248" t="s">
        <v>478</v>
      </c>
      <c r="B47" s="248" t="s">
        <v>479</v>
      </c>
      <c r="C47" s="248" t="s">
        <v>480</v>
      </c>
      <c r="D47" s="248" t="s">
        <v>481</v>
      </c>
      <c r="E47" s="253" t="s">
        <v>482</v>
      </c>
    </row>
    <row r="50" customFormat="false" ht="15" hidden="false" customHeight="true" outlineLevel="0" collapsed="false">
      <c r="A50" s="254" t="s">
        <v>483</v>
      </c>
    </row>
    <row r="51" customFormat="false" ht="15" hidden="false" customHeight="true" outlineLevel="0" collapsed="false">
      <c r="A51" s="255" t="s">
        <v>484</v>
      </c>
      <c r="B51" s="255" t="s">
        <v>485</v>
      </c>
      <c r="C51" s="255" t="s">
        <v>486</v>
      </c>
      <c r="D51" s="255" t="s">
        <v>487</v>
      </c>
      <c r="E51" s="255" t="s">
        <v>488</v>
      </c>
    </row>
    <row r="52" customFormat="false" ht="15" hidden="false" customHeight="true" outlineLevel="0" collapsed="false">
      <c r="A52" s="248" t="s">
        <v>489</v>
      </c>
      <c r="B52" s="248" t="s">
        <v>490</v>
      </c>
      <c r="C52" s="248" t="s">
        <v>234</v>
      </c>
      <c r="D52" s="248" t="s">
        <v>491</v>
      </c>
      <c r="E52" s="248" t="s">
        <v>492</v>
      </c>
    </row>
    <row r="53" customFormat="false" ht="15" hidden="false" customHeight="true" outlineLevel="0" collapsed="false">
      <c r="A53" s="248" t="s">
        <v>493</v>
      </c>
      <c r="B53" s="248" t="s">
        <v>494</v>
      </c>
      <c r="C53" s="248" t="s">
        <v>234</v>
      </c>
      <c r="D53" s="248" t="s">
        <v>491</v>
      </c>
      <c r="E53" s="248" t="s">
        <v>495</v>
      </c>
    </row>
    <row r="54" customFormat="false" ht="15" hidden="false" customHeight="true" outlineLevel="0" collapsed="false">
      <c r="A54" s="248" t="s">
        <v>496</v>
      </c>
      <c r="B54" s="248" t="s">
        <v>497</v>
      </c>
      <c r="C54" s="248" t="s">
        <v>234</v>
      </c>
      <c r="D54" s="248" t="s">
        <v>491</v>
      </c>
      <c r="E54" s="248" t="s">
        <v>498</v>
      </c>
    </row>
    <row r="55" customFormat="false" ht="15" hidden="false" customHeight="true" outlineLevel="0" collapsed="false">
      <c r="A55" s="248" t="s">
        <v>499</v>
      </c>
      <c r="B55" s="248" t="s">
        <v>500</v>
      </c>
      <c r="C55" s="248" t="s">
        <v>501</v>
      </c>
      <c r="D55" s="248" t="s">
        <v>502</v>
      </c>
      <c r="E55" s="248" t="s">
        <v>503</v>
      </c>
    </row>
    <row r="56" customFormat="false" ht="15" hidden="false" customHeight="true" outlineLevel="0" collapsed="false">
      <c r="A56" s="248" t="s">
        <v>504</v>
      </c>
      <c r="B56" s="248" t="s">
        <v>505</v>
      </c>
      <c r="C56" s="248" t="s">
        <v>234</v>
      </c>
      <c r="D56" s="248" t="s">
        <v>506</v>
      </c>
      <c r="E56" s="248" t="s">
        <v>507</v>
      </c>
    </row>
    <row r="57" customFormat="false" ht="15" hidden="false" customHeight="true" outlineLevel="0" collapsed="false">
      <c r="A57" s="248" t="s">
        <v>508</v>
      </c>
      <c r="B57" s="248" t="s">
        <v>509</v>
      </c>
      <c r="C57" s="248" t="s">
        <v>234</v>
      </c>
      <c r="D57" s="248" t="s">
        <v>510</v>
      </c>
      <c r="E57" s="248" t="s">
        <v>511</v>
      </c>
    </row>
    <row r="58" customFormat="false" ht="15" hidden="false" customHeight="true" outlineLevel="0" collapsed="false">
      <c r="A58" s="248" t="s">
        <v>512</v>
      </c>
      <c r="B58" s="248" t="s">
        <v>513</v>
      </c>
      <c r="C58" s="248" t="s">
        <v>501</v>
      </c>
      <c r="D58" s="248" t="s">
        <v>514</v>
      </c>
      <c r="E58" s="248" t="s">
        <v>515</v>
      </c>
    </row>
    <row r="61" customFormat="false" ht="15.75" hidden="false" customHeight="true" outlineLevel="0" collapsed="false">
      <c r="A61" s="249" t="s">
        <v>516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G5" activeCellId="0" sqref="G5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59" width="38"/>
    <col collapsed="false" customWidth="true" hidden="false" outlineLevel="0" max="2" min="2" style="159" width="12"/>
    <col collapsed="false" customWidth="true" hidden="false" outlineLevel="0" max="3" min="3" style="159" width="18"/>
    <col collapsed="false" customWidth="true" hidden="false" outlineLevel="0" max="8" min="4" style="159" width="13"/>
    <col collapsed="false" customWidth="false" hidden="false" outlineLevel="0" max="16384" min="9" style="159" width="8.67"/>
  </cols>
  <sheetData>
    <row r="1" customFormat="false" ht="30" hidden="false" customHeight="true" outlineLevel="0" collapsed="false">
      <c r="A1" s="160" t="s">
        <v>517</v>
      </c>
      <c r="B1" s="160"/>
      <c r="C1" s="160"/>
      <c r="D1" s="160"/>
      <c r="E1" s="160"/>
      <c r="F1" s="160"/>
      <c r="G1" s="160"/>
      <c r="H1" s="160"/>
      <c r="I1" s="160"/>
    </row>
    <row r="3" customFormat="false" ht="15" hidden="false" customHeight="true" outlineLevel="0" collapsed="false">
      <c r="A3" s="256" t="s">
        <v>518</v>
      </c>
      <c r="B3" s="256"/>
      <c r="C3" s="256"/>
      <c r="D3" s="256"/>
      <c r="E3" s="256"/>
      <c r="F3" s="256"/>
      <c r="G3" s="256"/>
      <c r="H3" s="256"/>
      <c r="I3" s="256"/>
    </row>
    <row r="4" customFormat="false" ht="34.5" hidden="false" customHeight="true" outlineLevel="0" collapsed="false">
      <c r="A4" s="163" t="s">
        <v>183</v>
      </c>
      <c r="B4" s="163" t="s">
        <v>184</v>
      </c>
      <c r="C4" s="163" t="s">
        <v>216</v>
      </c>
      <c r="D4" s="163" t="s">
        <v>177</v>
      </c>
      <c r="E4" s="163" t="s">
        <v>178</v>
      </c>
      <c r="F4" s="163" t="s">
        <v>179</v>
      </c>
      <c r="G4" s="163" t="s">
        <v>180</v>
      </c>
      <c r="H4" s="257" t="s">
        <v>519</v>
      </c>
    </row>
    <row r="5" customFormat="false" ht="15" hidden="false" customHeight="true" outlineLevel="0" collapsed="false">
      <c r="A5" s="165" t="s">
        <v>188</v>
      </c>
      <c r="B5" s="166" t="s">
        <v>189</v>
      </c>
      <c r="C5" s="166" t="s">
        <v>118</v>
      </c>
      <c r="D5" s="168" t="n">
        <v>0.52</v>
      </c>
      <c r="E5" s="168" t="n">
        <v>0.36</v>
      </c>
      <c r="F5" s="168" t="n">
        <v>0.35</v>
      </c>
      <c r="G5" s="168" t="n">
        <v>0.5</v>
      </c>
      <c r="H5" s="258" t="n">
        <v>-0.02</v>
      </c>
    </row>
    <row r="6" customFormat="false" ht="15" hidden="false" customHeight="true" outlineLevel="0" collapsed="false">
      <c r="A6" s="165" t="s">
        <v>188</v>
      </c>
      <c r="B6" s="166" t="s">
        <v>189</v>
      </c>
      <c r="C6" s="166" t="s">
        <v>126</v>
      </c>
      <c r="D6" s="168" t="n">
        <v>0.52</v>
      </c>
      <c r="E6" s="168" t="n">
        <v>0.36</v>
      </c>
      <c r="F6" s="168" t="n">
        <v>0.35</v>
      </c>
      <c r="G6" s="168" t="n">
        <v>0.49</v>
      </c>
      <c r="H6" s="258" t="n">
        <v>-0.03</v>
      </c>
    </row>
    <row r="7" customFormat="false" ht="15" hidden="false" customHeight="true" outlineLevel="0" collapsed="false">
      <c r="A7" s="165" t="s">
        <v>190</v>
      </c>
      <c r="B7" s="166" t="s">
        <v>191</v>
      </c>
      <c r="C7" s="166" t="s">
        <v>118</v>
      </c>
      <c r="D7" s="168" t="n">
        <v>0.79</v>
      </c>
      <c r="E7" s="168" t="n">
        <v>0.83</v>
      </c>
      <c r="F7" s="168" t="n">
        <v>0.85</v>
      </c>
      <c r="G7" s="168" t="n">
        <v>0.87</v>
      </c>
      <c r="H7" s="259" t="n">
        <v>0.08</v>
      </c>
    </row>
    <row r="8" customFormat="false" ht="15" hidden="false" customHeight="true" outlineLevel="0" collapsed="false">
      <c r="A8" s="165" t="s">
        <v>190</v>
      </c>
      <c r="B8" s="166" t="s">
        <v>191</v>
      </c>
      <c r="C8" s="166" t="s">
        <v>126</v>
      </c>
      <c r="D8" s="168" t="n">
        <v>0.41</v>
      </c>
      <c r="E8" s="168" t="n">
        <v>0.36</v>
      </c>
      <c r="F8" s="168" t="n">
        <v>0.34</v>
      </c>
      <c r="G8" s="168" t="n">
        <v>0.43</v>
      </c>
      <c r="H8" s="259" t="n">
        <v>0.02</v>
      </c>
    </row>
    <row r="9" customFormat="false" ht="15" hidden="false" customHeight="true" outlineLevel="0" collapsed="false">
      <c r="A9" s="165" t="s">
        <v>190</v>
      </c>
      <c r="B9" s="166" t="s">
        <v>189</v>
      </c>
      <c r="C9" s="166" t="s">
        <v>118</v>
      </c>
      <c r="D9" s="168" t="n">
        <v>0.92</v>
      </c>
      <c r="E9" s="168" t="n">
        <v>0.95</v>
      </c>
      <c r="F9" s="168" t="n">
        <v>0.88</v>
      </c>
      <c r="G9" s="168" t="n">
        <v>0.9</v>
      </c>
      <c r="H9" s="258" t="n">
        <v>-0.02</v>
      </c>
    </row>
    <row r="10" customFormat="false" ht="15" hidden="false" customHeight="true" outlineLevel="0" collapsed="false">
      <c r="A10" s="165" t="s">
        <v>190</v>
      </c>
      <c r="B10" s="166" t="s">
        <v>189</v>
      </c>
      <c r="C10" s="166" t="s">
        <v>126</v>
      </c>
      <c r="D10" s="168" t="n">
        <v>0.17</v>
      </c>
      <c r="E10" s="168" t="n">
        <v>0.39</v>
      </c>
      <c r="F10" s="168" t="n">
        <v>0.34</v>
      </c>
      <c r="G10" s="168" t="n">
        <v>0.4</v>
      </c>
      <c r="H10" s="259" t="n">
        <v>0.23</v>
      </c>
    </row>
    <row r="11" customFormat="false" ht="15" hidden="false" customHeight="true" outlineLevel="0" collapsed="false">
      <c r="A11" s="165" t="s">
        <v>198</v>
      </c>
      <c r="B11" s="166" t="s">
        <v>191</v>
      </c>
      <c r="C11" s="166" t="s">
        <v>118</v>
      </c>
      <c r="D11" s="168" t="n">
        <v>0.99</v>
      </c>
      <c r="E11" s="168" t="n">
        <v>0.99</v>
      </c>
      <c r="F11" s="168" t="n">
        <v>0.96</v>
      </c>
      <c r="G11" s="168" t="n">
        <v>0.97</v>
      </c>
      <c r="H11" s="258" t="n">
        <v>-0.02</v>
      </c>
    </row>
    <row r="12" customFormat="false" ht="15" hidden="false" customHeight="true" outlineLevel="0" collapsed="false">
      <c r="A12" s="165" t="s">
        <v>198</v>
      </c>
      <c r="B12" s="166" t="s">
        <v>191</v>
      </c>
      <c r="C12" s="166" t="s">
        <v>126</v>
      </c>
      <c r="D12" s="168" t="n">
        <v>0.38</v>
      </c>
      <c r="E12" s="168" t="n">
        <v>0.43</v>
      </c>
      <c r="F12" s="168" t="n">
        <v>0.37</v>
      </c>
      <c r="G12" s="168" t="n">
        <v>0.43</v>
      </c>
      <c r="H12" s="259" t="n">
        <v>0.05</v>
      </c>
    </row>
    <row r="13" customFormat="false" ht="15" hidden="false" customHeight="true" outlineLevel="0" collapsed="false">
      <c r="A13" s="165" t="s">
        <v>198</v>
      </c>
      <c r="B13" s="166" t="s">
        <v>189</v>
      </c>
      <c r="C13" s="166" t="s">
        <v>118</v>
      </c>
      <c r="D13" s="168" t="n">
        <v>0.96</v>
      </c>
      <c r="E13" s="168" t="n">
        <v>0.93</v>
      </c>
      <c r="F13" s="168" t="n">
        <v>0.83</v>
      </c>
      <c r="G13" s="168" t="n">
        <v>0.88</v>
      </c>
      <c r="H13" s="258" t="n">
        <v>-0.08</v>
      </c>
    </row>
    <row r="14" customFormat="false" ht="15" hidden="false" customHeight="true" outlineLevel="0" collapsed="false">
      <c r="A14" s="165" t="s">
        <v>198</v>
      </c>
      <c r="B14" s="166" t="s">
        <v>189</v>
      </c>
      <c r="C14" s="166" t="s">
        <v>126</v>
      </c>
      <c r="D14" s="168" t="n">
        <v>0.83</v>
      </c>
      <c r="E14" s="168" t="n">
        <v>0.55</v>
      </c>
      <c r="F14" s="168" t="n">
        <v>0.52</v>
      </c>
      <c r="G14" s="168" t="n">
        <v>0.54</v>
      </c>
      <c r="H14" s="258" t="n">
        <v>-0.29</v>
      </c>
    </row>
    <row r="15" customFormat="false" ht="15" hidden="false" customHeight="true" outlineLevel="0" collapsed="false">
      <c r="A15" s="165" t="s">
        <v>199</v>
      </c>
      <c r="B15" s="166" t="s">
        <v>191</v>
      </c>
      <c r="C15" s="166" t="s">
        <v>118</v>
      </c>
      <c r="D15" s="168" t="n">
        <v>1</v>
      </c>
      <c r="E15" s="168" t="n">
        <v>0.96</v>
      </c>
      <c r="F15" s="168" t="n">
        <v>0.93</v>
      </c>
      <c r="G15" s="168" t="n">
        <v>0.94</v>
      </c>
      <c r="H15" s="258" t="n">
        <v>-0.0600000000000001</v>
      </c>
    </row>
    <row r="16" customFormat="false" ht="15" hidden="false" customHeight="true" outlineLevel="0" collapsed="false">
      <c r="A16" s="165" t="s">
        <v>199</v>
      </c>
      <c r="B16" s="166" t="s">
        <v>191</v>
      </c>
      <c r="C16" s="166" t="s">
        <v>126</v>
      </c>
      <c r="D16" s="168" t="n">
        <v>0.26</v>
      </c>
      <c r="E16" s="168" t="n">
        <v>0.21</v>
      </c>
      <c r="F16" s="168" t="n">
        <v>0.18</v>
      </c>
      <c r="G16" s="168" t="n">
        <v>0.22</v>
      </c>
      <c r="H16" s="258" t="n">
        <v>-0.04</v>
      </c>
    </row>
    <row r="17" customFormat="false" ht="15" hidden="false" customHeight="true" outlineLevel="0" collapsed="false">
      <c r="A17" s="165" t="s">
        <v>199</v>
      </c>
      <c r="B17" s="166" t="s">
        <v>189</v>
      </c>
      <c r="C17" s="166" t="s">
        <v>118</v>
      </c>
      <c r="D17" s="168" t="n">
        <v>0.83</v>
      </c>
      <c r="E17" s="168" t="n">
        <v>0.83</v>
      </c>
      <c r="F17" s="168" t="n">
        <v>0.81</v>
      </c>
      <c r="G17" s="168" t="n">
        <v>0.84</v>
      </c>
      <c r="H17" s="259" t="n">
        <v>0.01</v>
      </c>
    </row>
    <row r="18" customFormat="false" ht="15" hidden="false" customHeight="true" outlineLevel="0" collapsed="false">
      <c r="A18" s="165" t="s">
        <v>199</v>
      </c>
      <c r="B18" s="166" t="s">
        <v>189</v>
      </c>
      <c r="C18" s="166" t="s">
        <v>126</v>
      </c>
      <c r="D18" s="168" t="n">
        <v>0.33</v>
      </c>
      <c r="E18" s="168" t="n">
        <v>0.66</v>
      </c>
      <c r="F18" s="168" t="n">
        <v>0.61</v>
      </c>
      <c r="G18" s="168" t="n">
        <v>0.52</v>
      </c>
      <c r="H18" s="259" t="n">
        <v>0.19</v>
      </c>
    </row>
    <row r="19" customFormat="false" ht="15" hidden="false" customHeight="true" outlineLevel="0" collapsed="false">
      <c r="A19" s="165" t="s">
        <v>204</v>
      </c>
      <c r="B19" s="166" t="s">
        <v>189</v>
      </c>
      <c r="C19" s="166" t="s">
        <v>118</v>
      </c>
      <c r="D19" s="168" t="n">
        <v>1</v>
      </c>
      <c r="E19" s="168" t="n">
        <v>1</v>
      </c>
      <c r="F19" s="168" t="n">
        <v>0.56</v>
      </c>
      <c r="G19" s="168" t="n">
        <v>0.42</v>
      </c>
      <c r="H19" s="258" t="n">
        <v>-0.58</v>
      </c>
    </row>
    <row r="20" customFormat="false" ht="15" hidden="false" customHeight="true" outlineLevel="0" collapsed="false">
      <c r="A20" s="165" t="s">
        <v>204</v>
      </c>
      <c r="B20" s="166" t="s">
        <v>189</v>
      </c>
      <c r="C20" s="166" t="s">
        <v>126</v>
      </c>
      <c r="D20" s="168" t="n">
        <v>1</v>
      </c>
      <c r="E20" s="168" t="n">
        <v>0.92</v>
      </c>
      <c r="F20" s="168" t="n">
        <v>0.54</v>
      </c>
      <c r="G20" s="168" t="n">
        <v>0.37</v>
      </c>
      <c r="H20" s="258" t="n">
        <v>-0.63</v>
      </c>
    </row>
    <row r="21" customFormat="false" ht="15" hidden="false" customHeight="true" outlineLevel="0" collapsed="false">
      <c r="A21" s="165" t="s">
        <v>206</v>
      </c>
      <c r="B21" s="166" t="s">
        <v>191</v>
      </c>
      <c r="C21" s="166" t="s">
        <v>118</v>
      </c>
      <c r="D21" s="168" t="n">
        <v>0.96</v>
      </c>
      <c r="E21" s="168" t="n">
        <v>0.99</v>
      </c>
      <c r="F21" s="168" t="n">
        <v>0.97</v>
      </c>
      <c r="G21" s="168" t="n">
        <v>0.98</v>
      </c>
      <c r="H21" s="259" t="n">
        <v>0.02</v>
      </c>
    </row>
    <row r="22" customFormat="false" ht="15" hidden="false" customHeight="true" outlineLevel="0" collapsed="false">
      <c r="A22" s="165" t="s">
        <v>206</v>
      </c>
      <c r="B22" s="166" t="s">
        <v>191</v>
      </c>
      <c r="C22" s="166" t="s">
        <v>126</v>
      </c>
      <c r="D22" s="168" t="n">
        <v>0.8</v>
      </c>
      <c r="E22" s="168" t="n">
        <v>0.82</v>
      </c>
      <c r="F22" s="168" t="n">
        <v>0.7</v>
      </c>
      <c r="G22" s="168" t="n">
        <v>0.67</v>
      </c>
      <c r="H22" s="258" t="n">
        <v>-0.13</v>
      </c>
    </row>
    <row r="23" customFormat="false" ht="15" hidden="false" customHeight="true" outlineLevel="0" collapsed="false">
      <c r="A23" s="165" t="s">
        <v>206</v>
      </c>
      <c r="B23" s="166" t="s">
        <v>189</v>
      </c>
      <c r="C23" s="166" t="s">
        <v>118</v>
      </c>
      <c r="D23" s="168" t="n">
        <v>1</v>
      </c>
      <c r="E23" s="168" t="n">
        <v>1</v>
      </c>
      <c r="F23" s="168" t="n">
        <v>0.76</v>
      </c>
      <c r="G23" s="168" t="n">
        <v>0.83</v>
      </c>
      <c r="H23" s="258" t="n">
        <v>-0.17</v>
      </c>
    </row>
    <row r="24" customFormat="false" ht="15" hidden="false" customHeight="true" outlineLevel="0" collapsed="false">
      <c r="A24" s="165" t="s">
        <v>206</v>
      </c>
      <c r="B24" s="166" t="s">
        <v>189</v>
      </c>
      <c r="C24" s="166" t="s">
        <v>126</v>
      </c>
      <c r="D24" s="168" t="n">
        <v>0.04</v>
      </c>
      <c r="E24" s="168" t="n">
        <v>0.12</v>
      </c>
      <c r="F24" s="168" t="n">
        <v>0.29</v>
      </c>
      <c r="G24" s="168" t="n">
        <v>0.09</v>
      </c>
      <c r="H24" s="259" t="n">
        <v>0.05</v>
      </c>
    </row>
    <row r="26" customFormat="false" ht="15" hidden="false" customHeight="true" outlineLevel="0" collapsed="false">
      <c r="A26" s="260" t="s">
        <v>520</v>
      </c>
      <c r="B26" s="260"/>
      <c r="C26" s="260"/>
      <c r="D26" s="260"/>
      <c r="E26" s="260"/>
      <c r="F26" s="260"/>
      <c r="G26" s="260"/>
      <c r="H26" s="260"/>
      <c r="I26" s="260"/>
    </row>
    <row r="27" customFormat="false" ht="15" hidden="false" customHeight="true" outlineLevel="0" collapsed="false">
      <c r="A27" s="170"/>
      <c r="B27" s="170"/>
      <c r="C27" s="261" t="s">
        <v>521</v>
      </c>
      <c r="D27" s="262" t="n">
        <v>0.897</v>
      </c>
      <c r="E27" s="262" t="n">
        <v>0.884</v>
      </c>
      <c r="F27" s="262" t="n">
        <v>0.79</v>
      </c>
      <c r="G27" s="262" t="n">
        <v>0.813</v>
      </c>
      <c r="H27" s="263" t="n">
        <v>-0.0840000000000001</v>
      </c>
    </row>
    <row r="28" customFormat="false" ht="15" hidden="false" customHeight="true" outlineLevel="0" collapsed="false">
      <c r="A28" s="170"/>
      <c r="B28" s="170"/>
      <c r="C28" s="261" t="s">
        <v>522</v>
      </c>
      <c r="D28" s="262" t="n">
        <v>0.474</v>
      </c>
      <c r="E28" s="262" t="n">
        <v>0.482</v>
      </c>
      <c r="F28" s="262" t="n">
        <v>0.424</v>
      </c>
      <c r="G28" s="262" t="n">
        <v>0.416</v>
      </c>
      <c r="H28" s="263" t="n">
        <v>-0.0579999999999999</v>
      </c>
    </row>
    <row r="31" customFormat="false" ht="15" hidden="false" customHeight="true" outlineLevel="0" collapsed="false">
      <c r="A31" s="256" t="s">
        <v>523</v>
      </c>
      <c r="B31" s="256"/>
      <c r="C31" s="256"/>
      <c r="D31" s="256"/>
      <c r="E31" s="256"/>
      <c r="F31" s="256"/>
      <c r="G31" s="256"/>
      <c r="H31" s="256"/>
      <c r="I31" s="256"/>
    </row>
    <row r="32" customFormat="false" ht="34.5" hidden="false" customHeight="true" outlineLevel="0" collapsed="false">
      <c r="A32" s="264"/>
      <c r="B32" s="264"/>
      <c r="C32" s="163" t="s">
        <v>216</v>
      </c>
      <c r="D32" s="163" t="s">
        <v>177</v>
      </c>
      <c r="E32" s="163" t="s">
        <v>178</v>
      </c>
      <c r="F32" s="163" t="s">
        <v>179</v>
      </c>
      <c r="G32" s="163" t="s">
        <v>180</v>
      </c>
      <c r="H32" s="257" t="s">
        <v>519</v>
      </c>
    </row>
    <row r="33" customFormat="false" ht="15" hidden="false" customHeight="true" outlineLevel="0" collapsed="false">
      <c r="C33" s="261" t="s">
        <v>521</v>
      </c>
      <c r="D33" s="262" t="n">
        <v>0.722380952380953</v>
      </c>
      <c r="E33" s="262" t="n">
        <v>0.646666666666667</v>
      </c>
      <c r="F33" s="262" t="n">
        <v>0.616190476190476</v>
      </c>
      <c r="G33" s="262" t="n">
        <v>0.708095238095238</v>
      </c>
      <c r="H33" s="263" t="n">
        <v>-0.0142857142857144</v>
      </c>
    </row>
    <row r="34" customFormat="false" ht="15" hidden="false" customHeight="true" outlineLevel="0" collapsed="false">
      <c r="C34" s="261" t="s">
        <v>522</v>
      </c>
      <c r="D34" s="262" t="n">
        <v>0.392380952380952</v>
      </c>
      <c r="E34" s="262" t="n">
        <v>0.373809523809524</v>
      </c>
      <c r="F34" s="262" t="n">
        <v>0.334285714285714</v>
      </c>
      <c r="G34" s="262" t="n">
        <v>0.387142857142857</v>
      </c>
      <c r="H34" s="263" t="n">
        <v>-0.00523809523809521</v>
      </c>
    </row>
  </sheetData>
  <mergeCells count="4">
    <mergeCell ref="A1:I1"/>
    <mergeCell ref="A3:I3"/>
    <mergeCell ref="A26:I26"/>
    <mergeCell ref="A31:I31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28" activeCellId="0" sqref="D28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59" width="38"/>
    <col collapsed="false" customWidth="true" hidden="false" outlineLevel="0" max="2" min="2" style="159" width="12"/>
    <col collapsed="false" customWidth="true" hidden="false" outlineLevel="0" max="3" min="3" style="159" width="18"/>
    <col collapsed="false" customWidth="true" hidden="false" outlineLevel="0" max="8" min="4" style="159" width="13"/>
    <col collapsed="false" customWidth="false" hidden="false" outlineLevel="0" max="16384" min="9" style="159" width="8.67"/>
  </cols>
  <sheetData>
    <row r="1" customFormat="false" ht="30" hidden="false" customHeight="true" outlineLevel="0" collapsed="false">
      <c r="A1" s="160" t="s">
        <v>524</v>
      </c>
      <c r="B1" s="160"/>
      <c r="C1" s="160"/>
      <c r="D1" s="160"/>
      <c r="E1" s="160"/>
      <c r="F1" s="160"/>
      <c r="G1" s="160"/>
      <c r="H1" s="160"/>
      <c r="I1" s="160"/>
    </row>
    <row r="3" customFormat="false" ht="15" hidden="false" customHeight="true" outlineLevel="0" collapsed="false">
      <c r="A3" s="256" t="s">
        <v>525</v>
      </c>
      <c r="B3" s="256"/>
      <c r="C3" s="256"/>
      <c r="D3" s="256"/>
      <c r="E3" s="256"/>
      <c r="F3" s="256"/>
      <c r="G3" s="256"/>
      <c r="H3" s="256"/>
      <c r="I3" s="256"/>
    </row>
    <row r="4" customFormat="false" ht="34.5" hidden="false" customHeight="true" outlineLevel="0" collapsed="false">
      <c r="A4" s="163" t="s">
        <v>183</v>
      </c>
      <c r="B4" s="163" t="s">
        <v>184</v>
      </c>
      <c r="C4" s="163" t="s">
        <v>216</v>
      </c>
      <c r="D4" s="163" t="s">
        <v>177</v>
      </c>
      <c r="E4" s="163" t="s">
        <v>178</v>
      </c>
      <c r="F4" s="163" t="s">
        <v>179</v>
      </c>
      <c r="G4" s="163" t="s">
        <v>180</v>
      </c>
      <c r="H4" s="257" t="s">
        <v>519</v>
      </c>
    </row>
    <row r="5" customFormat="false" ht="15" hidden="false" customHeight="true" outlineLevel="0" collapsed="false">
      <c r="A5" s="165" t="s">
        <v>190</v>
      </c>
      <c r="B5" s="166" t="s">
        <v>189</v>
      </c>
      <c r="C5" s="166" t="s">
        <v>118</v>
      </c>
      <c r="D5" s="168" t="n">
        <v>0.813</v>
      </c>
      <c r="E5" s="168" t="n">
        <v>0.792</v>
      </c>
      <c r="F5" s="168" t="n">
        <v>0.73</v>
      </c>
      <c r="G5" s="168" t="n">
        <v>0.791</v>
      </c>
      <c r="H5" s="258" t="n">
        <v>-0.022</v>
      </c>
    </row>
    <row r="6" customFormat="false" ht="15" hidden="false" customHeight="true" outlineLevel="0" collapsed="false">
      <c r="A6" s="165" t="s">
        <v>190</v>
      </c>
      <c r="B6" s="166" t="s">
        <v>189</v>
      </c>
      <c r="C6" s="166" t="s">
        <v>126</v>
      </c>
      <c r="D6" s="168" t="n">
        <v>0.317</v>
      </c>
      <c r="E6" s="168" t="n">
        <v>0.392</v>
      </c>
      <c r="F6" s="168" t="n">
        <v>0.318</v>
      </c>
      <c r="G6" s="168" t="n">
        <v>0.317</v>
      </c>
      <c r="H6" s="259" t="n">
        <v>0</v>
      </c>
    </row>
    <row r="7" customFormat="false" ht="15" hidden="false" customHeight="true" outlineLevel="0" collapsed="false">
      <c r="A7" s="165" t="s">
        <v>190</v>
      </c>
      <c r="B7" s="166" t="s">
        <v>191</v>
      </c>
      <c r="C7" s="166" t="s">
        <v>118</v>
      </c>
      <c r="D7" s="168" t="n">
        <v>0.813</v>
      </c>
      <c r="E7" s="168" t="n">
        <v>0.809</v>
      </c>
      <c r="F7" s="168" t="n">
        <v>0.777</v>
      </c>
      <c r="G7" s="168" t="n">
        <v>0.839</v>
      </c>
      <c r="H7" s="259" t="n">
        <v>0.0260000000000001</v>
      </c>
    </row>
    <row r="8" customFormat="false" ht="15" hidden="false" customHeight="true" outlineLevel="0" collapsed="false">
      <c r="A8" s="165" t="s">
        <v>190</v>
      </c>
      <c r="B8" s="166" t="s">
        <v>191</v>
      </c>
      <c r="C8" s="166" t="s">
        <v>126</v>
      </c>
      <c r="D8" s="168" t="n">
        <v>0</v>
      </c>
      <c r="E8" s="168" t="n">
        <v>0</v>
      </c>
      <c r="F8" s="168" t="n">
        <v>0</v>
      </c>
      <c r="G8" s="168" t="n">
        <v>0</v>
      </c>
      <c r="H8" s="259" t="n">
        <v>0</v>
      </c>
    </row>
    <row r="9" customFormat="false" ht="15" hidden="false" customHeight="true" outlineLevel="0" collapsed="false">
      <c r="A9" s="165" t="s">
        <v>198</v>
      </c>
      <c r="B9" s="166" t="s">
        <v>189</v>
      </c>
      <c r="C9" s="166" t="s">
        <v>118</v>
      </c>
      <c r="D9" s="168" t="n">
        <v>0.866</v>
      </c>
      <c r="E9" s="168" t="n">
        <v>0.864</v>
      </c>
      <c r="F9" s="168" t="n">
        <v>0.843</v>
      </c>
      <c r="G9" s="168" t="n">
        <v>0.801</v>
      </c>
      <c r="H9" s="258" t="n">
        <v>-0.0650000000000001</v>
      </c>
    </row>
    <row r="10" customFormat="false" ht="15" hidden="false" customHeight="true" outlineLevel="0" collapsed="false">
      <c r="A10" s="165" t="s">
        <v>198</v>
      </c>
      <c r="B10" s="166" t="s">
        <v>189</v>
      </c>
      <c r="C10" s="166" t="s">
        <v>126</v>
      </c>
      <c r="D10" s="168" t="n">
        <v>0.858</v>
      </c>
      <c r="E10" s="168" t="n">
        <v>0.858</v>
      </c>
      <c r="F10" s="168" t="n">
        <v>0.817</v>
      </c>
      <c r="G10" s="168" t="n">
        <v>0.781</v>
      </c>
      <c r="H10" s="258" t="n">
        <v>-0.0770000000000001</v>
      </c>
    </row>
    <row r="11" customFormat="false" ht="15" hidden="false" customHeight="true" outlineLevel="0" collapsed="false">
      <c r="A11" s="165" t="s">
        <v>198</v>
      </c>
      <c r="B11" s="166" t="s">
        <v>191</v>
      </c>
      <c r="C11" s="166" t="s">
        <v>118</v>
      </c>
      <c r="D11" s="168" t="n">
        <v>0.866</v>
      </c>
      <c r="E11" s="168" t="n">
        <v>0.895</v>
      </c>
      <c r="F11" s="168" t="n">
        <v>0.863</v>
      </c>
      <c r="G11" s="168" t="n">
        <v>0.846</v>
      </c>
      <c r="H11" s="258" t="n">
        <v>-0.02</v>
      </c>
    </row>
    <row r="12" customFormat="false" ht="15" hidden="false" customHeight="true" outlineLevel="0" collapsed="false">
      <c r="A12" s="165" t="s">
        <v>198</v>
      </c>
      <c r="B12" s="166" t="s">
        <v>191</v>
      </c>
      <c r="C12" s="166" t="s">
        <v>126</v>
      </c>
      <c r="D12" s="168" t="n">
        <v>0.688</v>
      </c>
      <c r="E12" s="168" t="n">
        <v>0.724</v>
      </c>
      <c r="F12" s="168" t="n">
        <v>0.706</v>
      </c>
      <c r="G12" s="168" t="n">
        <v>0.681</v>
      </c>
      <c r="H12" s="258" t="n">
        <v>-0.00700000000000001</v>
      </c>
    </row>
    <row r="13" customFormat="false" ht="15" hidden="false" customHeight="true" outlineLevel="0" collapsed="false">
      <c r="A13" s="165" t="s">
        <v>199</v>
      </c>
      <c r="B13" s="166" t="s">
        <v>189</v>
      </c>
      <c r="C13" s="166" t="s">
        <v>118</v>
      </c>
      <c r="D13" s="168" t="n">
        <v>0.905</v>
      </c>
      <c r="E13" s="168" t="n">
        <v>0.901</v>
      </c>
      <c r="F13" s="168" t="n">
        <v>0.863</v>
      </c>
      <c r="G13" s="168" t="n">
        <v>0.86</v>
      </c>
      <c r="H13" s="258" t="n">
        <v>-0.045</v>
      </c>
    </row>
    <row r="14" customFormat="false" ht="15" hidden="false" customHeight="true" outlineLevel="0" collapsed="false">
      <c r="A14" s="165" t="s">
        <v>199</v>
      </c>
      <c r="B14" s="166" t="s">
        <v>189</v>
      </c>
      <c r="C14" s="166" t="s">
        <v>126</v>
      </c>
      <c r="D14" s="168" t="n">
        <v>0.885</v>
      </c>
      <c r="E14" s="168" t="n">
        <v>0.889</v>
      </c>
      <c r="F14" s="168" t="n">
        <v>0.85</v>
      </c>
      <c r="G14" s="168" t="n">
        <v>0.849</v>
      </c>
      <c r="H14" s="258" t="n">
        <v>-0.0359999999999999</v>
      </c>
    </row>
    <row r="15" customFormat="false" ht="15" hidden="false" customHeight="true" outlineLevel="0" collapsed="false">
      <c r="A15" s="165" t="s">
        <v>199</v>
      </c>
      <c r="B15" s="166" t="s">
        <v>191</v>
      </c>
      <c r="C15" s="166" t="s">
        <v>118</v>
      </c>
      <c r="D15" s="168" t="n">
        <v>0.881</v>
      </c>
      <c r="E15" s="168" t="n">
        <v>0.913</v>
      </c>
      <c r="F15" s="168" t="n">
        <v>0.879</v>
      </c>
      <c r="G15" s="168" t="n">
        <v>0.866</v>
      </c>
      <c r="H15" s="258" t="n">
        <v>-0.0149999999999999</v>
      </c>
    </row>
    <row r="16" customFormat="false" ht="15" hidden="false" customHeight="true" outlineLevel="0" collapsed="false">
      <c r="A16" s="165" t="s">
        <v>199</v>
      </c>
      <c r="B16" s="166" t="s">
        <v>191</v>
      </c>
      <c r="C16" s="166" t="s">
        <v>126</v>
      </c>
      <c r="D16" s="168" t="n">
        <v>0.834</v>
      </c>
      <c r="E16" s="168" t="n">
        <v>0.864</v>
      </c>
      <c r="F16" s="168" t="n">
        <v>0.83</v>
      </c>
      <c r="G16" s="168" t="n">
        <v>0.826</v>
      </c>
      <c r="H16" s="258" t="n">
        <v>-0.00800000000000012</v>
      </c>
    </row>
    <row r="17" customFormat="false" ht="15" hidden="false" customHeight="true" outlineLevel="0" collapsed="false">
      <c r="A17" s="165" t="s">
        <v>204</v>
      </c>
      <c r="B17" s="166" t="s">
        <v>189</v>
      </c>
      <c r="C17" s="166" t="s">
        <v>118</v>
      </c>
      <c r="D17" s="168" t="n">
        <v>0.369</v>
      </c>
      <c r="E17" s="168" t="n">
        <v>0.279</v>
      </c>
      <c r="F17" s="168" t="n">
        <v>0.406</v>
      </c>
      <c r="G17" s="168" t="n">
        <v>0.468</v>
      </c>
      <c r="H17" s="259" t="n">
        <v>0.099</v>
      </c>
    </row>
    <row r="18" customFormat="false" ht="15" hidden="false" customHeight="true" outlineLevel="0" collapsed="false">
      <c r="A18" s="165" t="s">
        <v>204</v>
      </c>
      <c r="B18" s="166" t="s">
        <v>189</v>
      </c>
      <c r="C18" s="166" t="s">
        <v>126</v>
      </c>
      <c r="D18" s="168" t="n">
        <v>0.369</v>
      </c>
      <c r="E18" s="168" t="n">
        <v>0.279</v>
      </c>
      <c r="F18" s="168" t="n">
        <v>0.396</v>
      </c>
      <c r="G18" s="168" t="n">
        <v>0.452</v>
      </c>
      <c r="H18" s="259" t="n">
        <v>0.083</v>
      </c>
    </row>
    <row r="19" customFormat="false" ht="15" hidden="false" customHeight="true" outlineLevel="0" collapsed="false">
      <c r="A19" s="165" t="s">
        <v>204</v>
      </c>
      <c r="B19" s="166" t="s">
        <v>191</v>
      </c>
      <c r="C19" s="166" t="s">
        <v>118</v>
      </c>
      <c r="D19" s="168" t="n">
        <v>0.091</v>
      </c>
      <c r="E19" s="168" t="n">
        <v>0.25</v>
      </c>
      <c r="F19" s="168" t="n">
        <v>0.375</v>
      </c>
      <c r="G19" s="168" t="n">
        <v>0.514</v>
      </c>
      <c r="H19" s="259" t="n">
        <v>0.423</v>
      </c>
    </row>
    <row r="20" customFormat="false" ht="15" hidden="false" customHeight="true" outlineLevel="0" collapsed="false">
      <c r="A20" s="165" t="s">
        <v>204</v>
      </c>
      <c r="B20" s="166" t="s">
        <v>191</v>
      </c>
      <c r="C20" s="166" t="s">
        <v>126</v>
      </c>
      <c r="D20" s="168" t="n">
        <v>0.091</v>
      </c>
      <c r="E20" s="168" t="n">
        <v>0.25</v>
      </c>
      <c r="F20" s="168" t="n">
        <v>0.375</v>
      </c>
      <c r="G20" s="168" t="n">
        <v>0.459</v>
      </c>
      <c r="H20" s="259" t="n">
        <v>0.368</v>
      </c>
    </row>
    <row r="21" customFormat="false" ht="15" hidden="false" customHeight="true" outlineLevel="0" collapsed="false">
      <c r="A21" s="165" t="s">
        <v>206</v>
      </c>
      <c r="B21" s="166" t="s">
        <v>189</v>
      </c>
      <c r="C21" s="166" t="s">
        <v>118</v>
      </c>
      <c r="D21" s="168" t="n">
        <v>0.422</v>
      </c>
      <c r="E21" s="168" t="n">
        <v>0.575</v>
      </c>
      <c r="F21" s="168" t="n">
        <v>0.54</v>
      </c>
      <c r="G21" s="168" t="n">
        <v>0.583</v>
      </c>
      <c r="H21" s="259" t="n">
        <v>0.161</v>
      </c>
    </row>
    <row r="22" customFormat="false" ht="15" hidden="false" customHeight="true" outlineLevel="0" collapsed="false">
      <c r="A22" s="165" t="s">
        <v>206</v>
      </c>
      <c r="B22" s="166" t="s">
        <v>189</v>
      </c>
      <c r="C22" s="166" t="s">
        <v>126</v>
      </c>
      <c r="D22" s="168" t="n">
        <v>0.144</v>
      </c>
      <c r="E22" s="168" t="n">
        <v>0.154</v>
      </c>
      <c r="F22" s="168" t="n">
        <v>0.101</v>
      </c>
      <c r="G22" s="168" t="n">
        <v>0.094</v>
      </c>
      <c r="H22" s="258" t="n">
        <v>-0.05</v>
      </c>
    </row>
    <row r="23" customFormat="false" ht="15" hidden="false" customHeight="true" outlineLevel="0" collapsed="false">
      <c r="A23" s="165" t="s">
        <v>206</v>
      </c>
      <c r="B23" s="166" t="s">
        <v>191</v>
      </c>
      <c r="C23" s="166" t="s">
        <v>118</v>
      </c>
      <c r="D23" s="168" t="n">
        <v>0.722</v>
      </c>
      <c r="E23" s="168" t="n">
        <v>0.764</v>
      </c>
      <c r="F23" s="168" t="n">
        <v>0.694</v>
      </c>
      <c r="G23" s="168" t="n">
        <v>0.709</v>
      </c>
      <c r="H23" s="258" t="n">
        <v>-0.0129999999999999</v>
      </c>
    </row>
    <row r="24" customFormat="false" ht="15" hidden="false" customHeight="true" outlineLevel="0" collapsed="false">
      <c r="A24" s="165" t="s">
        <v>206</v>
      </c>
      <c r="B24" s="166" t="s">
        <v>191</v>
      </c>
      <c r="C24" s="166" t="s">
        <v>126</v>
      </c>
      <c r="D24" s="168" t="n">
        <v>0.578</v>
      </c>
      <c r="E24" s="168" t="n">
        <v>0.587</v>
      </c>
      <c r="F24" s="168" t="n">
        <v>0.504</v>
      </c>
      <c r="G24" s="168" t="n">
        <v>0.468</v>
      </c>
      <c r="H24" s="258" t="n">
        <v>-0.11</v>
      </c>
    </row>
    <row r="26" customFormat="false" ht="15" hidden="false" customHeight="true" outlineLevel="0" collapsed="false">
      <c r="A26" s="260" t="s">
        <v>520</v>
      </c>
      <c r="B26" s="260"/>
      <c r="C26" s="260"/>
      <c r="D26" s="260"/>
      <c r="E26" s="260"/>
      <c r="F26" s="260"/>
      <c r="G26" s="260"/>
      <c r="H26" s="260"/>
      <c r="I26" s="260"/>
    </row>
    <row r="27" customFormat="false" ht="15" hidden="false" customHeight="true" outlineLevel="0" collapsed="false">
      <c r="A27" s="170"/>
      <c r="B27" s="170"/>
      <c r="C27" s="261" t="s">
        <v>521</v>
      </c>
      <c r="D27" s="262" t="n">
        <v>0.6748</v>
      </c>
      <c r="E27" s="262" t="n">
        <v>0.7042</v>
      </c>
      <c r="F27" s="262" t="n">
        <v>0.697</v>
      </c>
      <c r="G27" s="262" t="n">
        <v>0.7277</v>
      </c>
      <c r="H27" s="265" t="n">
        <v>0.0528999999999997</v>
      </c>
    </row>
    <row r="28" customFormat="false" ht="15" hidden="false" customHeight="true" outlineLevel="0" collapsed="false">
      <c r="A28" s="170"/>
      <c r="B28" s="170"/>
      <c r="C28" s="261" t="s">
        <v>522</v>
      </c>
      <c r="D28" s="262" t="n">
        <v>0.4764</v>
      </c>
      <c r="E28" s="262" t="n">
        <v>0.4997</v>
      </c>
      <c r="F28" s="262" t="n">
        <v>0.4897</v>
      </c>
      <c r="G28" s="262" t="n">
        <v>0.4927</v>
      </c>
      <c r="H28" s="265" t="n">
        <v>0.0163</v>
      </c>
    </row>
    <row r="31" customFormat="false" ht="15" hidden="false" customHeight="true" outlineLevel="0" collapsed="false">
      <c r="A31" s="256" t="s">
        <v>523</v>
      </c>
      <c r="B31" s="256"/>
      <c r="C31" s="256"/>
      <c r="D31" s="256"/>
      <c r="E31" s="256"/>
      <c r="F31" s="256"/>
      <c r="G31" s="256"/>
      <c r="H31" s="256"/>
      <c r="I31" s="256"/>
    </row>
    <row r="32" customFormat="false" ht="34.5" hidden="false" customHeight="true" outlineLevel="0" collapsed="false">
      <c r="A32" s="264"/>
      <c r="B32" s="264"/>
      <c r="C32" s="163" t="s">
        <v>216</v>
      </c>
      <c r="D32" s="163" t="s">
        <v>177</v>
      </c>
      <c r="E32" s="163" t="s">
        <v>178</v>
      </c>
      <c r="F32" s="163" t="s">
        <v>179</v>
      </c>
      <c r="G32" s="163" t="s">
        <v>180</v>
      </c>
      <c r="H32" s="257" t="s">
        <v>519</v>
      </c>
    </row>
    <row r="33" customFormat="false" ht="15" hidden="false" customHeight="true" outlineLevel="0" collapsed="false">
      <c r="C33" s="261" t="s">
        <v>521</v>
      </c>
      <c r="D33" s="262" t="n">
        <v>0.5738</v>
      </c>
      <c r="E33" s="262" t="n">
        <v>0.6162</v>
      </c>
      <c r="F33" s="262" t="n">
        <v>0.6098</v>
      </c>
      <c r="G33" s="262" t="n">
        <v>0.6302</v>
      </c>
      <c r="H33" s="265" t="n">
        <v>0.0563999999999999</v>
      </c>
    </row>
    <row r="34" customFormat="false" ht="15" hidden="false" customHeight="true" outlineLevel="0" collapsed="false">
      <c r="C34" s="261" t="s">
        <v>522</v>
      </c>
      <c r="D34" s="262" t="n">
        <v>0.4159</v>
      </c>
      <c r="E34" s="262" t="n">
        <v>0.4476</v>
      </c>
      <c r="F34" s="262" t="n">
        <v>0.45055</v>
      </c>
      <c r="G34" s="262" t="n">
        <v>0.4654</v>
      </c>
      <c r="H34" s="265" t="n">
        <v>0.0495</v>
      </c>
    </row>
  </sheetData>
  <mergeCells count="4">
    <mergeCell ref="A1:I1"/>
    <mergeCell ref="A3:I3"/>
    <mergeCell ref="A26:I26"/>
    <mergeCell ref="A31:I31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customHeight="true" zeroHeight="false" outlineLevelRow="0" outlineLevelCol="0"/>
  <cols>
    <col collapsed="false" customWidth="true" hidden="false" outlineLevel="0" max="1" min="1" style="159" width="38"/>
    <col collapsed="false" customWidth="true" hidden="false" outlineLevel="0" max="2" min="2" style="159" width="12"/>
    <col collapsed="false" customWidth="true" hidden="false" outlineLevel="0" max="10" min="3" style="159" width="14"/>
    <col collapsed="false" customWidth="false" hidden="false" outlineLevel="0" max="16384" min="11" style="159" width="8.67"/>
  </cols>
  <sheetData>
    <row r="1" customFormat="false" ht="30" hidden="false" customHeight="true" outlineLevel="0" collapsed="false">
      <c r="A1" s="160" t="s">
        <v>526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customFormat="false" ht="15" hidden="false" customHeight="true" outlineLevel="0" collapsed="false">
      <c r="C2" s="266" t="s">
        <v>527</v>
      </c>
      <c r="D2" s="266"/>
      <c r="E2" s="266" t="s">
        <v>528</v>
      </c>
      <c r="F2" s="266"/>
      <c r="G2" s="267" t="s">
        <v>529</v>
      </c>
      <c r="H2" s="267"/>
      <c r="I2" s="267" t="s">
        <v>530</v>
      </c>
      <c r="J2" s="267"/>
    </row>
    <row r="3" customFormat="false" ht="34.5" hidden="false" customHeight="true" outlineLevel="0" collapsed="false">
      <c r="A3" s="163" t="s">
        <v>183</v>
      </c>
      <c r="B3" s="163" t="s">
        <v>184</v>
      </c>
      <c r="C3" s="266" t="s">
        <v>180</v>
      </c>
      <c r="D3" s="266" t="s">
        <v>531</v>
      </c>
      <c r="E3" s="266" t="s">
        <v>180</v>
      </c>
      <c r="F3" s="266" t="s">
        <v>531</v>
      </c>
      <c r="G3" s="268" t="s">
        <v>180</v>
      </c>
      <c r="H3" s="268" t="s">
        <v>531</v>
      </c>
      <c r="I3" s="268" t="s">
        <v>180</v>
      </c>
      <c r="J3" s="268" t="s">
        <v>531</v>
      </c>
    </row>
    <row r="4" customFormat="false" ht="15" hidden="false" customHeight="true" outlineLevel="0" collapsed="false">
      <c r="A4" s="165" t="s">
        <v>190</v>
      </c>
      <c r="B4" s="166" t="s">
        <v>189</v>
      </c>
      <c r="C4" s="172" t="n">
        <v>0.791</v>
      </c>
      <c r="D4" s="269" t="n">
        <v>-0.022</v>
      </c>
      <c r="E4" s="172" t="n">
        <v>0.317</v>
      </c>
      <c r="F4" s="270" t="n">
        <v>0</v>
      </c>
      <c r="G4" s="172" t="n">
        <v>0.9</v>
      </c>
      <c r="H4" s="269" t="n">
        <v>-0.02</v>
      </c>
      <c r="I4" s="172" t="n">
        <v>0.4</v>
      </c>
      <c r="J4" s="270" t="n">
        <v>0.23</v>
      </c>
    </row>
    <row r="5" customFormat="false" ht="15" hidden="false" customHeight="true" outlineLevel="0" collapsed="false">
      <c r="A5" s="165" t="s">
        <v>190</v>
      </c>
      <c r="B5" s="166" t="s">
        <v>191</v>
      </c>
      <c r="C5" s="172" t="n">
        <v>0.839</v>
      </c>
      <c r="D5" s="270" t="n">
        <v>0.0260000000000001</v>
      </c>
      <c r="E5" s="172" t="n">
        <v>0</v>
      </c>
      <c r="F5" s="270" t="n">
        <v>0</v>
      </c>
      <c r="G5" s="172" t="n">
        <v>0.87</v>
      </c>
      <c r="H5" s="270" t="n">
        <v>0.08</v>
      </c>
      <c r="I5" s="172" t="n">
        <v>0.43</v>
      </c>
      <c r="J5" s="270" t="n">
        <v>0.02</v>
      </c>
    </row>
    <row r="6" customFormat="false" ht="15" hidden="false" customHeight="true" outlineLevel="0" collapsed="false">
      <c r="A6" s="165" t="s">
        <v>198</v>
      </c>
      <c r="B6" s="166" t="s">
        <v>189</v>
      </c>
      <c r="C6" s="172" t="n">
        <v>0.801</v>
      </c>
      <c r="D6" s="269" t="n">
        <v>-0.065</v>
      </c>
      <c r="E6" s="172" t="n">
        <v>0.781</v>
      </c>
      <c r="F6" s="269" t="n">
        <v>-0.077</v>
      </c>
      <c r="G6" s="172" t="n">
        <v>0.88</v>
      </c>
      <c r="H6" s="269" t="n">
        <v>-0.08</v>
      </c>
      <c r="I6" s="172" t="n">
        <v>0.54</v>
      </c>
      <c r="J6" s="269" t="n">
        <v>-0.29</v>
      </c>
    </row>
    <row r="7" customFormat="false" ht="15" hidden="false" customHeight="true" outlineLevel="0" collapsed="false">
      <c r="A7" s="165" t="s">
        <v>198</v>
      </c>
      <c r="B7" s="166" t="s">
        <v>191</v>
      </c>
      <c r="C7" s="172" t="n">
        <v>0.846</v>
      </c>
      <c r="D7" s="269" t="n">
        <v>-0.02</v>
      </c>
      <c r="E7" s="172" t="n">
        <v>0.681</v>
      </c>
      <c r="F7" s="269" t="n">
        <v>-0.00700000000000003</v>
      </c>
      <c r="G7" s="172" t="n">
        <v>0.97</v>
      </c>
      <c r="H7" s="269" t="n">
        <v>-0.02</v>
      </c>
      <c r="I7" s="172" t="n">
        <v>0.43</v>
      </c>
      <c r="J7" s="270" t="n">
        <v>0.05</v>
      </c>
    </row>
    <row r="8" customFormat="false" ht="15" hidden="false" customHeight="true" outlineLevel="0" collapsed="false">
      <c r="A8" s="165" t="s">
        <v>199</v>
      </c>
      <c r="B8" s="166" t="s">
        <v>189</v>
      </c>
      <c r="C8" s="172" t="n">
        <v>0.86</v>
      </c>
      <c r="D8" s="269" t="n">
        <v>-0.045</v>
      </c>
      <c r="E8" s="172" t="n">
        <v>0.849</v>
      </c>
      <c r="F8" s="269" t="n">
        <v>-0.0359999999999999</v>
      </c>
      <c r="G8" s="172" t="n">
        <v>0.84</v>
      </c>
      <c r="H8" s="270" t="n">
        <v>0.01</v>
      </c>
      <c r="I8" s="172" t="n">
        <v>0.52</v>
      </c>
      <c r="J8" s="270" t="n">
        <v>0.19</v>
      </c>
    </row>
    <row r="9" customFormat="false" ht="15" hidden="false" customHeight="true" outlineLevel="0" collapsed="false">
      <c r="A9" s="165" t="s">
        <v>199</v>
      </c>
      <c r="B9" s="166" t="s">
        <v>191</v>
      </c>
      <c r="C9" s="172" t="n">
        <v>0.866</v>
      </c>
      <c r="D9" s="269" t="n">
        <v>-0.015</v>
      </c>
      <c r="E9" s="172" t="n">
        <v>0.826</v>
      </c>
      <c r="F9" s="269" t="n">
        <v>-0.00800000000000011</v>
      </c>
      <c r="G9" s="172" t="n">
        <v>0.94</v>
      </c>
      <c r="H9" s="269" t="n">
        <v>-0.06</v>
      </c>
      <c r="I9" s="172" t="n">
        <v>0.22</v>
      </c>
      <c r="J9" s="269" t="n">
        <v>-0.04</v>
      </c>
    </row>
    <row r="10" customFormat="false" ht="15" hidden="false" customHeight="true" outlineLevel="0" collapsed="false">
      <c r="A10" s="165" t="s">
        <v>206</v>
      </c>
      <c r="B10" s="166" t="s">
        <v>189</v>
      </c>
      <c r="C10" s="172" t="n">
        <v>0.583</v>
      </c>
      <c r="D10" s="270" t="n">
        <v>0.161</v>
      </c>
      <c r="E10" s="172" t="n">
        <v>0.094</v>
      </c>
      <c r="F10" s="269" t="n">
        <v>-0.05</v>
      </c>
      <c r="G10" s="172" t="n">
        <v>0.83</v>
      </c>
      <c r="H10" s="269" t="n">
        <v>-0.17</v>
      </c>
      <c r="I10" s="172" t="n">
        <v>0.09</v>
      </c>
      <c r="J10" s="270" t="n">
        <v>0.05</v>
      </c>
    </row>
    <row r="11" customFormat="false" ht="15" hidden="false" customHeight="true" outlineLevel="0" collapsed="false">
      <c r="A11" s="165" t="s">
        <v>206</v>
      </c>
      <c r="B11" s="166" t="s">
        <v>191</v>
      </c>
      <c r="C11" s="172" t="n">
        <v>0.709</v>
      </c>
      <c r="D11" s="269" t="n">
        <v>-0.013</v>
      </c>
      <c r="E11" s="172" t="n">
        <v>0.468</v>
      </c>
      <c r="F11" s="269" t="n">
        <v>-0.11</v>
      </c>
      <c r="G11" s="172" t="n">
        <v>0.98</v>
      </c>
      <c r="H11" s="270" t="n">
        <v>0.02</v>
      </c>
      <c r="I11" s="172" t="n">
        <v>0.67</v>
      </c>
      <c r="J11" s="269" t="n">
        <v>-0.13</v>
      </c>
    </row>
    <row r="12" customFormat="false" ht="15" hidden="false" customHeight="true" outlineLevel="0" collapsed="false">
      <c r="A12" s="165" t="s">
        <v>204</v>
      </c>
      <c r="B12" s="166" t="s">
        <v>189</v>
      </c>
      <c r="C12" s="172" t="n">
        <v>0.468</v>
      </c>
      <c r="D12" s="270" t="n">
        <v>0.099</v>
      </c>
      <c r="E12" s="172" t="n">
        <v>0.452</v>
      </c>
      <c r="F12" s="270" t="n">
        <v>0.0830000000000001</v>
      </c>
      <c r="G12" s="172" t="n">
        <v>0.42</v>
      </c>
      <c r="H12" s="269" t="n">
        <v>-0.58</v>
      </c>
      <c r="I12" s="172" t="n">
        <v>0.37</v>
      </c>
      <c r="J12" s="269" t="n">
        <v>-0.63</v>
      </c>
    </row>
    <row r="13" customFormat="false" ht="15" hidden="false" customHeight="true" outlineLevel="0" collapsed="false">
      <c r="A13" s="165" t="s">
        <v>204</v>
      </c>
      <c r="B13" s="166" t="s">
        <v>191</v>
      </c>
      <c r="C13" s="172" t="n">
        <v>0.514</v>
      </c>
      <c r="D13" s="270" t="n">
        <v>0.423</v>
      </c>
      <c r="E13" s="172" t="n">
        <v>0.459</v>
      </c>
      <c r="F13" s="270" t="n">
        <v>0.368</v>
      </c>
      <c r="G13" s="170" t="s">
        <v>24</v>
      </c>
      <c r="H13" s="170" t="s">
        <v>24</v>
      </c>
      <c r="I13" s="170" t="s">
        <v>24</v>
      </c>
      <c r="J13" s="170" t="s">
        <v>24</v>
      </c>
    </row>
    <row r="15" customFormat="false" ht="15" hidden="false" customHeight="true" outlineLevel="0" collapsed="false">
      <c r="A15" s="256" t="s">
        <v>532</v>
      </c>
      <c r="B15" s="256"/>
      <c r="C15" s="256"/>
      <c r="D15" s="256"/>
      <c r="E15" s="256"/>
      <c r="F15" s="256"/>
      <c r="G15" s="256"/>
      <c r="H15" s="256"/>
      <c r="I15" s="256"/>
      <c r="J15" s="256"/>
    </row>
    <row r="16" customFormat="false" ht="15" hidden="false" customHeight="true" outlineLevel="0" collapsed="false">
      <c r="A16" s="165" t="s">
        <v>188</v>
      </c>
      <c r="B16" s="166" t="s">
        <v>189</v>
      </c>
      <c r="C16" s="170" t="s">
        <v>24</v>
      </c>
      <c r="D16" s="170" t="s">
        <v>24</v>
      </c>
      <c r="E16" s="170" t="s">
        <v>24</v>
      </c>
      <c r="F16" s="170" t="s">
        <v>24</v>
      </c>
      <c r="G16" s="172" t="n">
        <v>0.5</v>
      </c>
      <c r="H16" s="269" t="n">
        <v>-0.02</v>
      </c>
      <c r="I16" s="172" t="n">
        <v>0.49</v>
      </c>
      <c r="J16" s="269" t="n">
        <v>-0.03</v>
      </c>
    </row>
  </sheetData>
  <mergeCells count="6">
    <mergeCell ref="A1:K1"/>
    <mergeCell ref="C2:D2"/>
    <mergeCell ref="E2:F2"/>
    <mergeCell ref="G2:H2"/>
    <mergeCell ref="I2:J2"/>
    <mergeCell ref="A15:J15"/>
  </mergeCells>
  <printOptions headings="false" gridLines="false" gridLinesSet="true" horizontalCentered="false" verticalCentered="false"/>
  <pageMargins left="0.75" right="0.75" top="1" bottom="1" header="0.511811023622047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&amp;L&amp;"Aptos,Regular" _x005F_x000d_#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2026-01-15T13:44:53Z</dcterms:created>
  <dc:creator>Wout Palsma</dc:creator>
  <dc:description/>
  <dc:language>en-US</dc:language>
  <cp:lastModifiedBy/>
  <dcterms:modified xsi:type="dcterms:W3CDTF">2026-03-03T08:15:06Z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0x010100687E488A3548C340BD50A8EAE8DED499</vt:lpwstr>
  </property>
  <property fmtid="{D5CDD505-2E9C-101B-9397-08002B2CF9AE}" pid="3" name="MSIP_Label_71bba39d-4745-4e9d-97db-0c1927b54242_ActionId">
    <vt:lpwstr>0e81c859-efb7-4b77-bc73-b628a915c21e</vt:lpwstr>
  </property>
  <property fmtid="{D5CDD505-2E9C-101B-9397-08002B2CF9AE}" pid="4" name="MSIP_Label_71bba39d-4745-4e9d-97db-0c1927b54242_ContentBits">
    <vt:lpwstr>2</vt:lpwstr>
  </property>
  <property fmtid="{D5CDD505-2E9C-101B-9397-08002B2CF9AE}" pid="5" name="MSIP_Label_71bba39d-4745-4e9d-97db-0c1927b54242_Enabled">
    <vt:lpwstr>true</vt:lpwstr>
  </property>
  <property fmtid="{D5CDD505-2E9C-101B-9397-08002B2CF9AE}" pid="6" name="MSIP_Label_71bba39d-4745-4e9d-97db-0c1927b54242_Method">
    <vt:lpwstr>Privileged</vt:lpwstr>
  </property>
  <property fmtid="{D5CDD505-2E9C-101B-9397-08002B2CF9AE}" pid="7" name="MSIP_Label_71bba39d-4745-4e9d-97db-0c1927b54242_Name">
    <vt:lpwstr>Internal</vt:lpwstr>
  </property>
  <property fmtid="{D5CDD505-2E9C-101B-9397-08002B2CF9AE}" pid="8" name="MSIP_Label_71bba39d-4745-4e9d-97db-0c1927b54242_SetDate">
    <vt:lpwstr>2026-01-15T13:46:32Z</vt:lpwstr>
  </property>
  <property fmtid="{D5CDD505-2E9C-101B-9397-08002B2CF9AE}" pid="9" name="MSIP_Label_71bba39d-4745-4e9d-97db-0c1927b54242_SiteId">
    <vt:lpwstr>05d75c05-fa1a-42e7-9cf1-eb416c396f2d</vt:lpwstr>
  </property>
  <property fmtid="{D5CDD505-2E9C-101B-9397-08002B2CF9AE}" pid="10" name="MSIP_Label_71bba39d-4745-4e9d-97db-0c1927b54242_Tag">
    <vt:lpwstr>10, 0, 1, 1</vt:lpwstr>
  </property>
  <property fmtid="{D5CDD505-2E9C-101B-9397-08002B2CF9AE}" pid="11" name="MediaServiceImageTags">
    <vt:lpwstr/>
  </property>
</Properties>
</file>