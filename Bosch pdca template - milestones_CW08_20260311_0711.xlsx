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400" tabRatio="600" firstSheet="0" activeTab="0" autoFilterDateGrouping="1"/>
  </bookViews>
  <sheets>
    <sheet xmlns:r="http://schemas.openxmlformats.org/officeDocument/2006/relationships" name="PDCA Main Page" sheetId="1" state="visible" r:id="rId1"/>
    <sheet xmlns:r="http://schemas.openxmlformats.org/officeDocument/2006/relationships" name="SC4 Data" sheetId="2" state="visible" r:id="rId2"/>
    <sheet xmlns:r="http://schemas.openxmlformats.org/officeDocument/2006/relationships" name="SC3 Data" sheetId="3" state="visible" r:id="rId3"/>
    <sheet xmlns:r="http://schemas.openxmlformats.org/officeDocument/2006/relationships" name="Mapping Prob-Root" sheetId="4" state="visible" r:id="rId4"/>
    <sheet xmlns:r="http://schemas.openxmlformats.org/officeDocument/2006/relationships" name="Rootcauses" sheetId="5" state="visible" r:id="rId5"/>
    <sheet xmlns:r="http://schemas.openxmlformats.org/officeDocument/2006/relationships" name="Measures" sheetId="6" state="visible" r:id="rId6"/>
    <sheet xmlns:r="http://schemas.openxmlformats.org/officeDocument/2006/relationships" name="Current State" sheetId="7" state="visible" r:id="rId7"/>
    <sheet xmlns:r="http://schemas.openxmlformats.org/officeDocument/2006/relationships" name="Pareto Analysis" sheetId="8" state="visible" r:id="rId8"/>
    <sheet xmlns:r="http://schemas.openxmlformats.org/officeDocument/2006/relationships" name="Regional actions" sheetId="9" state="visible" r:id="rId9"/>
    <sheet xmlns:r="http://schemas.openxmlformats.org/officeDocument/2006/relationships" name="Targets" sheetId="10" state="visible" r:id="rId10"/>
    <sheet xmlns:r="http://schemas.openxmlformats.org/officeDocument/2006/relationships" name="ETA accuracy Port" sheetId="11" state="visible" r:id="rId11"/>
    <sheet xmlns:r="http://schemas.openxmlformats.org/officeDocument/2006/relationships" name="POD estimate Accuracy" sheetId="12" state="visible" r:id="rId12"/>
    <sheet xmlns:r="http://schemas.openxmlformats.org/officeDocument/2006/relationships" name="Evidence - Reference" sheetId="13" state="visible" r:id="rId13"/>
    <sheet xmlns:r="http://schemas.openxmlformats.org/officeDocument/2006/relationships" name="Evidence - Sync &amp; Plausibility" sheetId="14" state="visible" r:id="rId14"/>
    <sheet xmlns:r="http://schemas.openxmlformats.org/officeDocument/2006/relationships" name="SC4 Trend" sheetId="15" state="visible" r:id="rId15"/>
    <sheet xmlns:r="http://schemas.openxmlformats.org/officeDocument/2006/relationships" name="SC3 Trend" sheetId="16" state="visible" r:id="rId16"/>
    <sheet xmlns:r="http://schemas.openxmlformats.org/officeDocument/2006/relationships" name="SC3 vs SC4" sheetId="17" state="visible" r:id="rId17"/>
    <sheet xmlns:r="http://schemas.openxmlformats.org/officeDocument/2006/relationships" name="Sheet1" sheetId="18" state="visible" r:id="rId18"/>
    <sheet xmlns:r="http://schemas.openxmlformats.org/officeDocument/2006/relationships" name="5Why" sheetId="19" state="visible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__mds_first_cell___">[1]EB!#REF!</definedName>
    <definedName name="___mds_view_data___">#REF!</definedName>
    <definedName name="_Mon2">#REF!</definedName>
    <definedName name="_Mon3">#REF!</definedName>
    <definedName name="_Mon4">#REF!</definedName>
    <definedName name="A">#REF!</definedName>
    <definedName name="Abteilung">#REF!</definedName>
    <definedName name="BEST_2003_NN">'[2]2003_IST'!$F$2:$F$4064</definedName>
    <definedName name="BEST_2004_NNN">'[2]2004_IST'!$E$2:$E$10116</definedName>
    <definedName name="BLATTA">#REF!</definedName>
    <definedName name="Bosch_Material">'[3]8D Form'!$R$17</definedName>
    <definedName name="Bosch_product">'[3]8D Form'!$R$16</definedName>
    <definedName name="complaint_name">'[3]8D Form'!$F$17</definedName>
    <definedName name="Entity">#REF!</definedName>
    <definedName name="Feb04_TTNR">[4]TTNR_Checks!$C$2:$C$2454</definedName>
    <definedName name="Ges_2003_TTNR">[4]TTNR_Checks!$A$2:$A$4058</definedName>
    <definedName name="Gesamtprojekt_Status">#REF!</definedName>
    <definedName name="KZ_AUB">[4]TTNR_Checks!$E$2:$E$3002</definedName>
    <definedName name="KZ_TTNR_2003">#REF!</definedName>
    <definedName name="KZ_TTNR_2004">#REF!</definedName>
    <definedName name="laufendes_jahr">#REF!</definedName>
    <definedName name="less">[5]Master!$V$36</definedName>
    <definedName name="M_1">#REF!</definedName>
    <definedName name="M_2">#REF!</definedName>
    <definedName name="M_2a">#REF!</definedName>
    <definedName name="M_2b">#REF!</definedName>
    <definedName name="M_2c">#REF!</definedName>
    <definedName name="M_2d">#REF!</definedName>
    <definedName name="M_3">#REF!</definedName>
    <definedName name="Mon">#REF!</definedName>
    <definedName name="more">[5]Master!$V$34</definedName>
    <definedName name="partial">[5]Master!$V$35</definedName>
    <definedName name="PB">#REF!</definedName>
    <definedName name="Period">#REF!</definedName>
    <definedName name="Pfad">#REF!</definedName>
    <definedName name="PIVOT">#REF!</definedName>
    <definedName name="Produktbereich">#REF!</definedName>
    <definedName name="Projekt">#REF!</definedName>
    <definedName name="qq">#REF!</definedName>
    <definedName name="Rechtseinheit">#REF!</definedName>
    <definedName name="Reference_No.">'[3]8D Form'!$K$12</definedName>
    <definedName name="SAPBEXdnldView" hidden="1">"43LW7EU5QZKLQPLJR0JY233HQ"</definedName>
    <definedName name="SAPBEXrevision" hidden="1">3</definedName>
    <definedName name="SAPBEXsysID" hidden="1">"PBJ"</definedName>
    <definedName name="SAPBEXwbID" hidden="1">"3YISBM3Y9HSPQJIGQOUTFG7R2"</definedName>
    <definedName name="www">[1]EB!#REF!</definedName>
    <definedName name="_xlnm._FilterDatabase" localSheetId="0" hidden="1">'PDCA Main Page'!$A$17:$S$115</definedName>
    <definedName name="_xlnm.Print_Area" localSheetId="0">'PDCA Main Page'!$A$1:$V$162</definedName>
    <definedName name="_xlnm._FilterDatabase" localSheetId="1" hidden="1">'SC4 Data'!$A$4:$AF$4</definedName>
    <definedName name="_xlnm._FilterDatabase" localSheetId="2" hidden="1">'SC3 Data'!$A$4:$AF$4</definedName>
    <definedName name="_xlnm._FilterDatabase" localSheetId="3" hidden="1">'Mapping Prob-Root'!$B$1:$L$83</definedName>
    <definedName name="x_x__MailAutoSig" localSheetId="8">'Regional actions'!$F$4</definedName>
    <definedName name="_xlnm._FilterDatabase" localSheetId="17" hidden="1">'Sheet1'!$A$1:$S$88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s\t\a\nd\a\rd"/>
    <numFmt numFmtId="165" formatCode="0.0"/>
    <numFmt numFmtId="166" formatCode="dd/mm/yy;@"/>
    <numFmt numFmtId="167" formatCode="0.0%"/>
    <numFmt numFmtId="168" formatCode="\+0%;\-0%"/>
    <numFmt numFmtId="169" formatCode="\+0.0%;\-0.0%"/>
    <numFmt numFmtId="170" formatCode="s&quot;tan&quot;d&quot;ar&quot;d"/>
    <numFmt numFmtId="171" formatCode="0\ %;\-0\ %;0\ %"/>
    <numFmt numFmtId="172" formatCode="[$-409]mmmm\ d\,\ yyyy;@"/>
  </numFmts>
  <fonts count="98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0"/>
      <sz val="18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indexed="8"/>
      <sz val="18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8"/>
      <sz val="12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b val="1"/>
      <color indexed="8"/>
      <sz val="11"/>
    </font>
    <font>
      <name val="Arial"/>
      <family val="2"/>
      <b val="1"/>
      <sz val="11"/>
    </font>
    <font>
      <name val="Arial"/>
      <family val="2"/>
      <b val="1"/>
      <color indexed="8"/>
      <sz val="10"/>
    </font>
    <font>
      <name val="Wingdings 3"/>
      <charset val="2"/>
      <family val="1"/>
      <color indexed="8"/>
      <sz val="20"/>
    </font>
    <font>
      <name val="PDCA"/>
      <b val="1"/>
      <sz val="22"/>
    </font>
    <font>
      <name val="Bosch Office Sans"/>
      <family val="2"/>
      <color indexed="8"/>
      <sz val="8"/>
    </font>
    <font>
      <name val="Arial"/>
      <family val="2"/>
      <color indexed="8"/>
      <sz val="6"/>
    </font>
    <font>
      <name val="Bosch Office Sans"/>
      <family val="2"/>
      <b val="1"/>
      <color indexed="8"/>
      <sz val="10"/>
    </font>
    <font>
      <name val="Bosch Office Sans"/>
      <family val="2"/>
      <color indexed="8"/>
      <sz val="10"/>
    </font>
    <font>
      <name val="Bosch Office Sans"/>
      <family val="2"/>
      <b val="1"/>
      <sz val="10"/>
    </font>
    <font>
      <name val="PDCA"/>
      <b val="1"/>
      <color indexed="8"/>
      <sz val="28"/>
    </font>
    <font>
      <name val="Bosch Office Sans"/>
      <family val="2"/>
      <sz val="10"/>
    </font>
    <font>
      <name val="PDCA"/>
      <color indexed="8"/>
      <sz val="28"/>
    </font>
    <font>
      <name val="PDCA"/>
      <color indexed="8"/>
      <sz val="26"/>
    </font>
    <font>
      <name val="돋움"/>
      <charset val="129"/>
      <family val="3"/>
      <color indexed="12"/>
      <sz val="11"/>
      <u val="single"/>
    </font>
    <font>
      <name val="Calibri"/>
      <family val="2"/>
      <color theme="1"/>
      <sz val="11"/>
      <scheme val="minor"/>
    </font>
    <font>
      <name val="Calibri"/>
      <family val="2"/>
      <b val="1"/>
      <color rgb="FF2E75B6"/>
      <sz val="14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i val="1"/>
      <sz val="10"/>
    </font>
    <font>
      <name val="Arial"/>
      <family val="2"/>
      <i val="1"/>
      <color indexed="8"/>
      <sz val="10"/>
    </font>
    <font>
      <name val="Arial"/>
      <family val="2"/>
      <b val="1"/>
      <i val="1"/>
      <sz val="10"/>
    </font>
    <font>
      <name val="Wingdings 3"/>
      <charset val="2"/>
      <family val="1"/>
      <i val="1"/>
      <color indexed="8"/>
      <sz val="20"/>
    </font>
    <font>
      <name val="Calibri"/>
      <family val="2"/>
      <b val="1"/>
      <color rgb="FFFFFFFF"/>
      <sz val="10"/>
    </font>
    <font>
      <name val="Calibri"/>
      <family val="2"/>
      <b val="1"/>
      <sz val="11"/>
    </font>
    <font>
      <name val="Calibri"/>
      <family val="2"/>
      <sz val="10"/>
    </font>
    <font>
      <name val="Aptos"/>
      <color rgb="FFFF0000"/>
      <sz val="10"/>
    </font>
    <font>
      <name val="Aptos"/>
      <b val="1"/>
      <color theme="0"/>
      <sz val="10"/>
    </font>
    <font>
      <name val="Aptos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Aptos"/>
      <i val="1"/>
      <color theme="1"/>
      <sz val="10"/>
    </font>
    <font>
      <name val="Calibri"/>
      <family val="2"/>
      <i val="1"/>
      <color theme="1"/>
      <sz val="10"/>
      <scheme val="minor"/>
    </font>
    <font>
      <name val="Calibri"/>
      <family val="2"/>
      <i val="1"/>
      <color rgb="FFFF0000"/>
      <sz val="10"/>
      <scheme val="minor"/>
    </font>
    <font>
      <name val="Maersk Text"/>
      <color rgb="FF212121"/>
      <sz val="10"/>
    </font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i val="1"/>
      <color rgb="FFCC00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1"/>
    </font>
    <font>
      <name val="Arial"/>
      <family val="2"/>
      <color rgb="FFCC0000"/>
      <sz val="10"/>
    </font>
    <font>
      <name val="Arial"/>
      <family val="2"/>
      <color rgb="FF008000"/>
      <sz val="10"/>
    </font>
    <font>
      <name val="Calibri"/>
      <family val="2"/>
      <b val="1"/>
      <color rgb="FFFF0000"/>
      <sz val="10"/>
      <scheme val="minor"/>
    </font>
    <font>
      <name val="Arial"/>
      <family val="2"/>
      <b val="1"/>
      <color rgb="FF1F3864"/>
      <sz val="16"/>
    </font>
    <font>
      <name val="Arial"/>
      <family val="2"/>
      <color rgb="FF666666"/>
      <sz val="9"/>
    </font>
    <font>
      <name val="Arial"/>
      <family val="2"/>
      <b val="1"/>
      <color rgb="FFC00000"/>
      <sz val="13"/>
    </font>
    <font>
      <name val="Arial"/>
      <family val="2"/>
      <b val="1"/>
      <color rgb="FF1F3864"/>
      <sz val="13"/>
    </font>
    <font>
      <name val="Arial"/>
      <family val="2"/>
      <b val="1"/>
      <color rgb="FFC00000"/>
      <sz val="12"/>
    </font>
    <font>
      <name val="Arial"/>
      <family val="2"/>
      <b val="1"/>
      <color rgb="FF1F3864"/>
      <sz val="12"/>
    </font>
    <font>
      <name val="Arial"/>
      <family val="2"/>
      <sz val="8"/>
    </font>
    <font>
      <name val="Segoe UI"/>
      <charset val="1"/>
      <family val="2"/>
      <b val="1"/>
      <color rgb="FF000000"/>
      <sz val="9"/>
    </font>
    <font>
      <name val="Segoe UI"/>
      <charset val="1"/>
      <family val="2"/>
      <color rgb="FF000000"/>
      <sz val="9"/>
    </font>
    <font>
      <name val="Wingdings 3"/>
      <charset val="2"/>
      <family val="1"/>
      <color rgb="FF000000"/>
      <sz val="20"/>
    </font>
    <font>
      <name val="Calibri"/>
      <family val="2"/>
      <b val="1"/>
      <color rgb="FFFFFFFF"/>
      <sz val="14"/>
    </font>
    <font>
      <name val="Calibri"/>
      <family val="2"/>
      <color rgb="FF404040"/>
      <sz val="10"/>
    </font>
    <font>
      <name val="Calibri"/>
      <family val="2"/>
      <b val="1"/>
      <color rgb="FF1F4E79"/>
      <sz val="11"/>
    </font>
    <font>
      <name val="Calibri"/>
      <family val="2"/>
      <b val="1"/>
      <color rgb="FFC00000"/>
      <sz val="12"/>
    </font>
    <font>
      <name val="Calibri"/>
      <family val="2"/>
      <b val="1"/>
      <color rgb="FFC00000"/>
      <sz val="10"/>
    </font>
    <font>
      <name val="Calibri"/>
      <family val="2"/>
      <b val="1"/>
      <color rgb="FF7030A0"/>
      <sz val="14"/>
    </font>
    <font>
      <name val="Calibri"/>
      <family val="2"/>
      <b val="1"/>
      <color rgb="FF7030A0"/>
      <sz val="11"/>
    </font>
    <font>
      <name val="Calibri"/>
      <family val="2"/>
      <color rgb="FF000000"/>
      <sz val="11"/>
    </font>
    <font>
      <name val="Arial"/>
      <charset val="1"/>
      <family val="2"/>
      <b val="1"/>
      <sz val="12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sz val="8"/>
    </font>
    <font>
      <name val="Arial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238"/>
      <family val="2"/>
      <color theme="0"/>
      <sz val="14"/>
    </font>
    <font>
      <name val="Tahoma"/>
      <family val="2"/>
      <color rgb="FF000000"/>
      <sz val="16"/>
    </font>
    <font>
      <name val="Bosch Office Sans"/>
      <charset val="238"/>
      <family val="2"/>
      <b val="1"/>
      <i val="1"/>
      <sz val="18"/>
    </font>
    <font>
      <name val="Bosch Office Sans"/>
      <charset val="238"/>
      <family val="2"/>
      <b val="1"/>
      <i val="1"/>
      <sz val="14"/>
    </font>
    <font>
      <name val="Bosch Office Sans"/>
      <charset val="238"/>
      <family val="2"/>
      <color theme="0" tint="-0.249977111117893"/>
      <sz val="8"/>
    </font>
    <font>
      <name val="Arial"/>
      <charset val="238"/>
      <family val="2"/>
      <color theme="1"/>
      <sz val="12"/>
    </font>
    <font>
      <name val="Bosch Office Sans"/>
      <charset val="238"/>
      <family val="2"/>
      <sz val="12"/>
    </font>
    <font>
      <name val="Bosch Office Sans"/>
      <charset val="238"/>
      <family val="2"/>
      <sz val="14"/>
    </font>
    <font>
      <name val="Arial"/>
      <family val="2"/>
      <b val="1"/>
      <sz val="14"/>
    </font>
    <font>
      <name val="Arial"/>
      <family val="2"/>
      <b val="1"/>
      <sz val="12"/>
    </font>
    <font>
      <name val="Tahoma"/>
      <family val="2"/>
      <b val="1"/>
      <color rgb="FF000000"/>
      <sz val="9"/>
    </font>
    <font>
      <name val="Calibri"/>
      <family val="2"/>
      <color theme="0"/>
      <sz val="11"/>
      <scheme val="minor"/>
    </font>
    <font>
      <name val="Arial"/>
      <family val="2"/>
      <i val="1"/>
      <color rgb="FFFFC000"/>
      <sz val="10"/>
    </font>
    <font>
      <name val="Arial"/>
      <family val="2"/>
      <i val="1"/>
      <color theme="0" tint="-0.3499862666707358"/>
      <sz val="10"/>
    </font>
    <font>
      <name val="Arial"/>
      <family val="2"/>
      <b val="1"/>
      <color theme="1"/>
      <sz val="10"/>
    </font>
    <font>
      <name val="Calibri"/>
      <family val="2"/>
      <sz val="9"/>
    </font>
    <font>
      <name val="Calibri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family val="2"/>
      <b val="1"/>
      <color theme="1"/>
      <sz val="11"/>
    </font>
    <font>
      <name val="Arial"/>
      <family val="2"/>
      <b val="1"/>
      <i val="1"/>
      <sz val="8"/>
    </font>
  </fonts>
  <fills count="47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FFF4CC"/>
        <bgColor rgb="FFFFF4CC"/>
      </patternFill>
    </fill>
    <fill>
      <patternFill patternType="solid">
        <fgColor rgb="FF1E2761"/>
        <bgColor rgb="FF1E2761"/>
      </patternFill>
    </fill>
    <fill>
      <patternFill patternType="solid">
        <fgColor rgb="FFF96167"/>
        <bgColor rgb="FFF96167"/>
      </patternFill>
    </fill>
    <fill>
      <patternFill patternType="solid">
        <fgColor rgb="FFFFF9C4"/>
        <bgColor rgb="FFFFF9C4"/>
      </patternFill>
    </fill>
    <fill>
      <patternFill patternType="solid">
        <fgColor rgb="FFFFB74D"/>
        <bgColor rgb="FFFFB74D"/>
      </patternFill>
    </fill>
    <fill>
      <patternFill patternType="solid">
        <fgColor rgb="FF64B5F6"/>
        <bgColor rgb="FF64B5F6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CCFFFF"/>
      </patternFill>
    </fill>
    <fill>
      <patternFill patternType="solid">
        <fgColor rgb="FFED7D31"/>
        <bgColor rgb="FFFF8080"/>
      </patternFill>
    </fill>
    <fill>
      <patternFill patternType="solid">
        <fgColor rgb="FFF4B183"/>
        <bgColor rgb="FFFF99CC"/>
      </patternFill>
    </fill>
    <fill>
      <patternFill patternType="solid">
        <fgColor rgb="FFFFF2F2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7030A0"/>
        <bgColor rgb="FF7030A0"/>
      </patternFill>
    </fill>
    <fill>
      <patternFill patternType="solid">
        <fgColor theme="0" tint="-0.0499893185216834"/>
        <bgColor rgb="FFFFF2F2"/>
      </patternFill>
    </fill>
    <fill>
      <patternFill patternType="solid">
        <fgColor rgb="FFFFFFFF"/>
        <bgColor rgb="FFFFF2F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565C0"/>
        <bgColor rgb="FF1565C0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rgb="FFF2F2F2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6">
    <xf numFmtId="0" fontId="3" fillId="0" borderId="0"/>
    <xf numFmtId="9" fontId="3" fillId="0" borderId="0"/>
    <xf numFmtId="164" fontId="1" fillId="2" borderId="0"/>
    <xf numFmtId="0" fontId="25" fillId="0" borderId="0" applyAlignment="1" applyProtection="1">
      <alignment vertical="top"/>
      <protection locked="0" hidden="0"/>
    </xf>
    <xf numFmtId="0" fontId="26" fillId="0" borderId="0"/>
    <xf numFmtId="0" fontId="46" fillId="0" borderId="0"/>
  </cellStyleXfs>
  <cellXfs count="450">
    <xf numFmtId="0" fontId="0" fillId="0" borderId="0" pivotButton="0" quotePrefix="0" xfId="0"/>
    <xf numFmtId="164" fontId="5" fillId="2" borderId="2" applyAlignment="1" pivotButton="0" quotePrefix="0" xfId="2">
      <alignment horizontal="center" vertical="center" wrapText="1"/>
    </xf>
    <xf numFmtId="164" fontId="6" fillId="2" borderId="2" pivotButton="0" quotePrefix="0" xfId="2"/>
    <xf numFmtId="164" fontId="6" fillId="2" borderId="3" pivotButton="0" quotePrefix="0" xfId="2"/>
    <xf numFmtId="164" fontId="6" fillId="2" borderId="0" pivotButton="0" quotePrefix="0" xfId="2"/>
    <xf numFmtId="164" fontId="6" fillId="2" borderId="0" applyAlignment="1" pivotButton="0" quotePrefix="0" xfId="2">
      <alignment vertical="center"/>
    </xf>
    <xf numFmtId="49" fontId="6" fillId="2" borderId="1" applyAlignment="1" pivotButton="0" quotePrefix="0" xfId="2">
      <alignment vertical="center"/>
    </xf>
    <xf numFmtId="49" fontId="6" fillId="2" borderId="2" applyAlignment="1" pivotButton="0" quotePrefix="0" xfId="2">
      <alignment vertical="center"/>
    </xf>
    <xf numFmtId="49" fontId="6" fillId="2" borderId="3" applyAlignment="1" pivotButton="0" quotePrefix="0" xfId="2">
      <alignment horizontal="right" vertical="center"/>
    </xf>
    <xf numFmtId="164" fontId="6" fillId="2" borderId="0" applyAlignment="1" pivotButton="0" quotePrefix="0" xfId="2">
      <alignment horizontal="centerContinuous" vertical="top"/>
    </xf>
    <xf numFmtId="164" fontId="6" fillId="2" borderId="4" pivotButton="0" quotePrefix="0" xfId="2"/>
    <xf numFmtId="49" fontId="7" fillId="2" borderId="5" applyAlignment="1" pivotButton="0" quotePrefix="0" xfId="2">
      <alignment vertical="center"/>
    </xf>
    <xf numFmtId="49" fontId="8" fillId="2" borderId="6" applyAlignment="1" pivotButton="0" quotePrefix="0" xfId="2">
      <alignment vertical="center"/>
    </xf>
    <xf numFmtId="49" fontId="6" fillId="2" borderId="7" applyAlignment="1" pivotButton="0" quotePrefix="0" xfId="2">
      <alignment horizontal="right" vertical="center"/>
    </xf>
    <xf numFmtId="164" fontId="7" fillId="2" borderId="0" applyAlignment="1" pivotButton="0" quotePrefix="0" xfId="2">
      <alignment horizontal="center" vertical="center"/>
    </xf>
    <xf numFmtId="164" fontId="8" fillId="2" borderId="0" applyAlignment="1" pivotButton="0" quotePrefix="0" xfId="2">
      <alignment horizontal="center" vertical="center" textRotation="90"/>
    </xf>
    <xf numFmtId="49" fontId="8" fillId="2" borderId="2" applyAlignment="1" pivotButton="0" quotePrefix="0" xfId="2">
      <alignment vertical="center"/>
    </xf>
    <xf numFmtId="49" fontId="7" fillId="2" borderId="0" applyAlignment="1" pivotButton="0" quotePrefix="0" xfId="2">
      <alignment vertical="center"/>
    </xf>
    <xf numFmtId="49" fontId="6" fillId="2" borderId="5" applyAlignment="1" pivotButton="0" quotePrefix="0" xfId="2">
      <alignment vertical="center"/>
    </xf>
    <xf numFmtId="49" fontId="6" fillId="2" borderId="7" applyAlignment="1" pivotButton="0" quotePrefix="0" xfId="2">
      <alignment vertical="center"/>
    </xf>
    <xf numFmtId="0" fontId="9" fillId="4" borderId="10" applyAlignment="1" pivotButton="0" quotePrefix="0" xfId="2">
      <alignment horizontal="center" vertical="center"/>
    </xf>
    <xf numFmtId="164" fontId="9" fillId="4" borderId="11" applyAlignment="1" pivotButton="0" quotePrefix="0" xfId="2">
      <alignment horizontal="center" vertical="center"/>
    </xf>
    <xf numFmtId="164" fontId="9" fillId="4" borderId="12" applyAlignment="1" pivotButton="0" quotePrefix="0" xfId="2">
      <alignment horizontal="center" vertical="center"/>
    </xf>
    <xf numFmtId="164" fontId="9" fillId="4" borderId="13" applyAlignment="1" pivotButton="0" quotePrefix="0" xfId="2">
      <alignment horizontal="center" vertical="center"/>
    </xf>
    <xf numFmtId="0" fontId="9" fillId="2" borderId="14" applyAlignment="1" pivotButton="0" quotePrefix="0" xfId="2">
      <alignment horizontal="center" vertical="center"/>
    </xf>
    <xf numFmtId="0" fontId="9" fillId="2" borderId="0" applyAlignment="1" pivotButton="0" quotePrefix="0" xfId="2">
      <alignment horizontal="center" vertical="center"/>
    </xf>
    <xf numFmtId="49" fontId="6" fillId="2" borderId="3" applyAlignment="1" pivotButton="0" quotePrefix="0" xfId="2">
      <alignment vertical="center"/>
    </xf>
    <xf numFmtId="9" fontId="6" fillId="4" borderId="17" applyAlignment="1" pivotButton="0" quotePrefix="0" xfId="2">
      <alignment horizontal="center" vertical="center"/>
    </xf>
    <xf numFmtId="9" fontId="6" fillId="4" borderId="19" applyAlignment="1" pivotButton="0" quotePrefix="0" xfId="1">
      <alignment horizontal="center" vertical="center"/>
    </xf>
    <xf numFmtId="1" fontId="6" fillId="5" borderId="20" applyAlignment="1" pivotButton="0" quotePrefix="0" xfId="2">
      <alignment horizontal="center" vertical="center"/>
    </xf>
    <xf numFmtId="1" fontId="6" fillId="5" borderId="0" applyAlignment="1" pivotButton="0" quotePrefix="0" xfId="2">
      <alignment horizontal="center" vertical="center"/>
    </xf>
    <xf numFmtId="49" fontId="6" fillId="2" borderId="21" applyAlignment="1" pivotButton="0" quotePrefix="0" xfId="2">
      <alignment vertical="center"/>
    </xf>
    <xf numFmtId="49" fontId="6" fillId="2" borderId="0" applyAlignment="1" pivotButton="0" quotePrefix="0" xfId="2">
      <alignment vertical="center"/>
    </xf>
    <xf numFmtId="49" fontId="7" fillId="2" borderId="5" applyAlignment="1" pivotButton="0" quotePrefix="0" xfId="2">
      <alignment horizontal="left" vertical="center"/>
    </xf>
    <xf numFmtId="49" fontId="7" fillId="2" borderId="6" applyAlignment="1" pivotButton="0" quotePrefix="0" xfId="2">
      <alignment horizontal="left" vertical="center"/>
    </xf>
    <xf numFmtId="49" fontId="7" fillId="2" borderId="7" applyAlignment="1" pivotButton="0" quotePrefix="0" xfId="2">
      <alignment horizontal="left" vertical="center"/>
    </xf>
    <xf numFmtId="0" fontId="6" fillId="4" borderId="17" applyAlignment="1" pivotButton="0" quotePrefix="0" xfId="2">
      <alignment horizontal="center" vertical="center"/>
    </xf>
    <xf numFmtId="1" fontId="6" fillId="5" borderId="25" applyAlignment="1" pivotButton="0" quotePrefix="0" xfId="2">
      <alignment horizontal="center" vertical="center"/>
    </xf>
    <xf numFmtId="1" fontId="6" fillId="0" borderId="25" applyAlignment="1" pivotButton="0" quotePrefix="0" xfId="2">
      <alignment horizontal="center" vertical="center"/>
    </xf>
    <xf numFmtId="1" fontId="6" fillId="4" borderId="19" applyAlignment="1" pivotButton="0" quotePrefix="0" xfId="2">
      <alignment horizontal="center" vertical="center"/>
    </xf>
    <xf numFmtId="164" fontId="7" fillId="2" borderId="0" pivotButton="0" quotePrefix="0" xfId="2"/>
    <xf numFmtId="49" fontId="7" fillId="2" borderId="21" applyAlignment="1" pivotButton="0" quotePrefix="0" xfId="2">
      <alignment vertical="center"/>
    </xf>
    <xf numFmtId="49" fontId="8" fillId="2" borderId="4" applyAlignment="1" pivotButton="0" quotePrefix="0" xfId="2">
      <alignment vertical="center"/>
    </xf>
    <xf numFmtId="9" fontId="6" fillId="7" borderId="25" applyAlignment="1" pivotButton="0" quotePrefix="0" xfId="1">
      <alignment horizontal="center" vertical="center"/>
    </xf>
    <xf numFmtId="0" fontId="10" fillId="7" borderId="28" applyAlignment="1" pivotButton="0" quotePrefix="0" xfId="2">
      <alignment horizontal="center" vertical="center"/>
    </xf>
    <xf numFmtId="164" fontId="6" fillId="7" borderId="29" applyAlignment="1" pivotButton="0" quotePrefix="0" xfId="2">
      <alignment vertical="center"/>
    </xf>
    <xf numFmtId="0" fontId="6" fillId="7" borderId="29" applyAlignment="1" pivotButton="0" quotePrefix="0" xfId="2">
      <alignment horizontal="center" vertical="center"/>
    </xf>
    <xf numFmtId="165" fontId="6" fillId="7" borderId="29" applyAlignment="1" pivotButton="0" quotePrefix="0" xfId="2">
      <alignment horizontal="center" vertical="center"/>
    </xf>
    <xf numFmtId="1" fontId="6" fillId="7" borderId="29" applyAlignment="1" pivotButton="0" quotePrefix="0" xfId="2">
      <alignment horizontal="center" vertical="center"/>
    </xf>
    <xf numFmtId="1" fontId="6" fillId="7" borderId="30" applyAlignment="1" pivotButton="0" quotePrefix="0" xfId="2">
      <alignment horizontal="center" vertical="center"/>
    </xf>
    <xf numFmtId="1" fontId="6" fillId="0" borderId="0" applyAlignment="1" pivotButton="0" quotePrefix="0" xfId="2">
      <alignment horizontal="center" vertical="center"/>
    </xf>
    <xf numFmtId="164" fontId="6" fillId="0" borderId="0" pivotButton="0" quotePrefix="0" xfId="2"/>
    <xf numFmtId="0" fontId="10" fillId="2" borderId="31" applyAlignment="1" pivotButton="0" quotePrefix="0" xfId="2">
      <alignment horizontal="center" vertical="center"/>
    </xf>
    <xf numFmtId="164" fontId="6" fillId="0" borderId="17" applyAlignment="1" pivotButton="0" quotePrefix="0" xfId="2">
      <alignment horizontal="center" vertical="center"/>
    </xf>
    <xf numFmtId="1" fontId="6" fillId="8" borderId="0" applyAlignment="1" pivotButton="0" quotePrefix="0" xfId="2">
      <alignment horizontal="center" vertical="center"/>
    </xf>
    <xf numFmtId="164" fontId="6" fillId="8" borderId="0" pivotButton="0" quotePrefix="0" xfId="2"/>
    <xf numFmtId="164" fontId="6" fillId="8" borderId="17" applyAlignment="1" pivotButton="0" quotePrefix="0" xfId="2">
      <alignment vertical="center" wrapText="1"/>
    </xf>
    <xf numFmtId="1" fontId="6" fillId="0" borderId="23" applyAlignment="1" pivotButton="0" quotePrefix="0" xfId="2">
      <alignment horizontal="center" vertical="center"/>
    </xf>
    <xf numFmtId="0" fontId="10" fillId="7" borderId="1" applyAlignment="1" pivotButton="0" quotePrefix="0" xfId="2">
      <alignment horizontal="center" vertical="center"/>
    </xf>
    <xf numFmtId="164" fontId="6" fillId="7" borderId="2" applyAlignment="1" pivotButton="0" quotePrefix="0" xfId="2">
      <alignment vertical="center"/>
    </xf>
    <xf numFmtId="0" fontId="6" fillId="7" borderId="2" applyAlignment="1" pivotButton="0" quotePrefix="0" xfId="2">
      <alignment horizontal="center" vertical="center"/>
    </xf>
    <xf numFmtId="165" fontId="6" fillId="7" borderId="2" applyAlignment="1" pivotButton="0" quotePrefix="0" xfId="2">
      <alignment horizontal="center" vertical="center"/>
    </xf>
    <xf numFmtId="1" fontId="6" fillId="7" borderId="2" applyAlignment="1" pivotButton="0" quotePrefix="0" xfId="2">
      <alignment horizontal="center" vertical="center"/>
    </xf>
    <xf numFmtId="1" fontId="6" fillId="7" borderId="3" applyAlignment="1" pivotButton="0" quotePrefix="0" xfId="2">
      <alignment horizontal="center" vertical="center"/>
    </xf>
    <xf numFmtId="1" fontId="6" fillId="7" borderId="0" applyAlignment="1" pivotButton="0" quotePrefix="0" xfId="2">
      <alignment horizontal="center" vertical="center"/>
    </xf>
    <xf numFmtId="164" fontId="8" fillId="4" borderId="12" applyAlignment="1" pivotButton="0" quotePrefix="0" xfId="2">
      <alignment horizontal="centerContinuous"/>
    </xf>
    <xf numFmtId="164" fontId="7" fillId="4" borderId="12" applyAlignment="1" pivotButton="0" quotePrefix="0" xfId="2">
      <alignment horizontal="centerContinuous"/>
    </xf>
    <xf numFmtId="164" fontId="12" fillId="4" borderId="0" applyAlignment="1" pivotButton="0" quotePrefix="0" xfId="2">
      <alignment vertical="center"/>
    </xf>
    <xf numFmtId="164" fontId="9" fillId="4" borderId="23" applyAlignment="1" pivotButton="0" quotePrefix="0" xfId="2">
      <alignment horizontal="center" vertical="center"/>
    </xf>
    <xf numFmtId="1" fontId="14" fillId="2" borderId="23" applyAlignment="1" pivotButton="0" quotePrefix="1" xfId="2">
      <alignment horizontal="center" vertical="center"/>
    </xf>
    <xf numFmtId="166" fontId="14" fillId="0" borderId="23" applyAlignment="1" pivotButton="0" quotePrefix="0" xfId="0">
      <alignment horizontal="center" vertical="center"/>
    </xf>
    <xf numFmtId="166" fontId="14" fillId="0" borderId="23" applyAlignment="1" pivotButton="0" quotePrefix="0" xfId="0">
      <alignment horizontal="left" vertical="top"/>
    </xf>
    <xf numFmtId="0" fontId="15" fillId="8" borderId="23" applyAlignment="1" pivotButton="0" quotePrefix="1" xfId="2">
      <alignment horizontal="center" vertical="center"/>
    </xf>
    <xf numFmtId="0" fontId="10" fillId="8" borderId="23" applyAlignment="1" pivotButton="0" quotePrefix="0" xfId="2">
      <alignment horizontal="center" vertical="center"/>
    </xf>
    <xf numFmtId="1" fontId="14" fillId="8" borderId="23" applyAlignment="1" pivotButton="0" quotePrefix="1" xfId="2">
      <alignment horizontal="center" vertical="center"/>
    </xf>
    <xf numFmtId="164" fontId="16" fillId="2" borderId="0" pivotButton="0" quotePrefix="0" xfId="2"/>
    <xf numFmtId="164" fontId="18" fillId="2" borderId="0" applyAlignment="1" pivotButton="0" quotePrefix="0" xfId="2">
      <alignment horizontal="left"/>
    </xf>
    <xf numFmtId="164" fontId="19" fillId="2" borderId="0" applyAlignment="1" pivotButton="0" quotePrefix="0" xfId="2">
      <alignment horizontal="right" vertical="center"/>
    </xf>
    <xf numFmtId="164" fontId="20" fillId="2" borderId="0" applyAlignment="1" pivotButton="0" quotePrefix="0" xfId="2">
      <alignment horizontal="left"/>
    </xf>
    <xf numFmtId="164" fontId="21" fillId="2" borderId="0" applyAlignment="1" pivotButton="0" quotePrefix="0" xfId="2">
      <alignment horizontal="center" vertical="center"/>
    </xf>
    <xf numFmtId="164" fontId="22" fillId="2" borderId="0" applyAlignment="1" pivotButton="0" quotePrefix="0" xfId="2">
      <alignment vertical="center"/>
    </xf>
    <xf numFmtId="164" fontId="23" fillId="2" borderId="0" applyAlignment="1" pivotButton="0" quotePrefix="0" xfId="2">
      <alignment horizontal="left" vertical="center"/>
    </xf>
    <xf numFmtId="164" fontId="6" fillId="2" borderId="0" applyAlignment="1" pivotButton="0" quotePrefix="1" xfId="2">
      <alignment vertical="center"/>
    </xf>
    <xf numFmtId="164" fontId="23" fillId="2" borderId="0" applyAlignment="1" pivotButton="0" quotePrefix="0" xfId="2">
      <alignment vertical="center"/>
    </xf>
    <xf numFmtId="0" fontId="14" fillId="0" borderId="0" applyAlignment="1" pivotButton="0" quotePrefix="0" xfId="0">
      <alignment horizontal="left" vertical="center"/>
    </xf>
    <xf numFmtId="164" fontId="22" fillId="2" borderId="0" applyAlignment="1" pivotButton="0" quotePrefix="0" xfId="2">
      <alignment horizontal="left" vertical="center"/>
    </xf>
    <xf numFmtId="164" fontId="17" fillId="2" borderId="0" pivotButton="0" quotePrefix="0" xfId="2"/>
    <xf numFmtId="166" fontId="14" fillId="0" borderId="0" applyAlignment="1" pivotButton="0" quotePrefix="0" xfId="0">
      <alignment horizontal="center" vertical="center"/>
    </xf>
    <xf numFmtId="164" fontId="6" fillId="2" borderId="0" applyAlignment="1" pivotButton="0" quotePrefix="0" xfId="2">
      <alignment horizontal="left" vertical="center" wrapText="1"/>
    </xf>
    <xf numFmtId="166" fontId="14" fillId="0" borderId="0" applyAlignment="1" pivotButton="0" quotePrefix="0" xfId="0">
      <alignment horizontal="left" vertical="top"/>
    </xf>
    <xf numFmtId="164" fontId="6" fillId="2" borderId="0" applyAlignment="1" pivotButton="0" quotePrefix="0" xfId="2">
      <alignment vertical="top"/>
    </xf>
    <xf numFmtId="0" fontId="14" fillId="0" borderId="0" applyAlignment="1" pivotButton="0" quotePrefix="0" xfId="0">
      <alignment horizontal="center" vertical="top"/>
    </xf>
    <xf numFmtId="164" fontId="18" fillId="2" borderId="0" pivotButton="0" quotePrefix="0" xfId="3"/>
    <xf numFmtId="164" fontId="12" fillId="4" borderId="12" applyAlignment="1" pivotButton="0" quotePrefix="0" xfId="2">
      <alignment horizontal="center" vertical="center"/>
    </xf>
    <xf numFmtId="164" fontId="12" fillId="4" borderId="23" applyAlignment="1" pivotButton="0" quotePrefix="0" xfId="2">
      <alignment horizontal="center" vertical="center"/>
    </xf>
    <xf numFmtId="9" fontId="6" fillId="2" borderId="23" applyAlignment="1" pivotButton="0" quotePrefix="0" xfId="2">
      <alignment horizontal="center" vertical="center"/>
    </xf>
    <xf numFmtId="0" fontId="9" fillId="4" borderId="9" applyAlignment="1" pivotButton="0" quotePrefix="0" xfId="2">
      <alignment horizontal="center" vertical="center"/>
    </xf>
    <xf numFmtId="9" fontId="6" fillId="4" borderId="16" applyAlignment="1" pivotButton="0" quotePrefix="0" xfId="2">
      <alignment horizontal="center" vertical="center"/>
    </xf>
    <xf numFmtId="0" fontId="6" fillId="4" borderId="16" applyAlignment="1" pivotButton="0" quotePrefix="0" xfId="2">
      <alignment horizontal="center" vertical="center"/>
    </xf>
    <xf numFmtId="9" fontId="6" fillId="7" borderId="38" applyAlignment="1" pivotButton="0" quotePrefix="0" xfId="1">
      <alignment horizontal="center" vertical="center"/>
    </xf>
    <xf numFmtId="9" fontId="6" fillId="0" borderId="24" applyAlignment="1" pivotButton="0" quotePrefix="0" xfId="1">
      <alignment horizontal="center" vertical="center"/>
    </xf>
    <xf numFmtId="0" fontId="26" fillId="0" borderId="0" pivotButton="0" quotePrefix="0" xfId="4"/>
    <xf numFmtId="0" fontId="28" fillId="0" borderId="0" pivotButton="0" quotePrefix="0" xfId="4"/>
    <xf numFmtId="0" fontId="29" fillId="9" borderId="39" applyAlignment="1" pivotButton="0" quotePrefix="0" xfId="4">
      <alignment horizontal="center"/>
    </xf>
    <xf numFmtId="167" fontId="26" fillId="0" borderId="0" pivotButton="0" quotePrefix="0" xfId="4"/>
    <xf numFmtId="0" fontId="29" fillId="9" borderId="39" applyAlignment="1" pivotButton="0" quotePrefix="0" xfId="4">
      <alignment horizontal="center" wrapText="1"/>
    </xf>
    <xf numFmtId="0" fontId="26" fillId="10" borderId="39" pivotButton="0" quotePrefix="0" xfId="4"/>
    <xf numFmtId="167" fontId="26" fillId="10" borderId="39" pivotButton="0" quotePrefix="0" xfId="4"/>
    <xf numFmtId="0" fontId="26" fillId="0" borderId="39" pivotButton="0" quotePrefix="0" xfId="4"/>
    <xf numFmtId="167" fontId="26" fillId="0" borderId="39" pivotButton="0" quotePrefix="0" xfId="4"/>
    <xf numFmtId="49" fontId="7" fillId="2" borderId="0" applyAlignment="1" pivotButton="0" quotePrefix="0" xfId="2">
      <alignment horizontal="left" vertical="center"/>
    </xf>
    <xf numFmtId="9" fontId="31" fillId="5" borderId="24" applyAlignment="1" pivotButton="0" quotePrefix="0" xfId="1">
      <alignment horizontal="center" vertical="center"/>
    </xf>
    <xf numFmtId="9" fontId="31" fillId="5" borderId="18" applyAlignment="1" pivotButton="0" quotePrefix="0" xfId="1">
      <alignment horizontal="center" vertical="center"/>
    </xf>
    <xf numFmtId="9" fontId="13" fillId="0" borderId="18" applyAlignment="1" pivotButton="0" quotePrefix="0" xfId="1">
      <alignment horizontal="center" vertical="center"/>
    </xf>
    <xf numFmtId="9" fontId="13" fillId="0" borderId="24" applyAlignment="1" pivotButton="0" quotePrefix="0" xfId="1">
      <alignment horizontal="center" vertical="center"/>
    </xf>
    <xf numFmtId="164" fontId="31" fillId="2" borderId="0" pivotButton="0" quotePrefix="0" xfId="2"/>
    <xf numFmtId="0" fontId="10" fillId="2" borderId="23" applyAlignment="1" pivotButton="0" quotePrefix="0" xfId="2">
      <alignment horizontal="center" vertical="center"/>
    </xf>
    <xf numFmtId="0" fontId="32" fillId="2" borderId="23" applyAlignment="1" pivotButton="0" quotePrefix="0" xfId="2">
      <alignment horizontal="center" vertical="center"/>
    </xf>
    <xf numFmtId="0" fontId="34" fillId="11" borderId="39" applyAlignment="1" pivotButton="0" quotePrefix="0" xfId="0">
      <alignment horizontal="center" vertical="center" wrapText="1"/>
    </xf>
    <xf numFmtId="0" fontId="35" fillId="0" borderId="39" applyAlignment="1" pivotButton="0" quotePrefix="0" xfId="0">
      <alignment horizontal="center"/>
    </xf>
    <xf numFmtId="0" fontId="36" fillId="0" borderId="39" applyAlignment="1" pivotButton="0" quotePrefix="0" xfId="0">
      <alignment vertical="top" wrapText="1"/>
    </xf>
    <xf numFmtId="0" fontId="29" fillId="12" borderId="39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13" borderId="39" applyAlignment="1" pivotButton="0" quotePrefix="0" xfId="0">
      <alignment horizontal="center"/>
    </xf>
    <xf numFmtId="0" fontId="29" fillId="14" borderId="39" applyAlignment="1" pivotButton="0" quotePrefix="0" xfId="0">
      <alignment horizontal="center"/>
    </xf>
    <xf numFmtId="0" fontId="29" fillId="15" borderId="39" applyAlignment="1" pivotButton="0" quotePrefix="0" xfId="0">
      <alignment horizontal="center"/>
    </xf>
    <xf numFmtId="0" fontId="36" fillId="0" borderId="39" pivotButton="0" quotePrefix="0" xfId="0"/>
    <xf numFmtId="1" fontId="33" fillId="2" borderId="23" applyAlignment="1" pivotButton="0" quotePrefix="1" xfId="2">
      <alignment horizontal="center" vertical="center"/>
    </xf>
    <xf numFmtId="166" fontId="33" fillId="0" borderId="23" applyAlignment="1" pivotButton="0" quotePrefix="0" xfId="0">
      <alignment horizontal="left" vertical="top"/>
    </xf>
    <xf numFmtId="1" fontId="14" fillId="2" borderId="23" applyAlignment="1" pivotButton="0" quotePrefix="0" xfId="2">
      <alignment horizontal="center" vertical="center"/>
    </xf>
    <xf numFmtId="15" fontId="36" fillId="0" borderId="39" applyAlignment="1" pivotButton="0" quotePrefix="0" xfId="0">
      <alignment vertical="top" wrapText="1"/>
    </xf>
    <xf numFmtId="0" fontId="0" fillId="13" borderId="39" applyAlignment="1" pivotButton="0" quotePrefix="0" xfId="0">
      <alignment horizontal="center" wrapText="1"/>
    </xf>
    <xf numFmtId="17" fontId="36" fillId="0" borderId="39" applyAlignment="1" pivotButton="0" quotePrefix="0" xfId="0">
      <alignment vertical="top" wrapText="1"/>
    </xf>
    <xf numFmtId="0" fontId="38" fillId="3" borderId="12" pivotButton="0" quotePrefix="0" xfId="0"/>
    <xf numFmtId="0" fontId="38" fillId="3" borderId="23" pivotButton="0" quotePrefix="0" xfId="0"/>
    <xf numFmtId="0" fontId="39" fillId="0" borderId="22" pivotButton="0" quotePrefix="0" xfId="0"/>
    <xf numFmtId="9" fontId="39" fillId="0" borderId="23" pivotButton="0" quotePrefix="0" xfId="0"/>
    <xf numFmtId="10" fontId="39" fillId="0" borderId="23" pivotButton="0" quotePrefix="0" xfId="0"/>
    <xf numFmtId="9" fontId="39" fillId="0" borderId="23" applyAlignment="1" pivotButton="0" quotePrefix="0" xfId="0">
      <alignment wrapText="1"/>
    </xf>
    <xf numFmtId="0" fontId="39" fillId="0" borderId="23" pivotButton="0" quotePrefix="0" xfId="0"/>
    <xf numFmtId="9" fontId="40" fillId="0" borderId="23" pivotButton="0" quotePrefix="0" xfId="0"/>
    <xf numFmtId="9" fontId="41" fillId="6" borderId="23" applyAlignment="1" pivotButton="0" quotePrefix="0" xfId="0">
      <alignment wrapText="1"/>
    </xf>
    <xf numFmtId="9" fontId="39" fillId="0" borderId="23" applyAlignment="1" pivotButton="0" quotePrefix="1" xfId="0">
      <alignment wrapText="1"/>
    </xf>
    <xf numFmtId="9" fontId="41" fillId="6" borderId="23" applyAlignment="1" pivotButton="0" quotePrefix="1" xfId="0">
      <alignment wrapText="1"/>
    </xf>
    <xf numFmtId="9" fontId="40" fillId="0" borderId="23" applyAlignment="1" pivotButton="0" quotePrefix="0" xfId="0">
      <alignment horizontal="right"/>
    </xf>
    <xf numFmtId="9" fontId="42" fillId="0" borderId="23" pivotButton="0" quotePrefix="0" xfId="0"/>
    <xf numFmtId="9" fontId="43" fillId="0" borderId="23" pivotButton="0" quotePrefix="0" xfId="0"/>
    <xf numFmtId="9" fontId="39" fillId="0" borderId="23" applyAlignment="1" pivotButton="0" quotePrefix="0" xfId="0">
      <alignment horizontal="right"/>
    </xf>
    <xf numFmtId="0" fontId="45" fillId="0" borderId="0" pivotButton="0" quotePrefix="0" xfId="0"/>
    <xf numFmtId="0" fontId="46" fillId="0" borderId="0" pivotButton="0" quotePrefix="0" xfId="5"/>
    <xf numFmtId="0" fontId="49" fillId="17" borderId="41" applyAlignment="1" pivotButton="0" quotePrefix="0" xfId="5">
      <alignment horizontal="center" vertical="center" wrapText="1"/>
    </xf>
    <xf numFmtId="0" fontId="49" fillId="18" borderId="41" applyAlignment="1" pivotButton="0" quotePrefix="0" xfId="5">
      <alignment horizontal="center" vertical="center" wrapText="1"/>
    </xf>
    <xf numFmtId="0" fontId="10" fillId="19" borderId="41" applyAlignment="1" pivotButton="0" quotePrefix="0" xfId="5">
      <alignment horizontal="left" vertical="center"/>
    </xf>
    <xf numFmtId="0" fontId="1" fillId="19" borderId="41" applyAlignment="1" pivotButton="0" quotePrefix="0" xfId="5">
      <alignment horizontal="center" vertical="center"/>
    </xf>
    <xf numFmtId="3" fontId="1" fillId="19" borderId="41" applyAlignment="1" pivotButton="0" quotePrefix="0" xfId="5">
      <alignment horizontal="center" vertical="center"/>
    </xf>
    <xf numFmtId="9" fontId="1" fillId="19" borderId="41" applyAlignment="1" pivotButton="0" quotePrefix="0" xfId="5">
      <alignment horizontal="center" vertical="center"/>
    </xf>
    <xf numFmtId="0" fontId="1" fillId="0" borderId="41" applyAlignment="1" pivotButton="0" quotePrefix="0" xfId="5">
      <alignment horizontal="left" vertical="center"/>
    </xf>
    <xf numFmtId="0" fontId="1" fillId="0" borderId="41" applyAlignment="1" pivotButton="0" quotePrefix="0" xfId="5">
      <alignment horizontal="center" vertical="center"/>
    </xf>
    <xf numFmtId="3" fontId="1" fillId="0" borderId="41" applyAlignment="1" pivotButton="0" quotePrefix="0" xfId="5">
      <alignment horizontal="center" vertical="center"/>
    </xf>
    <xf numFmtId="9" fontId="1" fillId="0" borderId="41" applyAlignment="1" pivotButton="0" quotePrefix="0" xfId="5">
      <alignment horizontal="center" vertical="center"/>
    </xf>
    <xf numFmtId="0" fontId="49" fillId="16" borderId="41" applyAlignment="1" pivotButton="0" quotePrefix="0" xfId="5">
      <alignment horizontal="center" vertical="center" wrapText="1"/>
    </xf>
    <xf numFmtId="168" fontId="51" fillId="19" borderId="41" applyAlignment="1" pivotButton="0" quotePrefix="0" xfId="5">
      <alignment horizontal="center" vertical="center"/>
    </xf>
    <xf numFmtId="168" fontId="52" fillId="19" borderId="41" applyAlignment="1" pivotButton="0" quotePrefix="0" xfId="5">
      <alignment horizontal="center" vertical="center"/>
    </xf>
    <xf numFmtId="0" fontId="10" fillId="0" borderId="41" applyAlignment="1" pivotButton="0" quotePrefix="0" xfId="5">
      <alignment horizontal="center" vertical="center"/>
    </xf>
    <xf numFmtId="167" fontId="10" fillId="0" borderId="41" applyAlignment="1" pivotButton="0" quotePrefix="0" xfId="5">
      <alignment horizontal="center" vertical="center"/>
    </xf>
    <xf numFmtId="169" fontId="51" fillId="0" borderId="41" applyAlignment="1" pivotButton="0" quotePrefix="0" xfId="5">
      <alignment horizontal="center" vertical="center"/>
    </xf>
    <xf numFmtId="0" fontId="49" fillId="17" borderId="41" applyAlignment="1" pivotButton="0" quotePrefix="0" xfId="5">
      <alignment horizontal="center" vertical="center"/>
    </xf>
    <xf numFmtId="169" fontId="52" fillId="0" borderId="41" applyAlignment="1" pivotButton="0" quotePrefix="0" xfId="5">
      <alignment horizontal="center" vertical="center"/>
    </xf>
    <xf numFmtId="0" fontId="49" fillId="18" borderId="41" applyAlignment="1" pivotButton="0" quotePrefix="0" xfId="5">
      <alignment horizontal="center" vertical="center"/>
    </xf>
    <xf numFmtId="0" fontId="49" fillId="22" borderId="41" applyAlignment="1" pivotButton="0" quotePrefix="0" xfId="5">
      <alignment horizontal="center" vertical="center"/>
    </xf>
    <xf numFmtId="168" fontId="51" fillId="0" borderId="41" applyAlignment="1" pivotButton="0" quotePrefix="0" xfId="5">
      <alignment horizontal="center" vertical="center"/>
    </xf>
    <xf numFmtId="168" fontId="52" fillId="0" borderId="41" applyAlignment="1" pivotButton="0" quotePrefix="0" xfId="5">
      <alignment horizontal="center" vertical="center"/>
    </xf>
    <xf numFmtId="49" fontId="6" fillId="5" borderId="15" applyAlignment="1" pivotButton="0" quotePrefix="0" xfId="2">
      <alignment horizontal="left" vertical="center"/>
    </xf>
    <xf numFmtId="49" fontId="6" fillId="5" borderId="16" applyAlignment="1" pivotButton="0" quotePrefix="0" xfId="2">
      <alignment horizontal="left" vertical="center"/>
    </xf>
    <xf numFmtId="0" fontId="41" fillId="0" borderId="23" pivotButton="0" quotePrefix="0" xfId="0"/>
    <xf numFmtId="0" fontId="39" fillId="6" borderId="22" pivotButton="0" quotePrefix="0" xfId="0"/>
    <xf numFmtId="0" fontId="40" fillId="6" borderId="23" pivotButton="0" quotePrefix="0" xfId="0"/>
    <xf numFmtId="9" fontId="40" fillId="6" borderId="23" pivotButton="0" quotePrefix="0" xfId="0"/>
    <xf numFmtId="0" fontId="40" fillId="6" borderId="23" applyAlignment="1" pivotButton="0" quotePrefix="0" xfId="0">
      <alignment horizontal="right"/>
    </xf>
    <xf numFmtId="9" fontId="43" fillId="6" borderId="23" pivotButton="0" quotePrefix="0" xfId="0"/>
    <xf numFmtId="0" fontId="37" fillId="0" borderId="22" pivotButton="0" quotePrefix="0" xfId="0"/>
    <xf numFmtId="9" fontId="41" fillId="0" borderId="23" pivotButton="0" quotePrefix="0" xfId="0"/>
    <xf numFmtId="9" fontId="44" fillId="0" borderId="23" pivotButton="0" quotePrefix="0" xfId="0"/>
    <xf numFmtId="0" fontId="37" fillId="0" borderId="36" pivotButton="0" quotePrefix="0" xfId="0"/>
    <xf numFmtId="0" fontId="41" fillId="0" borderId="37" pivotButton="0" quotePrefix="0" xfId="0"/>
    <xf numFmtId="9" fontId="41" fillId="0" borderId="37" pivotButton="0" quotePrefix="0" xfId="0"/>
    <xf numFmtId="9" fontId="44" fillId="0" borderId="37" pivotButton="0" quotePrefix="0" xfId="0"/>
    <xf numFmtId="0" fontId="55" fillId="0" borderId="0" pivotButton="0" quotePrefix="0" xfId="5"/>
    <xf numFmtId="0" fontId="55" fillId="0" borderId="0" applyAlignment="1" pivotButton="0" quotePrefix="0" xfId="5">
      <alignment horizontal="center"/>
    </xf>
    <xf numFmtId="0" fontId="54" fillId="24" borderId="0" applyAlignment="1" pivotButton="0" quotePrefix="0" xfId="5">
      <alignment horizontal="center"/>
    </xf>
    <xf numFmtId="0" fontId="12" fillId="0" borderId="0" pivotButton="0" quotePrefix="0" xfId="5"/>
    <xf numFmtId="0" fontId="1" fillId="25" borderId="0" pivotButton="0" quotePrefix="0" xfId="5"/>
    <xf numFmtId="0" fontId="1" fillId="0" borderId="0" pivotButton="0" quotePrefix="0" xfId="5"/>
    <xf numFmtId="0" fontId="10" fillId="0" borderId="0" pivotButton="0" quotePrefix="0" xfId="5"/>
    <xf numFmtId="0" fontId="1" fillId="26" borderId="0" pivotButton="0" quotePrefix="0" xfId="5"/>
    <xf numFmtId="0" fontId="1" fillId="27" borderId="0" pivotButton="0" quotePrefix="0" xfId="5"/>
    <xf numFmtId="0" fontId="58" fillId="0" borderId="0" pivotButton="0" quotePrefix="0" xfId="5"/>
    <xf numFmtId="0" fontId="59" fillId="0" borderId="0" pivotButton="0" quotePrefix="0" xfId="5"/>
    <xf numFmtId="0" fontId="1" fillId="0" borderId="23" applyAlignment="1" pivotButton="0" quotePrefix="0" xfId="0">
      <alignment vertical="top" wrapText="1"/>
    </xf>
    <xf numFmtId="0" fontId="1" fillId="0" borderId="23" pivotButton="0" quotePrefix="0" xfId="0"/>
    <xf numFmtId="167" fontId="1" fillId="0" borderId="23" pivotButton="0" quotePrefix="0" xfId="0"/>
    <xf numFmtId="0" fontId="1" fillId="0" borderId="23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9" fontId="60" fillId="0" borderId="23" pivotButton="0" quotePrefix="0" xfId="0"/>
    <xf numFmtId="166" fontId="63" fillId="0" borderId="23" applyAlignment="1" pivotButton="0" quotePrefix="0" xfId="0">
      <alignment horizontal="center" vertical="center"/>
    </xf>
    <xf numFmtId="0" fontId="65" fillId="0" borderId="0" pivotButton="0" quotePrefix="0" xfId="4"/>
    <xf numFmtId="0" fontId="66" fillId="0" borderId="0" pivotButton="0" quotePrefix="0" xfId="4"/>
    <xf numFmtId="0" fontId="65" fillId="0" borderId="42" pivotButton="0" quotePrefix="0" xfId="4"/>
    <xf numFmtId="0" fontId="67" fillId="0" borderId="0" pivotButton="0" quotePrefix="0" xfId="4"/>
    <xf numFmtId="0" fontId="68" fillId="0" borderId="0" pivotButton="0" quotePrefix="0" xfId="4"/>
    <xf numFmtId="0" fontId="69" fillId="0" borderId="0" pivotButton="0" quotePrefix="0" xfId="4"/>
    <xf numFmtId="0" fontId="29" fillId="30" borderId="42" pivotButton="0" quotePrefix="0" xfId="4"/>
    <xf numFmtId="0" fontId="68" fillId="0" borderId="42" pivotButton="0" quotePrefix="0" xfId="4"/>
    <xf numFmtId="0" fontId="70" fillId="0" borderId="0" pivotButton="0" quotePrefix="0" xfId="4"/>
    <xf numFmtId="0" fontId="29" fillId="31" borderId="42" pivotButton="0" quotePrefix="0" xfId="4"/>
    <xf numFmtId="9" fontId="6" fillId="4" borderId="19" applyAlignment="1" pivotButton="0" quotePrefix="0" xfId="2">
      <alignment horizontal="center" vertical="center"/>
    </xf>
    <xf numFmtId="0" fontId="1" fillId="0" borderId="19" pivotButton="0" quotePrefix="0" xfId="0"/>
    <xf numFmtId="0" fontId="1" fillId="0" borderId="16" pivotButton="0" quotePrefix="0" xfId="0"/>
    <xf numFmtId="0" fontId="1" fillId="0" borderId="18" pivotButton="0" quotePrefix="0" xfId="0"/>
    <xf numFmtId="10" fontId="1" fillId="0" borderId="23" pivotButton="0" quotePrefix="0" xfId="0"/>
    <xf numFmtId="0" fontId="71" fillId="0" borderId="43" applyAlignment="1" pivotButton="0" quotePrefix="0" xfId="0">
      <alignment horizontal="center"/>
    </xf>
    <xf numFmtId="9" fontId="71" fillId="0" borderId="43" applyAlignment="1" pivotButton="0" quotePrefix="0" xfId="0">
      <alignment horizontal="center"/>
    </xf>
    <xf numFmtId="9" fontId="71" fillId="0" borderId="44" applyAlignment="1" pivotButton="0" quotePrefix="0" xfId="0">
      <alignment horizontal="center"/>
    </xf>
    <xf numFmtId="0" fontId="46" fillId="0" borderId="0" applyAlignment="1" pivotButton="0" quotePrefix="0" xfId="5">
      <alignment horizontal="center"/>
    </xf>
    <xf numFmtId="170" fontId="72" fillId="32" borderId="14" applyAlignment="1" pivotButton="0" quotePrefix="0" xfId="0">
      <alignment horizontal="center" vertical="center"/>
    </xf>
    <xf numFmtId="170" fontId="73" fillId="32" borderId="14" applyAlignment="1" pivotButton="0" quotePrefix="0" xfId="0">
      <alignment horizontal="center" vertical="center"/>
    </xf>
    <xf numFmtId="170" fontId="73" fillId="32" borderId="14" applyAlignment="1" pivotButton="0" quotePrefix="0" xfId="0">
      <alignment horizontal="center" vertical="center" wrapText="1"/>
    </xf>
    <xf numFmtId="0" fontId="74" fillId="32" borderId="1" applyAlignment="1" pivotButton="0" quotePrefix="0" xfId="0">
      <alignment horizontal="center" vertical="center"/>
    </xf>
    <xf numFmtId="0" fontId="74" fillId="32" borderId="23" applyAlignment="1" pivotButton="0" quotePrefix="0" xfId="0">
      <alignment horizontal="center" vertical="center"/>
    </xf>
    <xf numFmtId="170" fontId="74" fillId="32" borderId="23" applyAlignment="1" pivotButton="0" quotePrefix="0" xfId="0">
      <alignment horizontal="center" vertical="center"/>
    </xf>
    <xf numFmtId="170" fontId="74" fillId="32" borderId="45" applyAlignment="1" pivotButton="0" quotePrefix="0" xfId="0">
      <alignment horizontal="center" vertical="center"/>
    </xf>
    <xf numFmtId="170" fontId="74" fillId="32" borderId="46" applyAlignment="1" pivotButton="0" quotePrefix="0" xfId="0">
      <alignment horizontal="center" vertical="center"/>
    </xf>
    <xf numFmtId="1" fontId="75" fillId="33" borderId="23" applyAlignment="1" pivotButton="0" quotePrefix="0" xfId="0">
      <alignment horizontal="center" vertical="center"/>
    </xf>
    <xf numFmtId="170" fontId="76" fillId="33" borderId="23" applyAlignment="1" pivotButton="0" quotePrefix="0" xfId="0">
      <alignment vertical="center"/>
    </xf>
    <xf numFmtId="9" fontId="0" fillId="0" borderId="23" pivotButton="0" quotePrefix="0" xfId="0"/>
    <xf numFmtId="10" fontId="76" fillId="33" borderId="23" applyAlignment="1" pivotButton="0" quotePrefix="0" xfId="0">
      <alignment vertical="center"/>
    </xf>
    <xf numFmtId="170" fontId="76" fillId="33" borderId="23" pivotButton="0" quotePrefix="0" xfId="0"/>
    <xf numFmtId="0" fontId="77" fillId="0" borderId="23" applyAlignment="1" pivotButton="0" quotePrefix="0" xfId="0">
      <alignment vertical="top" wrapText="1"/>
    </xf>
    <xf numFmtId="0" fontId="77" fillId="0" borderId="23" pivotButton="0" quotePrefix="0" xfId="0"/>
    <xf numFmtId="167" fontId="77" fillId="0" borderId="23" pivotButton="0" quotePrefix="0" xfId="0"/>
    <xf numFmtId="9" fontId="76" fillId="0" borderId="24" applyAlignment="1" pivotButton="0" quotePrefix="0" xfId="0">
      <alignment horizontal="center" vertical="center"/>
    </xf>
    <xf numFmtId="0" fontId="77" fillId="0" borderId="19" pivotButton="0" quotePrefix="0" xfId="0"/>
    <xf numFmtId="0" fontId="77" fillId="0" borderId="16" pivotButton="0" quotePrefix="0" xfId="0"/>
    <xf numFmtId="0" fontId="77" fillId="0" borderId="18" pivotButton="0" quotePrefix="0" xfId="0"/>
    <xf numFmtId="3" fontId="0" fillId="0" borderId="47" applyAlignment="1" pivotButton="0" quotePrefix="0" xfId="0">
      <alignment horizontal="center"/>
    </xf>
    <xf numFmtId="171" fontId="0" fillId="0" borderId="47" applyAlignment="1" pivotButton="0" quotePrefix="0" xfId="0">
      <alignment horizontal="center"/>
    </xf>
    <xf numFmtId="171" fontId="0" fillId="0" borderId="48" applyAlignment="1" pivotButton="0" quotePrefix="0" xfId="0">
      <alignment horizontal="center"/>
    </xf>
    <xf numFmtId="9" fontId="76" fillId="33" borderId="23" applyAlignment="1" pivotButton="0" quotePrefix="0" xfId="0">
      <alignment vertical="center"/>
    </xf>
    <xf numFmtId="9" fontId="76" fillId="33" borderId="23" pivotButton="0" quotePrefix="0" xfId="0"/>
    <xf numFmtId="10" fontId="77" fillId="0" borderId="23" pivotButton="0" quotePrefix="0" xfId="0"/>
    <xf numFmtId="9" fontId="6" fillId="0" borderId="24" applyAlignment="1" pivotButton="0" quotePrefix="0" xfId="1">
      <alignment horizontal="right" vertical="center"/>
    </xf>
    <xf numFmtId="167" fontId="0" fillId="0" borderId="0" pivotButton="0" quotePrefix="0" xfId="0"/>
    <xf numFmtId="170" fontId="76" fillId="33" borderId="19" applyAlignment="1" pivotButton="0" quotePrefix="0" xfId="0">
      <alignment horizontal="left" vertical="center"/>
    </xf>
    <xf numFmtId="170" fontId="76" fillId="33" borderId="16" applyAlignment="1" pivotButton="0" quotePrefix="0" xfId="0">
      <alignment horizontal="left" vertical="center"/>
    </xf>
    <xf numFmtId="170" fontId="76" fillId="33" borderId="18" applyAlignment="1" pivotButton="0" quotePrefix="0" xfId="0">
      <alignment horizontal="left" vertical="center"/>
    </xf>
    <xf numFmtId="0" fontId="78" fillId="8" borderId="0" pivotButton="0" quotePrefix="0" xfId="4"/>
    <xf numFmtId="0" fontId="26" fillId="8" borderId="0" pivotButton="0" quotePrefix="0" xfId="4"/>
    <xf numFmtId="0" fontId="81" fillId="8" borderId="0" applyAlignment="1" pivotButton="0" quotePrefix="0" xfId="4">
      <alignment horizontal="center" vertical="center"/>
    </xf>
    <xf numFmtId="0" fontId="80" fillId="8" borderId="0" applyAlignment="1" pivotButton="0" quotePrefix="0" xfId="4">
      <alignment horizontal="center" vertical="center"/>
    </xf>
    <xf numFmtId="0" fontId="82" fillId="8" borderId="0" applyAlignment="1" pivotButton="0" quotePrefix="0" xfId="4">
      <alignment horizontal="center" vertical="center" wrapText="1"/>
    </xf>
    <xf numFmtId="0" fontId="83" fillId="8" borderId="0" applyAlignment="1" pivotButton="0" quotePrefix="0" xfId="4">
      <alignment horizontal="left" vertical="top"/>
    </xf>
    <xf numFmtId="0" fontId="84" fillId="8" borderId="49" applyAlignment="1" applyProtection="1" pivotButton="0" quotePrefix="0" xfId="4">
      <alignment horizontal="left" vertical="center"/>
      <protection locked="0" hidden="0"/>
    </xf>
    <xf numFmtId="0" fontId="84" fillId="8" borderId="52" applyAlignment="1" applyProtection="1" pivotButton="0" quotePrefix="0" xfId="4">
      <alignment horizontal="center" vertical="center"/>
      <protection locked="0" hidden="0"/>
    </xf>
    <xf numFmtId="0" fontId="84" fillId="8" borderId="54" applyAlignment="1" applyProtection="1" pivotButton="0" quotePrefix="0" xfId="4">
      <alignment horizontal="left" vertical="center"/>
      <protection locked="0" hidden="0"/>
    </xf>
    <xf numFmtId="0" fontId="83" fillId="8" borderId="0" applyAlignment="1" pivotButton="0" quotePrefix="0" xfId="4">
      <alignment horizontal="left"/>
    </xf>
    <xf numFmtId="0" fontId="84" fillId="8" borderId="52" applyAlignment="1" applyProtection="1" pivotButton="0" quotePrefix="0" xfId="4">
      <alignment vertical="center"/>
      <protection locked="0" hidden="0"/>
    </xf>
    <xf numFmtId="0" fontId="83" fillId="8" borderId="0" applyAlignment="1" pivotButton="0" quotePrefix="0" xfId="4">
      <alignment vertical="top"/>
    </xf>
    <xf numFmtId="0" fontId="84" fillId="8" borderId="0" applyAlignment="1" pivotButton="0" quotePrefix="0" xfId="4">
      <alignment horizontal="left" vertical="center"/>
    </xf>
    <xf numFmtId="0" fontId="84" fillId="8" borderId="0" applyAlignment="1" pivotButton="0" quotePrefix="0" xfId="4">
      <alignment horizontal="center" vertical="center"/>
    </xf>
    <xf numFmtId="0" fontId="84" fillId="8" borderId="0" applyAlignment="1" pivotButton="0" quotePrefix="0" xfId="4">
      <alignment vertical="center"/>
    </xf>
    <xf numFmtId="0" fontId="85" fillId="8" borderId="0" applyAlignment="1" pivotButton="0" quotePrefix="0" xfId="4">
      <alignment horizontal="left" vertical="center"/>
    </xf>
    <xf numFmtId="49" fontId="1" fillId="0" borderId="23" applyAlignment="1" pivotButton="0" quotePrefix="0" xfId="4">
      <alignment horizontal="left" vertical="top" wrapText="1"/>
    </xf>
    <xf numFmtId="0" fontId="26" fillId="5" borderId="0" applyAlignment="1" pivotButton="0" quotePrefix="0" xfId="4">
      <alignment horizontal="left" vertical="top"/>
    </xf>
    <xf numFmtId="170" fontId="76" fillId="33" borderId="2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9" fontId="90" fillId="0" borderId="24" applyAlignment="1" pivotButton="0" quotePrefix="0" xfId="0">
      <alignment horizontal="center" vertical="center"/>
    </xf>
    <xf numFmtId="9" fontId="6" fillId="5" borderId="0" applyAlignment="1" pivotButton="0" quotePrefix="0" xfId="1">
      <alignment horizontal="center" vertical="center"/>
    </xf>
    <xf numFmtId="9" fontId="91" fillId="33" borderId="23" applyAlignment="1" pivotButton="0" quotePrefix="0" xfId="1">
      <alignment vertical="center"/>
    </xf>
    <xf numFmtId="2" fontId="4" fillId="5" borderId="20" applyAlignment="1" pivotButton="0" quotePrefix="0" xfId="2">
      <alignment horizontal="center" vertical="center"/>
    </xf>
    <xf numFmtId="1" fontId="3" fillId="5" borderId="20" applyAlignment="1" pivotButton="0" quotePrefix="0" xfId="2">
      <alignment horizontal="center" vertical="center"/>
    </xf>
    <xf numFmtId="1" fontId="3" fillId="8" borderId="20" applyAlignment="1" pivotButton="0" quotePrefix="0" xfId="2">
      <alignment horizontal="center" vertical="center"/>
    </xf>
    <xf numFmtId="2" fontId="4" fillId="36" borderId="20" applyAlignment="1" pivotButton="0" quotePrefix="0" xfId="0">
      <alignment horizontal="center" vertical="center"/>
    </xf>
    <xf numFmtId="0" fontId="1" fillId="28" borderId="19" pivotButton="0" quotePrefix="0" xfId="0"/>
    <xf numFmtId="0" fontId="1" fillId="28" borderId="16" pivotButton="0" quotePrefix="0" xfId="0"/>
    <xf numFmtId="0" fontId="1" fillId="28" borderId="18" pivotButton="0" quotePrefix="0" xfId="0"/>
    <xf numFmtId="0" fontId="0" fillId="0" borderId="23" pivotButton="0" quotePrefix="0" xfId="0"/>
    <xf numFmtId="0" fontId="0" fillId="0" borderId="23" applyAlignment="1" pivotButton="0" quotePrefix="0" xfId="0">
      <alignment wrapText="1"/>
    </xf>
    <xf numFmtId="167" fontId="1" fillId="0" borderId="23" applyAlignment="1" pivotButton="0" quotePrefix="0" xfId="0">
      <alignment horizontal="right"/>
    </xf>
    <xf numFmtId="9" fontId="6" fillId="0" borderId="24" applyAlignment="1" pivotButton="0" quotePrefix="0" xfId="1">
      <alignment horizontal="right" vertical="center"/>
    </xf>
    <xf numFmtId="0" fontId="0" fillId="6" borderId="0" pivotButton="0" quotePrefix="0" xfId="0"/>
    <xf numFmtId="0" fontId="0" fillId="37" borderId="0" pivotButton="0" quotePrefix="0" xfId="0"/>
    <xf numFmtId="0" fontId="92" fillId="0" borderId="0" pivotButton="0" quotePrefix="0" xfId="0"/>
    <xf numFmtId="0" fontId="0" fillId="38" borderId="0" pivotButton="0" quotePrefix="0" xfId="0"/>
    <xf numFmtId="0" fontId="1" fillId="0" borderId="23" applyAlignment="1" pivotButton="0" quotePrefix="0" xfId="0">
      <alignment horizontal="center" vertical="center" wrapText="1"/>
    </xf>
    <xf numFmtId="0" fontId="26" fillId="8" borderId="23" pivotButton="0" quotePrefix="0" xfId="4"/>
    <xf numFmtId="0" fontId="86" fillId="34" borderId="23" applyAlignment="1" pivotButton="0" quotePrefix="0" xfId="4">
      <alignment horizontal="center" vertical="center" wrapText="1"/>
    </xf>
    <xf numFmtId="0" fontId="86" fillId="34" borderId="23" applyAlignment="1" pivotButton="0" quotePrefix="0" xfId="4">
      <alignment horizontal="center" vertical="center"/>
    </xf>
    <xf numFmtId="0" fontId="87" fillId="35" borderId="23" applyAlignment="1" pivotButton="0" quotePrefix="0" xfId="4">
      <alignment horizontal="center" vertical="center" wrapText="1"/>
    </xf>
    <xf numFmtId="0" fontId="26" fillId="5" borderId="23" applyAlignment="1" pivotButton="0" quotePrefix="0" xfId="4">
      <alignment horizontal="left" vertical="top" wrapText="1"/>
    </xf>
    <xf numFmtId="49" fontId="4" fillId="0" borderId="23" applyAlignment="1" pivotButton="0" quotePrefix="0" xfId="4">
      <alignment horizontal="left" vertical="top" wrapText="1"/>
    </xf>
    <xf numFmtId="0" fontId="89" fillId="5" borderId="23" applyAlignment="1" pivotButton="0" quotePrefix="0" xfId="4">
      <alignment horizontal="left" vertical="top" wrapText="1"/>
    </xf>
    <xf numFmtId="0" fontId="26" fillId="8" borderId="23" applyAlignment="1" pivotButton="0" quotePrefix="0" xfId="4">
      <alignment vertical="top" wrapText="1"/>
    </xf>
    <xf numFmtId="0" fontId="1" fillId="0" borderId="23" applyAlignment="1" pivotButton="0" quotePrefix="0" xfId="0">
      <alignment horizontal="center" vertical="top" wrapText="1"/>
    </xf>
    <xf numFmtId="170" fontId="76" fillId="33" borderId="23" applyAlignment="1" pivotButton="0" quotePrefix="0" xfId="0">
      <alignment horizontal="left" vertical="center"/>
    </xf>
    <xf numFmtId="0" fontId="35" fillId="0" borderId="0" pivotButton="0" quotePrefix="0" xfId="0"/>
    <xf numFmtId="0" fontId="29" fillId="39" borderId="55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55" applyAlignment="1" pivotButton="0" quotePrefix="0" xfId="0">
      <alignment horizontal="left" vertical="center"/>
    </xf>
    <xf numFmtId="3" fontId="36" fillId="0" borderId="55" applyAlignment="1" pivotButton="0" quotePrefix="0" xfId="0">
      <alignment horizontal="center" vertical="center"/>
    </xf>
    <xf numFmtId="167" fontId="36" fillId="40" borderId="55" applyAlignment="1" pivotButton="0" quotePrefix="0" xfId="0">
      <alignment horizontal="center" vertical="center"/>
    </xf>
    <xf numFmtId="167" fontId="36" fillId="0" borderId="55" applyAlignment="1" pivotButton="0" quotePrefix="0" xfId="0">
      <alignment horizontal="center" vertical="center"/>
    </xf>
    <xf numFmtId="0" fontId="93" fillId="40" borderId="55" applyAlignment="1" pivotButton="0" quotePrefix="0" xfId="0">
      <alignment horizontal="center" vertical="center"/>
    </xf>
    <xf numFmtId="0" fontId="93" fillId="41" borderId="55" applyAlignment="1" pivotButton="0" quotePrefix="0" xfId="0">
      <alignment horizontal="center" vertical="center"/>
    </xf>
    <xf numFmtId="167" fontId="36" fillId="42" borderId="55" applyAlignment="1" pivotButton="0" quotePrefix="0" xfId="0">
      <alignment horizontal="center" vertical="center"/>
    </xf>
    <xf numFmtId="167" fontId="36" fillId="43" borderId="55" applyAlignment="1" pivotButton="0" quotePrefix="0" xfId="0">
      <alignment horizontal="center" vertical="center"/>
    </xf>
    <xf numFmtId="0" fontId="93" fillId="43" borderId="55" applyAlignment="1" pivotButton="0" quotePrefix="0" xfId="0">
      <alignment horizontal="center" vertical="center"/>
    </xf>
    <xf numFmtId="0" fontId="93" fillId="42" borderId="55" applyAlignment="1" pivotButton="0" quotePrefix="0" xfId="0">
      <alignment horizontal="center" vertical="center"/>
    </xf>
    <xf numFmtId="0" fontId="0" fillId="44" borderId="0" pivotButton="0" quotePrefix="0" xfId="0"/>
    <xf numFmtId="0" fontId="92" fillId="44" borderId="0" pivotButton="0" quotePrefix="0" xfId="0"/>
    <xf numFmtId="171" fontId="1" fillId="19" borderId="41" applyAlignment="1" pivotButton="0" quotePrefix="0" xfId="5">
      <alignment horizontal="center" vertical="center"/>
    </xf>
    <xf numFmtId="3" fontId="46" fillId="0" borderId="0" pivotButton="0" quotePrefix="0" xfId="5"/>
    <xf numFmtId="3" fontId="94" fillId="0" borderId="0" pivotButton="0" quotePrefix="0" xfId="5"/>
    <xf numFmtId="9" fontId="13" fillId="0" borderId="18" applyAlignment="1" pivotButton="0" quotePrefix="0" xfId="1">
      <alignment horizontal="center" vertical="center"/>
    </xf>
    <xf numFmtId="9" fontId="95" fillId="0" borderId="0" pivotButton="0" quotePrefix="0" xfId="1"/>
    <xf numFmtId="9" fontId="96" fillId="0" borderId="0" pivotButton="0" quotePrefix="0" xfId="1"/>
    <xf numFmtId="164" fontId="97" fillId="4" borderId="12" applyAlignment="1" pivotButton="0" quotePrefix="0" xfId="2">
      <alignment horizontal="center" vertical="center"/>
    </xf>
    <xf numFmtId="0" fontId="10" fillId="45" borderId="23" applyAlignment="1" pivotButton="0" quotePrefix="0" xfId="2">
      <alignment horizontal="center" vertical="center"/>
    </xf>
    <xf numFmtId="0" fontId="1" fillId="6" borderId="23" applyAlignment="1" pivotButton="0" quotePrefix="0" xfId="0">
      <alignment vertical="top" wrapText="1"/>
    </xf>
    <xf numFmtId="0" fontId="1" fillId="6" borderId="23" applyAlignment="1" pivotButton="0" quotePrefix="0" xfId="0">
      <alignment horizontal="center" vertical="center" wrapText="1"/>
    </xf>
    <xf numFmtId="0" fontId="1" fillId="6" borderId="23" pivotButton="0" quotePrefix="0" xfId="0"/>
    <xf numFmtId="1" fontId="14" fillId="6" borderId="23" applyAlignment="1" pivotButton="0" quotePrefix="1" xfId="2">
      <alignment horizontal="center" vertical="center"/>
    </xf>
    <xf numFmtId="1" fontId="14" fillId="45" borderId="23" applyAlignment="1" pivotButton="0" quotePrefix="1" xfId="2">
      <alignment horizontal="center" vertical="center"/>
    </xf>
    <xf numFmtId="1" fontId="14" fillId="45" borderId="23" applyAlignment="1" pivotButton="0" quotePrefix="0" xfId="2">
      <alignment horizontal="center" vertical="center"/>
    </xf>
    <xf numFmtId="9" fontId="60" fillId="6" borderId="23" pivotButton="0" quotePrefix="0" xfId="0"/>
    <xf numFmtId="0" fontId="15" fillId="6" borderId="23" applyAlignment="1" pivotButton="0" quotePrefix="1" xfId="2">
      <alignment horizontal="center" vertical="center"/>
    </xf>
    <xf numFmtId="0" fontId="1" fillId="6" borderId="23" applyAlignment="1" pivotButton="0" quotePrefix="0" xfId="0">
      <alignment horizontal="center" vertical="center"/>
    </xf>
    <xf numFmtId="170" fontId="76" fillId="33" borderId="19" applyAlignment="1" pivotButton="0" quotePrefix="0" xfId="0">
      <alignment horizontal="left" vertical="center"/>
    </xf>
    <xf numFmtId="170" fontId="76" fillId="33" borderId="16" applyAlignment="1" pivotButton="0" quotePrefix="0" xfId="0">
      <alignment horizontal="left" vertical="center"/>
    </xf>
    <xf numFmtId="170" fontId="76" fillId="33" borderId="18" applyAlignment="1" pivotButton="0" quotePrefix="0" xfId="0">
      <alignment horizontal="left" vertical="center"/>
    </xf>
    <xf numFmtId="164" fontId="6" fillId="2" borderId="0" pivotButton="0" quotePrefix="0" xfId="2"/>
    <xf numFmtId="0" fontId="0" fillId="0" borderId="0" pivotButton="0" quotePrefix="0" xfId="0"/>
    <xf numFmtId="164" fontId="13" fillId="4" borderId="12" applyAlignment="1" pivotButton="0" quotePrefix="0" xfId="2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64" fontId="13" fillId="4" borderId="12" applyAlignment="1" pivotButton="0" quotePrefix="0" xfId="2">
      <alignment vertical="center"/>
    </xf>
    <xf numFmtId="0" fontId="3" fillId="0" borderId="23" applyAlignment="1" pivotButton="0" quotePrefix="0" xfId="0">
      <alignment vertical="center"/>
    </xf>
    <xf numFmtId="0" fontId="1" fillId="28" borderId="23" pivotButton="0" quotePrefix="0" xfId="0"/>
    <xf numFmtId="0" fontId="1" fillId="28" borderId="19" pivotButton="0" quotePrefix="0" xfId="0"/>
    <xf numFmtId="0" fontId="1" fillId="28" borderId="16" pivotButton="0" quotePrefix="0" xfId="0"/>
    <xf numFmtId="0" fontId="1" fillId="28" borderId="18" pivotButton="0" quotePrefix="0" xfId="0"/>
    <xf numFmtId="0" fontId="1" fillId="46" borderId="23" pivotButton="0" quotePrefix="0" xfId="0"/>
    <xf numFmtId="164" fontId="12" fillId="4" borderId="12" applyAlignment="1" pivotButton="0" quotePrefix="0" xfId="2">
      <alignment horizontal="center" vertical="center"/>
    </xf>
    <xf numFmtId="164" fontId="12" fillId="4" borderId="23" applyAlignment="1" pivotButton="0" quotePrefix="0" xfId="2">
      <alignment horizontal="center" vertical="center"/>
    </xf>
    <xf numFmtId="164" fontId="12" fillId="4" borderId="34" applyAlignment="1" pivotButton="0" quotePrefix="0" xfId="2">
      <alignment horizontal="center" vertical="center"/>
    </xf>
    <xf numFmtId="164" fontId="12" fillId="4" borderId="35" applyAlignment="1" pivotButton="0" quotePrefix="0" xfId="2">
      <alignment horizontal="center" vertical="center"/>
    </xf>
    <xf numFmtId="0" fontId="1" fillId="0" borderId="23" pivotButton="0" quotePrefix="0" xfId="0"/>
    <xf numFmtId="49" fontId="1" fillId="0" borderId="15" applyAlignment="1" pivotButton="0" quotePrefix="0" xfId="2">
      <alignment horizontal="center" vertical="center"/>
    </xf>
    <xf numFmtId="49" fontId="1" fillId="0" borderId="16" applyAlignment="1" pivotButton="0" quotePrefix="0" xfId="2">
      <alignment horizontal="center" vertical="center"/>
    </xf>
    <xf numFmtId="49" fontId="1" fillId="0" borderId="32" applyAlignment="1" pivotButton="0" quotePrefix="0" xfId="2">
      <alignment horizontal="center" vertical="center"/>
    </xf>
    <xf numFmtId="164" fontId="6" fillId="2" borderId="0" applyAlignment="1" pivotButton="0" quotePrefix="0" xfId="2">
      <alignment horizontal="left" vertical="center" wrapText="1"/>
    </xf>
    <xf numFmtId="164" fontId="2" fillId="3" borderId="1" applyAlignment="1" pivotButton="0" quotePrefix="0" xfId="2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49" fontId="6" fillId="2" borderId="1" applyAlignment="1" pivotButton="0" quotePrefix="0" xfId="2">
      <alignment vertical="center"/>
    </xf>
    <xf numFmtId="49" fontId="6" fillId="2" borderId="2" applyAlignment="1" pivotButton="0" quotePrefix="0" xfId="2">
      <alignment vertical="center"/>
    </xf>
    <xf numFmtId="164" fontId="9" fillId="4" borderId="8" applyAlignment="1" pivotButton="0" quotePrefix="0" xfId="2">
      <alignment horizontal="left" vertical="center"/>
    </xf>
    <xf numFmtId="164" fontId="9" fillId="4" borderId="9" applyAlignment="1" pivotButton="0" quotePrefix="0" xfId="2">
      <alignment horizontal="left" vertical="center"/>
    </xf>
    <xf numFmtId="49" fontId="6" fillId="5" borderId="15" applyAlignment="1" pivotButton="0" quotePrefix="0" xfId="2">
      <alignment horizontal="left" vertical="center"/>
    </xf>
    <xf numFmtId="49" fontId="6" fillId="5" borderId="16" applyAlignment="1" pivotButton="0" quotePrefix="0" xfId="2">
      <alignment horizontal="left" vertical="center"/>
    </xf>
    <xf numFmtId="164" fontId="7" fillId="4" borderId="33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/>
    </xf>
    <xf numFmtId="164" fontId="7" fillId="4" borderId="12" applyAlignment="1" pivotButton="0" quotePrefix="0" xfId="2">
      <alignment horizontal="center" vertical="center"/>
    </xf>
    <xf numFmtId="164" fontId="7" fillId="4" borderId="23" applyAlignment="1" pivotButton="0" quotePrefix="0" xfId="2">
      <alignment horizontal="center" vertical="center"/>
    </xf>
    <xf numFmtId="164" fontId="11" fillId="4" borderId="12" applyAlignment="1" pivotButton="0" quotePrefix="0" xfId="2">
      <alignment horizontal="center" vertical="center" wrapText="1"/>
    </xf>
    <xf numFmtId="164" fontId="11" fillId="4" borderId="23" applyAlignment="1" pivotButton="0" quotePrefix="0" xfId="2">
      <alignment horizontal="center" vertical="center" wrapText="1"/>
    </xf>
    <xf numFmtId="164" fontId="11" fillId="4" borderId="23" applyAlignment="1" pivotButton="0" quotePrefix="0" xfId="2">
      <alignment horizontal="center" vertical="center"/>
    </xf>
    <xf numFmtId="49" fontId="1" fillId="5" borderId="22" applyAlignment="1" pivotButton="0" quotePrefix="0" xfId="2">
      <alignment horizontal="left" vertical="center"/>
    </xf>
    <xf numFmtId="49" fontId="1" fillId="5" borderId="23" applyAlignment="1" pivotButton="0" quotePrefix="0" xfId="2">
      <alignment horizontal="left" vertical="center"/>
    </xf>
    <xf numFmtId="49" fontId="1" fillId="5" borderId="19" applyAlignment="1" pivotButton="0" quotePrefix="0" xfId="2">
      <alignment horizontal="left" vertical="center"/>
    </xf>
    <xf numFmtId="49" fontId="6" fillId="7" borderId="26" applyAlignment="1" pivotButton="0" quotePrefix="0" xfId="2">
      <alignment horizontal="left" vertical="center"/>
    </xf>
    <xf numFmtId="49" fontId="6" fillId="7" borderId="25" applyAlignment="1" pivotButton="0" quotePrefix="0" xfId="2">
      <alignment horizontal="left" vertical="center"/>
    </xf>
    <xf numFmtId="49" fontId="6" fillId="7" borderId="27" applyAlignment="1" pivotButton="0" quotePrefix="0" xfId="2">
      <alignment horizontal="left" vertical="center"/>
    </xf>
    <xf numFmtId="170" fontId="72" fillId="32" borderId="1" applyAlignment="1" pivotButton="0" quotePrefix="0" xfId="0">
      <alignment horizontal="center" vertical="center"/>
    </xf>
    <xf numFmtId="0" fontId="0" fillId="0" borderId="2" pivotButton="0" quotePrefix="0" xfId="0"/>
    <xf numFmtId="0" fontId="49" fillId="16" borderId="41" applyAlignment="1" pivotButton="0" quotePrefix="0" xfId="5">
      <alignment horizontal="center" vertical="center"/>
    </xf>
    <xf numFmtId="0" fontId="47" fillId="0" borderId="40" applyAlignment="1" pivotButton="0" quotePrefix="0" xfId="5">
      <alignment horizontal="left" vertical="center"/>
    </xf>
    <xf numFmtId="0" fontId="48" fillId="0" borderId="40" applyAlignment="1" pivotButton="0" quotePrefix="0" xfId="5">
      <alignment horizontal="left" vertical="center"/>
    </xf>
    <xf numFmtId="0" fontId="27" fillId="0" borderId="0" pivotButton="0" quotePrefix="0" xfId="4"/>
    <xf numFmtId="0" fontId="26" fillId="0" borderId="0" pivotButton="0" quotePrefix="0" xfId="4"/>
    <xf numFmtId="0" fontId="30" fillId="0" borderId="0" pivotButton="0" quotePrefix="0" xfId="4"/>
    <xf numFmtId="0" fontId="38" fillId="3" borderId="12" pivotButton="0" quotePrefix="0" xfId="0"/>
    <xf numFmtId="0" fontId="38" fillId="3" borderId="23" pivotButton="0" quotePrefix="0" xfId="0"/>
    <xf numFmtId="0" fontId="38" fillId="3" borderId="33" pivotButton="0" quotePrefix="0" xfId="0"/>
    <xf numFmtId="0" fontId="38" fillId="3" borderId="22" pivotButton="0" quotePrefix="0" xfId="0"/>
    <xf numFmtId="0" fontId="54" fillId="0" borderId="0" pivotButton="0" quotePrefix="0" xfId="5"/>
    <xf numFmtId="0" fontId="55" fillId="0" borderId="0" pivotButton="0" quotePrefix="0" xfId="5"/>
    <xf numFmtId="0" fontId="56" fillId="23" borderId="0" pivotButton="0" quotePrefix="0" xfId="5"/>
    <xf numFmtId="0" fontId="57" fillId="24" borderId="0" pivotButton="0" quotePrefix="0" xfId="5"/>
    <xf numFmtId="0" fontId="64" fillId="39" borderId="0" applyAlignment="1" pivotButton="0" quotePrefix="0" xfId="0">
      <alignment horizontal="left" vertical="center"/>
    </xf>
    <xf numFmtId="0" fontId="64" fillId="29" borderId="0" pivotButton="0" quotePrefix="0" xfId="4"/>
    <xf numFmtId="0" fontId="50" fillId="20" borderId="40" applyAlignment="1" pivotButton="0" quotePrefix="0" xfId="5">
      <alignment horizontal="left" vertical="center"/>
    </xf>
    <xf numFmtId="0" fontId="49" fillId="18" borderId="40" applyAlignment="1" pivotButton="0" quotePrefix="0" xfId="5">
      <alignment horizontal="left" vertical="center"/>
    </xf>
    <xf numFmtId="0" fontId="49" fillId="18" borderId="41" applyAlignment="1" pivotButton="0" quotePrefix="0" xfId="5">
      <alignment horizontal="center" vertical="center"/>
    </xf>
    <xf numFmtId="0" fontId="49" fillId="21" borderId="41" applyAlignment="1" pivotButton="0" quotePrefix="0" xfId="5">
      <alignment horizontal="center" vertical="center"/>
    </xf>
    <xf numFmtId="0" fontId="84" fillId="8" borderId="0" applyAlignment="1" applyProtection="1" pivotButton="0" quotePrefix="0" xfId="4">
      <alignment horizontal="left" vertical="center"/>
      <protection locked="0" hidden="0"/>
    </xf>
    <xf numFmtId="0" fontId="80" fillId="0" borderId="0" applyAlignment="1" pivotButton="0" quotePrefix="0" xfId="4">
      <alignment horizontal="center" vertical="center"/>
    </xf>
    <xf numFmtId="0" fontId="84" fillId="8" borderId="49" applyAlignment="1" applyProtection="1" pivotButton="0" quotePrefix="0" xfId="4">
      <alignment horizontal="left" vertical="center"/>
      <protection locked="0" hidden="0"/>
    </xf>
    <xf numFmtId="0" fontId="84" fillId="8" borderId="50" applyAlignment="1" applyProtection="1" pivotButton="0" quotePrefix="0" xfId="4">
      <alignment horizontal="left" vertical="center"/>
      <protection locked="0" hidden="0"/>
    </xf>
    <xf numFmtId="0" fontId="84" fillId="8" borderId="51" applyAlignment="1" applyProtection="1" pivotButton="0" quotePrefix="0" xfId="4">
      <alignment horizontal="left" vertical="center"/>
      <protection locked="0" hidden="0"/>
    </xf>
    <xf numFmtId="0" fontId="84" fillId="8" borderId="53" applyAlignment="1" applyProtection="1" pivotButton="0" quotePrefix="0" xfId="4">
      <alignment horizontal="left" vertical="center"/>
      <protection locked="0" hidden="0"/>
    </xf>
    <xf numFmtId="172" fontId="84" fillId="8" borderId="53" applyAlignment="1" applyProtection="1" pivotButton="0" quotePrefix="0" xfId="4">
      <alignment horizontal="left" vertical="center"/>
      <protection locked="0" hidden="0"/>
    </xf>
    <xf numFmtId="0" fontId="10" fillId="34" borderId="23" applyAlignment="1" pivotButton="0" quotePrefix="0" xfId="4">
      <alignment horizontal="center" vertical="top"/>
    </xf>
    <xf numFmtId="0" fontId="87" fillId="35" borderId="23" applyAlignment="1" pivotButton="0" quotePrefix="0" xfId="4">
      <alignment horizontal="center" vertical="center"/>
    </xf>
    <xf numFmtId="0" fontId="26" fillId="5" borderId="23" applyAlignment="1" pivotButton="0" quotePrefix="0" xfId="4">
      <alignment horizontal="left" vertical="top" wrapText="1"/>
    </xf>
    <xf numFmtId="0" fontId="0" fillId="0" borderId="23" pivotButton="0" quotePrefix="0" xfId="0"/>
    <xf numFmtId="0" fontId="86" fillId="0" borderId="23" applyAlignment="1" pivotButton="0" quotePrefix="0" xfId="4">
      <alignment horizontal="center" vertical="top" wrapText="1"/>
    </xf>
    <xf numFmtId="0" fontId="26" fillId="5" borderId="19" applyAlignment="1" pivotButton="0" quotePrefix="0" xfId="4">
      <alignment horizontal="center" vertical="top" wrapText="1"/>
    </xf>
    <xf numFmtId="0" fontId="26" fillId="5" borderId="18" applyAlignment="1" pivotButton="0" quotePrefix="0" xfId="4">
      <alignment horizontal="center" vertical="top" wrapText="1"/>
    </xf>
    <xf numFmtId="0" fontId="89" fillId="5" borderId="19" applyAlignment="1" pivotButton="0" quotePrefix="0" xfId="4">
      <alignment horizontal="center" vertical="top" wrapText="1"/>
    </xf>
    <xf numFmtId="0" fontId="89" fillId="5" borderId="18" applyAlignment="1" pivotButton="0" quotePrefix="0" xfId="4">
      <alignment horizontal="center" vertical="top" wrapText="1"/>
    </xf>
    <xf numFmtId="0" fontId="89" fillId="5" borderId="23" applyAlignment="1" pivotButton="0" quotePrefix="0" xfId="4">
      <alignment horizontal="left" vertical="top" wrapText="1"/>
    </xf>
    <xf numFmtId="0" fontId="4" fillId="0" borderId="23" pivotButton="0" quotePrefix="0" xfId="0"/>
    <xf numFmtId="0" fontId="10" fillId="8" borderId="56" applyAlignment="1" pivotButton="0" quotePrefix="0" xfId="2">
      <alignment horizontal="center" vertical="center"/>
    </xf>
    <xf numFmtId="0" fontId="1" fillId="0" borderId="56" applyAlignment="1" pivotButton="0" quotePrefix="0" xfId="0">
      <alignment vertical="top" wrapText="1"/>
    </xf>
    <xf numFmtId="0" fontId="1" fillId="0" borderId="56" applyAlignment="1" pivotButton="0" quotePrefix="0" xfId="0">
      <alignment horizontal="center" vertical="center"/>
    </xf>
    <xf numFmtId="0" fontId="1" fillId="0" borderId="56" pivotButton="0" quotePrefix="0" xfId="0"/>
    <xf numFmtId="164" fontId="2" fillId="3" borderId="14" applyAlignment="1" pivotButton="0" quotePrefix="0" xfId="2">
      <alignment horizontal="center" vertical="center" wrapText="1"/>
    </xf>
    <xf numFmtId="0" fontId="0" fillId="0" borderId="3" pivotButton="0" quotePrefix="0" xfId="0"/>
    <xf numFmtId="0" fontId="0" fillId="0" borderId="57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38" pivotButton="0" quotePrefix="0" xfId="0"/>
    <xf numFmtId="0" fontId="0" fillId="0" borderId="24" pivotButton="0" quotePrefix="0" xfId="0"/>
    <xf numFmtId="49" fontId="1" fillId="0" borderId="17" applyAlignment="1" pivotButton="0" quotePrefix="0" xfId="2">
      <alignment horizontal="center" vertical="center"/>
    </xf>
    <xf numFmtId="0" fontId="0" fillId="0" borderId="32" pivotButton="0" quotePrefix="0" xfId="0"/>
    <xf numFmtId="0" fontId="0" fillId="0" borderId="62" pivotButton="0" quotePrefix="0" xfId="0"/>
    <xf numFmtId="0" fontId="0" fillId="0" borderId="59" pivotButton="0" quotePrefix="0" xfId="0"/>
    <xf numFmtId="0" fontId="0" fillId="0" borderId="61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8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50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0" pivotButton="0" quotePrefix="0" xfId="0"/>
    <xf numFmtId="0" fontId="0" fillId="0" borderId="63" pivotButton="0" quotePrefix="0" xfId="0"/>
    <xf numFmtId="0" fontId="89" fillId="5" borderId="23" applyAlignment="1" pivotButton="0" quotePrefix="0" xfId="4">
      <alignment horizontal="center" vertical="top" wrapText="1"/>
    </xf>
    <xf numFmtId="0" fontId="26" fillId="5" borderId="23" applyAlignment="1" pivotButton="0" quotePrefix="0" xfId="4">
      <alignment horizontal="center" vertical="top" wrapText="1"/>
    </xf>
  </cellXfs>
  <cellStyles count="6">
    <cellStyle name="Normal" xfId="0" builtinId="0"/>
    <cellStyle name="Per cent" xfId="1" builtinId="5"/>
    <cellStyle name="Standard 2" xfId="2"/>
    <cellStyle name="Hyperlink" xfId="3" builtinId="8"/>
    <cellStyle name="Normal 2" xfId="4"/>
    <cellStyle name="Normal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externalLink" Target="/xl/externalLinks/externalLink4.xml" Id="rId23"/><Relationship Type="http://schemas.openxmlformats.org/officeDocument/2006/relationships/externalLink" Target="/xl/externalLinks/externalLink5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815423494844591"/>
          <y val="0.1295363083045647"/>
          <w val="0.815639107540461"/>
          <h val="0.761050398979466"/>
        </manualLayout>
      </layout>
      <barChart>
        <barDir val="col"/>
        <grouping val="clustered"/>
        <varyColors val="0"/>
        <ser>
          <idx val="0"/>
          <order val="0"/>
          <tx>
            <strRef>
              <f>'PDCA Main Page'!$D$8:$F$8</f>
              <strCache>
                <ptCount val="3"/>
                <pt idx="0">
                  <v>Completeness (Critical)</v>
                </pt>
              </strCache>
            </strRef>
          </tx>
          <spPr>
            <a:ln xmlns:a="http://schemas.openxmlformats.org/drawingml/2006/main" w="0">
              <a:noFill/>
              <a:prstDash val="solid"/>
            </a:ln>
          </spPr>
          <invertIfNegative val="0"/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invertIfNegative val="0"/>
            <bubble3D val="0"/>
            <spPr>
              <a:ln xmlns:a="http://schemas.openxmlformats.org/drawingml/2006/main" w="3175">
                <a:noFill/>
                <a:prstDash val="solid"/>
              </a:ln>
            </spPr>
          </dPt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Page'!$G$8:$S$8</f>
              <numCache>
                <formatCode>0%</formatCode>
                <ptCount val="13"/>
                <pt idx="0">
                  <v>0.82</v>
                </pt>
                <pt idx="1">
                  <v>0.84</v>
                </pt>
                <pt idx="2">
                  <v>0.84</v>
                </pt>
                <pt idx="3">
                  <v>0.8276909722222222</v>
                </pt>
                <pt idx="4">
                  <v>0.8168204305388421</v>
                </pt>
                <pt idx="5">
                  <v>0.8314958486457057</v>
                </pt>
                <pt idx="6">
                  <v>0.85</v>
                </pt>
                <pt idx="7">
                  <v>0.87</v>
                </pt>
                <pt idx="8">
                  <v>0.89</v>
                </pt>
                <pt idx="9">
                  <v>0.91</v>
                </pt>
                <pt idx="10">
                  <v>0.93</v>
                </pt>
                <pt idx="11">
                  <v>0.95</v>
                </pt>
              </numCache>
            </numRef>
          </val>
        </ser>
        <ser>
          <idx val="1"/>
          <order val="1"/>
          <tx>
            <strRef>
              <f>'PDCA Main Page'!$D$9:$F$9</f>
              <strCache>
                <ptCount val="3"/>
                <pt idx="0">
                  <v>Timeliness (Critical)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Page'!$G$9:$S$9</f>
              <numCache>
                <formatCode>0%</formatCode>
                <ptCount val="13"/>
                <pt idx="0">
                  <v>0.1</v>
                </pt>
                <pt idx="1">
                  <v>0.22</v>
                </pt>
                <pt idx="2">
                  <v>0.48</v>
                </pt>
                <pt idx="3">
                  <v>0.5885334731690264</v>
                </pt>
                <pt idx="4">
                  <v>0.6012440661319365</v>
                </pt>
                <pt idx="5">
                  <v>0.6415125225077755</v>
                </pt>
                <pt idx="6">
                  <v>0.66</v>
                </pt>
                <pt idx="7">
                  <v>0.6899999999999999</v>
                </pt>
                <pt idx="8">
                  <v>0.73</v>
                </pt>
                <pt idx="9">
                  <v>0.78</v>
                </pt>
                <pt idx="10">
                  <v>0.79</v>
                </pt>
                <pt idx="11">
                  <v>0.8</v>
                </pt>
              </numCache>
            </numRef>
          </val>
        </ser>
        <ser>
          <idx val="2"/>
          <order val="2"/>
          <tx>
            <strRef>
              <f>'PDCA Main Page'!$D$10:$F$10</f>
              <strCache>
                <ptCount val="3"/>
                <pt idx="0">
                  <v>Completeness (All)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Page'!$G$10:$S$10</f>
              <numCache>
                <formatCode>0%</formatCode>
                <ptCount val="13"/>
                <pt idx="0">
                  <v>0</v>
                </pt>
                <pt idx="1">
                  <v>0</v>
                </pt>
                <pt idx="2">
                  <v>0.71</v>
                </pt>
                <pt idx="3">
                  <v>0.7481071098799631</v>
                </pt>
                <pt idx="4">
                  <v>0.7584685809404911</v>
                </pt>
                <pt idx="5">
                  <v>0.7837768018599846</v>
                </pt>
                <pt idx="6">
                  <v>0.79</v>
                </pt>
                <pt idx="7">
                  <v>0.8100000000000001</v>
                </pt>
                <pt idx="8">
                  <v>0.84</v>
                </pt>
                <pt idx="9">
                  <v>0.88</v>
                </pt>
                <pt idx="10">
                  <v>0.91</v>
                </pt>
                <pt idx="11">
                  <v>0.95</v>
                </pt>
              </numCache>
            </numRef>
          </val>
        </ser>
        <ser>
          <idx val="3"/>
          <order val="3"/>
          <tx>
            <strRef>
              <f>'PDCA Main Page'!$D$11:$F$11</f>
              <strCache>
                <ptCount val="3"/>
                <pt idx="0">
                  <v>Timeliness (All)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Page'!$G$11:$S$11</f>
              <numCache>
                <formatCode>General</formatCode>
                <ptCount val="13"/>
                <pt idx="0">
                  <v>0</v>
                </pt>
                <pt idx="1">
                  <v>0</v>
                </pt>
                <pt idx="2">
                  <formatCode>0%</formatCode>
                  <v>0.43</v>
                </pt>
                <pt idx="3">
                  <formatCode>0%</formatCode>
                  <v>0.5996050357936312</v>
                </pt>
                <pt idx="4">
                  <formatCode>0%</formatCode>
                  <v>0.6139580818610776</v>
                </pt>
                <pt idx="5">
                  <formatCode>0%</formatCode>
                  <v>0.6256866622720281</v>
                </pt>
                <pt idx="6">
                  <formatCode>0%</formatCode>
                  <v>0.64</v>
                </pt>
                <pt idx="7">
                  <formatCode>0%</formatCode>
                  <v>0.65</v>
                </pt>
                <pt idx="8">
                  <formatCode>0%</formatCode>
                  <v>0.66</v>
                </pt>
                <pt idx="9">
                  <formatCode>0%</formatCode>
                  <v>0.67</v>
                </pt>
                <pt idx="10">
                  <formatCode>0%</formatCode>
                  <v>0.68</v>
                </pt>
                <pt idx="11">
                  <formatCode>0%</formatCode>
                  <v>0.7</v>
                </pt>
              </numCache>
            </numRef>
          </val>
        </ser>
        <ser>
          <idx val="4"/>
          <order val="4"/>
          <tx>
            <strRef>
              <f>'PDCA Main Page'!$D$12:$F$12</f>
              <strCache>
                <ptCount val="3"/>
                <pt idx="0">
                  <v>ETA accuracy 2P (SC4)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Page'!$G$12:$S$12</f>
              <numCache>
                <formatCode>General</formatCode>
                <ptCount val="13"/>
                <pt idx="2">
                  <formatCode>0%</formatCode>
                  <v>0.38</v>
                </pt>
                <pt idx="3">
                  <formatCode>0%</formatCode>
                  <v>0.44</v>
                </pt>
                <pt idx="4">
                  <formatCode>0%</formatCode>
                  <v>0.62</v>
                </pt>
                <pt idx="5">
                  <formatCode>0%</formatCode>
                  <v>0.39</v>
                </pt>
                <pt idx="6">
                  <formatCode>0%</formatCode>
                  <v>0.65</v>
                </pt>
                <pt idx="7">
                  <formatCode>0%</formatCode>
                  <v>0.68</v>
                </pt>
                <pt idx="8">
                  <formatCode>0%</formatCode>
                  <v>0.7</v>
                </pt>
                <pt idx="9">
                  <formatCode>0%</formatCode>
                  <v>0.72</v>
                </pt>
                <pt idx="10">
                  <formatCode>0%</formatCode>
                  <v>0.74</v>
                </pt>
                <pt idx="11">
                  <formatCode>0%</formatCode>
                  <v>0.76</v>
                </pt>
              </numCache>
            </numRef>
          </val>
        </ser>
        <ser>
          <idx val="5"/>
          <order val="5"/>
          <tx>
            <strRef>
              <f>'PDCA Main Page'!$D$13:$F$13</f>
              <strCache>
                <ptCount val="3"/>
                <pt idx="0">
                  <v>ETA Accuracy 2D (SC4)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Page'!$G$13:$S$13</f>
              <numCache>
                <formatCode>General</formatCode>
                <ptCount val="13"/>
                <pt idx="2">
                  <formatCode>0%</formatCode>
                  <v>0.11</v>
                </pt>
                <pt idx="3">
                  <formatCode>0%</formatCode>
                  <v>0.13</v>
                </pt>
                <pt idx="4">
                  <formatCode>0%</formatCode>
                  <v>0.17</v>
                </pt>
                <pt idx="5">
                  <formatCode>0%</formatCode>
                  <v>0.17</v>
                </pt>
                <pt idx="6">
                  <formatCode>0%</formatCode>
                  <v>0.2</v>
                </pt>
                <pt idx="7">
                  <formatCode>0%</formatCode>
                  <v>0.25</v>
                </pt>
                <pt idx="8">
                  <formatCode>0%</formatCode>
                  <v>0.4</v>
                </pt>
                <pt idx="9">
                  <formatCode>0%</formatCode>
                  <v>0.5</v>
                </pt>
                <pt idx="10">
                  <formatCode>0%</formatCode>
                  <v>0.6</v>
                </pt>
                <pt idx="11">
                  <formatCode>0%</formatCode>
                  <v>0.72</v>
                </pt>
              </numCache>
            </numRef>
          </val>
        </ser>
        <ser>
          <idx val="6"/>
          <order val="6"/>
          <tx>
            <strRef>
              <f>'PDCA Main Page'!$D$14:$F$14</f>
              <strCache>
                <ptCount val="3"/>
                <pt idx="0">
                  <v>SC4 Reference Completeness (CIV or DN)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Page'!$G$14:$S$14</f>
              <numCache>
                <formatCode>General</formatCode>
                <ptCount val="13"/>
                <pt idx="0">
                  <v>0</v>
                </pt>
                <pt idx="1">
                  <v>0</v>
                </pt>
                <pt idx="2">
                  <formatCode>0%</formatCode>
                  <v>0.6899999999999999</v>
                </pt>
                <pt idx="3">
                  <formatCode>0%</formatCode>
                  <v>0.71</v>
                </pt>
                <pt idx="4">
                  <formatCode>0%</formatCode>
                  <v>0.74</v>
                </pt>
                <pt idx="5">
                  <formatCode>0%</formatCode>
                  <v>0.76</v>
                </pt>
                <pt idx="6">
                  <formatCode>0%</formatCode>
                  <v>0.78</v>
                </pt>
                <pt idx="7">
                  <formatCode>0%</formatCode>
                  <v>0.82</v>
                </pt>
                <pt idx="8">
                  <formatCode>0%</formatCode>
                  <v>0.84</v>
                </pt>
                <pt idx="9">
                  <formatCode>0%</formatCode>
                  <v>0.86</v>
                </pt>
                <pt idx="10">
                  <formatCode>0%</formatCode>
                  <v>0.9</v>
                </pt>
                <pt idx="11">
                  <formatCode>0%</formatCode>
                  <v>0.95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-1899613216"/>
        <axId val="-1899612672"/>
      </barChart>
      <lineChart>
        <grouping val="standard"/>
        <varyColors val="0"/>
        <ser>
          <idx val="7"/>
          <order val="7"/>
          <tx>
            <strRef>
              <f>'PDCA Main Page'!$D$15:$F$15</f>
              <strCache>
                <ptCount val="3"/>
                <pt idx="0">
                  <v>SC4 Reference Completeness (CIV or DN)</v>
                </pt>
              </strCache>
            </strRef>
          </tx>
          <spPr>
            <a:ln xmlns:a="http://schemas.openxmlformats.org/drawingml/2006/main" w="28575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Page'!$G$15:$S$15</f>
              <numCache>
                <formatCode>0%</formatCode>
                <ptCount val="1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1899613216"/>
        <axId val="-1899612672"/>
      </lineChart>
      <catAx>
        <axId val="-1899613216"/>
        <scaling>
          <orientation val="minMax"/>
        </scaling>
        <delete val="0"/>
        <axPos val="b"/>
        <numFmt formatCode="@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DE"/>
          </a:p>
        </txPr>
        <crossAx val="-1899612672"/>
        <crossesAt val="0"/>
        <auto val="0"/>
        <lblAlgn val="ctr"/>
        <lblOffset val="100"/>
        <noMultiLvlLbl val="0"/>
      </catAx>
      <valAx>
        <axId val="-1899612672"/>
        <scaling>
          <orientation val="minMax"/>
          <max val="1"/>
        </scaling>
        <delete val="0"/>
        <axPos val="l"/>
        <numFmt formatCode="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DE"/>
          </a:p>
        </txPr>
        <crossAx val="-1899613216"/>
        <crosses val="autoZero"/>
        <crossBetween val="between"/>
        <majorUnit val="0.1"/>
      </valAx>
    </plotArea>
    <legend>
      <legendPos val="t"/>
      <layout>
        <manualLayout>
          <xMode val="edge"/>
          <yMode val="edge"/>
          <wMode val="factor"/>
          <hMode val="factor"/>
          <x val="0.1609086488300806"/>
          <y val="0.001854124560306952"/>
          <w val="0.8269015077212999"/>
          <h val="0.1767387734566808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/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'ETA accuracy Port'!$B$18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'ETA accuracy Port'!$A$19:$A$23</f>
              <strCache>
                <ptCount val="5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ETA &lt;7d (no qualifying)</v>
                </pt>
                <pt idx="4">
                  <v>No ETA</v>
                </pt>
              </strCache>
            </strRef>
          </cat>
          <val>
            <numRef>
              <f>'ETA accuracy Port'!$B$19:$B$23</f>
              <numCache>
                <formatCode>General</formatCode>
                <ptCount val="5"/>
                <pt idx="0">
                  <v>19</v>
                </pt>
                <pt idx="1">
                  <v>39</v>
                </pt>
                <pt idx="2">
                  <v>7</v>
                </pt>
                <pt idx="3">
                  <v>1165</v>
                </pt>
                <pt idx="4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'ETA accuracy Port'!$G$18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'ETA accuracy Port'!$F$19:$F$22</f>
              <strCache>
                <ptCount val="4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Missing ETA</v>
                </pt>
              </strCache>
            </strRef>
          </cat>
          <val>
            <numRef>
              <f>'ETA accuracy Port'!$G$19:$G$22</f>
              <numCache>
                <formatCode>General</formatCode>
                <ptCount val="4"/>
                <pt idx="0">
                  <v>1091</v>
                </pt>
                <pt idx="1">
                  <v>77</v>
                </pt>
                <pt idx="2">
                  <v>7</v>
                </pt>
                <pt idx="3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'POD estimate Accuracy'!$B$18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'POD estimate Accuracy'!$A$19:$A$23</f>
              <strCache>
                <ptCount val="5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POD_ &lt;7d</v>
                </pt>
                <pt idx="4">
                  <v>No POD_</v>
                </pt>
              </strCache>
            </strRef>
          </cat>
          <val>
            <numRef>
              <f>'POD estimate Accuracy'!$B$19:$B$23</f>
              <numCache>
                <formatCode>General</formatCode>
                <ptCount val="5"/>
                <pt idx="0">
                  <v>840</v>
                </pt>
                <pt idx="1">
                  <v>1617</v>
                </pt>
                <pt idx="2">
                  <v>63</v>
                </pt>
                <pt idx="3">
                  <v>120</v>
                </pt>
                <pt idx="4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'POD estimate Accuracy'!$G$18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'POD estimate Accuracy'!$F$19:$F$22</f>
              <strCache>
                <ptCount val="4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Missing POD_</v>
                </pt>
              </strCache>
            </strRef>
          </cat>
          <val>
            <numRef>
              <f>'POD estimate Accuracy'!$G$19:$G$22</f>
              <numCache>
                <formatCode>General</formatCode>
                <ptCount val="4"/>
                <pt idx="0">
                  <v>1520</v>
                </pt>
                <pt idx="1">
                  <v>1003</v>
                </pt>
                <pt idx="2">
                  <v>47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Tuerksen Utku (CP/PUQ3)</author>
    <author>Dudek Jaroslaw (GS/PSD32)</author>
    <author>Grund Martin (CP/TSC-EU)</author>
  </authors>
  <commentList>
    <comment ref="C17" authorId="0" shapeId="0">
      <text>
        <t>- low (minor business impact, e. g.: loss of BI tool)
- medium (medium business impact, e. g.: loss of engineering software, loss of Skype)
- high (major business impact, e. g.: loss of ERP system)
- unknown</t>
      </text>
    </comment>
    <comment ref="D137" authorId="1" shapeId="0">
      <text>
        <t>Dudek Jaroslaw (GS/PSD32):
MRC Managerial Root Caus
TRC Technical Root Cause
Bug-Fix
Others</t>
      </text>
    </comment>
    <comment ref="S137" authorId="2" shapeId="0">
      <text>
        <t xml:space="preserve">Estimated impact of measure on overall performance. 
</t>
      </text>
    </comment>
  </commentList>
</comments>
</file>

<file path=xl/comments/comment2.xml><?xml version="1.0" encoding="utf-8"?>
<comments xmlns="http://schemas.openxmlformats.org/spreadsheetml/2006/main">
  <authors>
    <author>Dudek Jaroslaw (GS/PSD32)</author>
  </authors>
  <commentList>
    <comment ref="C1" authorId="0" shapeId="0">
      <text>
        <t>Dudek Jaroslaw (GS/PSD32):
MRC Managerial Root Caus
TRC Technical Root Cause
Bug-Fix
Others</t>
      </text>
    </comment>
  </commentList>
</comments>
</file>

<file path=xl/comments/comment3.xml><?xml version="1.0" encoding="utf-8"?>
<comments xmlns="http://schemas.openxmlformats.org/spreadsheetml/2006/main">
  <authors>
    <author>waf2abt</author>
  </authors>
  <commentList>
    <comment ref="E14" authorId="0" shapeId="0">
      <text>
        <t>waf2abt:
e.g. the direct cause from Ishikawa analysis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Relationship Type="http://schemas.openxmlformats.org/officeDocument/2006/relationships/image" Target="/xl/media/image4.png" Id="rId5"/><Relationship Type="http://schemas.openxmlformats.org/officeDocument/2006/relationships/image" Target="/xl/media/image5.png" Id="rId6"/><Relationship Type="http://schemas.openxmlformats.org/officeDocument/2006/relationships/image" Target="/xl/media/image6.png" Id="rId7"/><Relationship Type="http://schemas.openxmlformats.org/officeDocument/2006/relationships/image" Target="/xl/media/image7.png" Id="rId8"/><Relationship Type="http://schemas.openxmlformats.org/officeDocument/2006/relationships/image" Target="/xl/media/image8.png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twoCellAnchor>
    <from>
      <col>3</col>
      <colOff>187993</colOff>
      <row>0</row>
      <rowOff>38101</rowOff>
    </from>
    <to>
      <col>19</col>
      <colOff>0</colOff>
      <row>5</row>
      <rowOff>190500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23</col>
      <colOff>674708</colOff>
      <row>0</row>
      <rowOff>406577</rowOff>
    </from>
    <ext cx="488207" cy="1265555"/>
    <pic>
      <nvPicPr>
        <cNvPr id="8" name="Grafik 17" descr="Ampel_gelb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905683" y="406577"/>
          <a:ext cx="488207" cy="12655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24</col>
      <colOff>470646</colOff>
      <row>0</row>
      <rowOff>407669</rowOff>
    </from>
    <ext cx="504600" cy="1259840"/>
    <pic>
      <nvPicPr>
        <cNvPr id="9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482671" y="407669"/>
          <a:ext cx="504600" cy="1259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23</col>
      <colOff>128269</colOff>
      <row>0</row>
      <rowOff>410134</rowOff>
    </from>
    <ext cx="503455" cy="1259837"/>
    <pic>
      <nvPicPr>
        <cNvPr id="10" name="Grafik 9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9359244" y="410134"/>
          <a:ext cx="503455" cy="12598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48544</colOff>
      <row>0</row>
      <rowOff>475448</rowOff>
    </from>
    <ext cx="488171" cy="1256662"/>
    <pic>
      <nvPicPr>
        <cNvPr id="11" name="Grafik 18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506494" y="475448"/>
          <a:ext cx="488171" cy="1256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40821</colOff>
      <row>0</row>
      <rowOff>517071</rowOff>
    </from>
    <ext cx="495666" cy="1255368"/>
    <pic>
      <nvPicPr>
        <cNvPr id="12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8771" y="517071"/>
          <a:ext cx="495666" cy="12553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4</col>
      <colOff>54429</colOff>
      <row>0</row>
      <rowOff>517071</rowOff>
    </from>
    <ext cx="488806" cy="1255365"/>
    <pic>
      <nvPicPr>
        <cNvPr id="13" name="Grafik 9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512379" y="517071"/>
          <a:ext cx="488806" cy="1255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54428</colOff>
      <row>0</row>
      <rowOff>506640</rowOff>
    </from>
    <ext cx="494396" cy="1263668"/>
    <pic>
      <nvPicPr>
        <cNvPr id="14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12378" y="506640"/>
          <a:ext cx="494396" cy="12636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4</col>
      <colOff>54428</colOff>
      <row>0</row>
      <rowOff>506640</rowOff>
    </from>
    <ext cx="488551" cy="1270653"/>
    <pic>
      <nvPicPr>
        <cNvPr id="15" name="Grafik 17" descr="Ampel_gelb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280564" y="506640"/>
          <a:ext cx="488551" cy="12706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23</row>
      <rowOff>56520</rowOff>
    </from>
    <to>
      <col>3</col>
      <colOff>52260</colOff>
      <row>42</row>
      <rowOff>36720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23</row>
      <rowOff>56520</rowOff>
    </from>
    <to>
      <col>9</col>
      <colOff>4635</colOff>
      <row>42</row>
      <rowOff>36720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23</row>
      <rowOff>56520</rowOff>
    </from>
    <to>
      <col>4</col>
      <colOff>4635</colOff>
      <row>42</row>
      <rowOff>36720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23</row>
      <rowOff>56520</rowOff>
    </from>
    <to>
      <col>9</col>
      <colOff>4635</colOff>
      <row>42</row>
      <rowOff>36720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oneCellAnchor>
    <from>
      <col>0</col>
      <colOff>0</colOff>
      <row>34</row>
      <rowOff>0</rowOff>
    </from>
    <ext cx="8572500" cy="3238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6718300"/>
          <a:ext cx="8572500" cy="3238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431800</colOff>
      <row>5</row>
      <rowOff>165101</rowOff>
    </from>
    <ext cx="8013700" cy="6032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966200" y="1295401"/>
          <a:ext cx="8013700" cy="6032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EB_Final_20040415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Backup_JT_01_04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my.maerskgroup.com/personal/mohanakrishnan_v_maersk_com/Documents/01_Automotive_Quality/Bosch/8D_Documents/Alyssa/Supplier%208D%20template%20V1%20-%20pallets%20not%20matching%20with%20documents.xlsx" TargetMode="External" Id="rId2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Bericht_Feb04_Pivot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PDCA-M%20english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B"/>
      <sheetName val="EB Region DB5"/>
      <sheetName val="EB Region NGU"/>
      <sheetName val="AS"/>
      <sheetName val="BE"/>
      <sheetName val="CV"/>
      <sheetName val="DT"/>
      <sheetName val="ST"/>
      <sheetName val="TS"/>
      <sheetName val="WS"/>
      <sheetName val="O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Qry_KZ_AUB_Grouped"/>
      <sheetName val="2004_IST"/>
      <sheetName val="2003_IST"/>
      <sheetName val="WS"/>
      <sheetName val="Pivot"/>
      <sheetName val="Data"/>
    </sheetNames>
    <sheetDataSet>
      <sheetData sheetId="0"/>
      <sheetData sheetId="1" refreshError="1"/>
      <sheetData sheetId="2" refreshError="1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8D Form"/>
      <sheetName val="D2 - Failure Visualization"/>
      <sheetName val="D4 - Ishikawa"/>
      <sheetName val="D4 - 5 Why Form"/>
      <sheetName val="8D Checklist"/>
      <sheetName val="8D Self-Evaluation"/>
      <sheetName val="Instruction 8D E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WS"/>
      <sheetName val="TS"/>
      <sheetName val="ST"/>
      <sheetName val="AS"/>
      <sheetName val="CV"/>
      <sheetName val="DT"/>
      <sheetName val="BE"/>
      <sheetName val="Pivot"/>
      <sheetName val="Transition"/>
      <sheetName val="TTNR_Checks"/>
      <sheetName val="Tbl_Monthly_Pivot_Data"/>
      <sheetName val="Qry_Sollkurve2004_PB_pro_Mon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C167"/>
  <sheetViews>
    <sheetView showGridLines="0" tabSelected="1" zoomScaleNormal="75" zoomScaleSheetLayoutView="100" workbookViewId="0">
      <selection activeCell="E154" sqref="E154:G155"/>
    </sheetView>
  </sheetViews>
  <sheetFormatPr baseColWidth="10" defaultColWidth="11.5" defaultRowHeight="13"/>
  <cols>
    <col width="6.33203125" customWidth="1" style="339" min="1" max="1"/>
    <col width="106.1640625" customWidth="1" style="339" min="2" max="2"/>
    <col width="27.1640625" customWidth="1" style="339" min="3" max="3"/>
    <col width="22.33203125" bestFit="1" customWidth="1" style="339" min="4" max="4"/>
    <col width="6.5" customWidth="1" style="339" min="5" max="5"/>
    <col width="16" customWidth="1" style="339" min="6" max="6"/>
    <col width="12.5" customWidth="1" style="339" min="7" max="8"/>
    <col width="9.33203125" customWidth="1" style="339" min="9" max="20"/>
    <col width="13.6640625" bestFit="1" customWidth="1" style="339" min="21" max="21"/>
    <col width="9.33203125" customWidth="1" style="339" min="22" max="22"/>
    <col width="9.1640625" customWidth="1" style="339" min="23" max="23"/>
    <col width="11.6640625" bestFit="1" customWidth="1" style="339" min="24" max="24"/>
    <col width="14.6640625" customWidth="1" style="339" min="25" max="25"/>
    <col width="9.1640625" customWidth="1" style="339" min="26" max="256"/>
    <col width="11.5" customWidth="1" style="339" min="257" max="16384"/>
  </cols>
  <sheetData>
    <row r="1" ht="75.75" customHeight="1" s="340" thickBot="1">
      <c r="A1" s="425" t="inlineStr">
        <is>
          <t>PDCA Chart
05.02.2026</t>
        </is>
      </c>
      <c r="B1" s="382" t="n"/>
      <c r="C1" s="426" t="n"/>
      <c r="D1" s="1" t="n"/>
      <c r="E1" s="1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1" customHeight="1" s="340">
      <c r="A2" s="362" t="inlineStr">
        <is>
          <t>Problem</t>
        </is>
      </c>
      <c r="B2" s="382" t="n"/>
      <c r="C2" s="8" t="n"/>
      <c r="D2" s="5" t="n"/>
      <c r="E2" s="5" t="n"/>
      <c r="F2" s="9" t="n"/>
      <c r="G2" s="9" t="n"/>
      <c r="H2" s="9" t="n"/>
      <c r="T2" s="10" t="n"/>
    </row>
    <row r="3" ht="21" customHeight="1" s="340" thickBot="1">
      <c r="A3" s="11" t="n"/>
      <c r="B3" s="12" t="inlineStr">
        <is>
          <t>Missing milestones &amp; timeliness</t>
        </is>
      </c>
      <c r="C3" s="13" t="n"/>
      <c r="D3" s="14" t="n"/>
      <c r="E3" s="14" t="n"/>
      <c r="F3" s="15" t="n"/>
      <c r="G3" s="15" t="n"/>
      <c r="H3" s="15" t="n"/>
      <c r="T3" s="10" t="n"/>
    </row>
    <row r="4" ht="21" customHeight="1" s="340">
      <c r="A4" s="362" t="inlineStr">
        <is>
          <t>Scope</t>
        </is>
      </c>
      <c r="B4" s="363" t="n"/>
      <c r="C4" s="8" t="n"/>
      <c r="F4" s="15" t="n"/>
      <c r="G4" s="15" t="n"/>
      <c r="H4" s="15" t="n"/>
      <c r="T4" s="10" t="n"/>
    </row>
    <row r="5" ht="21" customHeight="1" s="340" thickBot="1">
      <c r="A5" s="11" t="inlineStr">
        <is>
          <t>SF</t>
        </is>
      </c>
      <c r="B5" s="12" t="n"/>
      <c r="C5" s="13" t="n"/>
      <c r="T5" s="10" t="n"/>
    </row>
    <row r="6" ht="21" customHeight="1" s="340" thickBot="1">
      <c r="A6" s="363" t="inlineStr">
        <is>
          <t>Lane</t>
        </is>
      </c>
      <c r="B6" s="16" t="n"/>
      <c r="C6" s="8" t="n"/>
      <c r="T6" s="10" t="n"/>
    </row>
    <row r="7" ht="21" customHeight="1" s="340" thickBot="1">
      <c r="A7" s="17" t="n"/>
      <c r="B7" s="18" t="inlineStr">
        <is>
          <t>EUAP</t>
        </is>
      </c>
      <c r="C7" s="19" t="n"/>
      <c r="D7" s="364" t="n"/>
      <c r="E7" s="427" t="n"/>
      <c r="F7" s="427" t="n"/>
      <c r="G7" s="20" t="inlineStr">
        <is>
          <t>Nov '25</t>
        </is>
      </c>
      <c r="H7" s="96" t="inlineStr">
        <is>
          <t>Dec '25</t>
        </is>
      </c>
      <c r="I7" s="21" t="inlineStr">
        <is>
          <t>Jan '26</t>
        </is>
      </c>
      <c r="J7" s="22" t="inlineStr">
        <is>
          <t>W5</t>
        </is>
      </c>
      <c r="K7" s="22" t="inlineStr">
        <is>
          <t>W6</t>
        </is>
      </c>
      <c r="L7" s="22" t="inlineStr">
        <is>
          <t>W7</t>
        </is>
      </c>
      <c r="M7" s="325" t="inlineStr">
        <is>
          <t>W8 F</t>
        </is>
      </c>
      <c r="N7" s="325" t="inlineStr">
        <is>
          <t>W10 F</t>
        </is>
      </c>
      <c r="O7" s="325" t="inlineStr">
        <is>
          <t>W12 F</t>
        </is>
      </c>
      <c r="P7" s="325" t="inlineStr">
        <is>
          <t>W14 F</t>
        </is>
      </c>
      <c r="Q7" s="325" t="inlineStr">
        <is>
          <t>W16 F</t>
        </is>
      </c>
      <c r="R7" s="325" t="inlineStr">
        <is>
          <t>W18 F</t>
        </is>
      </c>
      <c r="S7" s="23" t="inlineStr">
        <is>
          <t>YTD</t>
        </is>
      </c>
      <c r="T7" s="24" t="inlineStr">
        <is>
          <t>W08</t>
        </is>
      </c>
      <c r="U7" s="25" t="n"/>
      <c r="V7" s="25" t="n"/>
    </row>
    <row r="8" ht="15.75" customHeight="1" s="340">
      <c r="A8" s="362" t="inlineStr">
        <is>
          <t>Responsible</t>
        </is>
      </c>
      <c r="B8" s="363" t="n"/>
      <c r="C8" s="26" t="n"/>
      <c r="D8" s="366" t="inlineStr">
        <is>
          <t>Completeness (Critical)</t>
        </is>
      </c>
      <c r="E8" s="428" t="n"/>
      <c r="F8" s="428" t="n"/>
      <c r="G8" s="27" t="n">
        <v>0.82</v>
      </c>
      <c r="H8" s="97" t="n">
        <v>0.84</v>
      </c>
      <c r="I8" s="322" t="n">
        <v>0.84</v>
      </c>
      <c r="J8" s="322">
        <f>'SC4 Data'!Z27</f>
        <v/>
      </c>
      <c r="K8" s="322">
        <f>'SC4 Data'!AE27</f>
        <v/>
      </c>
      <c r="L8" s="322">
        <f>'SC4 Data'!AJ27</f>
        <v/>
      </c>
      <c r="M8" s="112" t="n">
        <v>0.85</v>
      </c>
      <c r="N8" s="112" t="n">
        <v>0.87</v>
      </c>
      <c r="O8" s="112" t="n">
        <v>0.89</v>
      </c>
      <c r="P8" s="112" t="n">
        <v>0.91</v>
      </c>
      <c r="Q8" s="112" t="n">
        <v>0.93</v>
      </c>
      <c r="R8" s="112" t="n">
        <v>0.95</v>
      </c>
      <c r="S8" s="28" t="n"/>
      <c r="T8" s="29" t="n">
        <v>0.8527</v>
      </c>
      <c r="U8" s="30" t="n"/>
      <c r="V8" s="30" t="n"/>
    </row>
    <row r="9" ht="15.75" customHeight="1" s="340">
      <c r="A9" s="31" t="n"/>
      <c r="B9" s="32" t="n"/>
      <c r="C9" s="32" t="n"/>
      <c r="D9" s="366" t="inlineStr">
        <is>
          <t>Timeliness (Critical)</t>
        </is>
      </c>
      <c r="E9" s="428" t="n"/>
      <c r="F9" s="428" t="n"/>
      <c r="G9" s="27" t="n">
        <v>0.1</v>
      </c>
      <c r="H9" s="97" t="n">
        <v>0.22</v>
      </c>
      <c r="I9" s="322" t="n">
        <v>0.48</v>
      </c>
      <c r="J9" s="322">
        <f>'SC4 Data'!AA27</f>
        <v/>
      </c>
      <c r="K9" s="322">
        <f>'SC4 Data'!AF27</f>
        <v/>
      </c>
      <c r="L9" s="322">
        <f>'SC4 Data'!AK27</f>
        <v/>
      </c>
      <c r="M9" s="112" t="n">
        <v>0.66</v>
      </c>
      <c r="N9" s="112" t="n">
        <v>0.6899999999999999</v>
      </c>
      <c r="O9" s="112" t="n">
        <v>0.73</v>
      </c>
      <c r="P9" s="112" t="n">
        <v>0.78</v>
      </c>
      <c r="Q9" s="112" t="n">
        <v>0.79</v>
      </c>
      <c r="R9" s="112" t="n">
        <v>0.8</v>
      </c>
      <c r="S9" s="28" t="n"/>
      <c r="T9" s="29" t="n">
        <v>0.5402</v>
      </c>
      <c r="U9" s="30" t="n"/>
      <c r="V9" s="30" t="n"/>
    </row>
    <row r="10" ht="15.75" customHeight="1" s="340" thickBot="1">
      <c r="A10" s="33" t="n"/>
      <c r="B10" s="34" t="inlineStr">
        <is>
          <t>Maersk MOF execution</t>
        </is>
      </c>
      <c r="C10" s="35" t="n"/>
      <c r="D10" s="366" t="inlineStr">
        <is>
          <t>Completeness (All)</t>
        </is>
      </c>
      <c r="E10" s="428" t="n"/>
      <c r="F10" s="428" t="n"/>
      <c r="G10" s="27" t="inlineStr">
        <is>
          <t>N/A</t>
        </is>
      </c>
      <c r="H10" s="97" t="inlineStr">
        <is>
          <t>N/A</t>
        </is>
      </c>
      <c r="I10" s="322" t="n">
        <v>0.71</v>
      </c>
      <c r="J10" s="322">
        <f>'SC4 Data'!Z28</f>
        <v/>
      </c>
      <c r="K10" s="322">
        <f>'SC4 Data'!AE28</f>
        <v/>
      </c>
      <c r="L10" s="322">
        <f>'SC4 Data'!AJ28</f>
        <v/>
      </c>
      <c r="M10" s="112" t="n">
        <v>0.79</v>
      </c>
      <c r="N10" s="112" t="n">
        <v>0.8100000000000001</v>
      </c>
      <c r="O10" s="112" t="n">
        <v>0.84</v>
      </c>
      <c r="P10" s="112" t="n">
        <v>0.88</v>
      </c>
      <c r="Q10" s="112" t="n">
        <v>0.91</v>
      </c>
      <c r="R10" s="112" t="n">
        <v>0.95</v>
      </c>
      <c r="S10" s="28" t="n"/>
      <c r="T10" s="29" t="n">
        <v>0.7849</v>
      </c>
      <c r="U10" s="30" t="n"/>
      <c r="V10" s="30" t="n"/>
    </row>
    <row r="11" ht="15.75" customHeight="1" s="340">
      <c r="A11" s="110" t="n"/>
      <c r="B11" s="110" t="n"/>
      <c r="C11" s="110" t="n"/>
      <c r="D11" s="366" t="inlineStr">
        <is>
          <t>Timeliness (All)</t>
        </is>
      </c>
      <c r="E11" s="428" t="n"/>
      <c r="F11" s="428" t="n"/>
      <c r="G11" s="36" t="inlineStr">
        <is>
          <t>N/A</t>
        </is>
      </c>
      <c r="H11" s="98" t="inlineStr">
        <is>
          <t>N/A</t>
        </is>
      </c>
      <c r="I11" s="322" t="n">
        <v>0.43</v>
      </c>
      <c r="J11" s="322">
        <f>'SC4 Data'!AA28</f>
        <v/>
      </c>
      <c r="K11" s="322">
        <f>'SC4 Data'!AF28</f>
        <v/>
      </c>
      <c r="L11" s="322">
        <f>'SC4 Data'!AK28</f>
        <v/>
      </c>
      <c r="M11" s="111" t="n">
        <v>0.64</v>
      </c>
      <c r="N11" s="111" t="n">
        <v>0.65</v>
      </c>
      <c r="O11" s="111" t="n">
        <v>0.66</v>
      </c>
      <c r="P11" s="111" t="n">
        <v>0.67</v>
      </c>
      <c r="Q11" s="111" t="n">
        <v>0.68</v>
      </c>
      <c r="R11" s="111" t="n">
        <v>0.7</v>
      </c>
      <c r="S11" s="28" t="n"/>
      <c r="T11" s="29" t="n">
        <v>0.4933</v>
      </c>
      <c r="U11" s="30" t="n"/>
      <c r="V11" s="30" t="n"/>
    </row>
    <row r="12" ht="15.75" customHeight="1" s="340">
      <c r="A12" s="110" t="n"/>
      <c r="B12" s="110" t="n"/>
      <c r="C12" s="110" t="n"/>
      <c r="D12" s="366" t="inlineStr">
        <is>
          <t>ETA accuracy 2P (SC4)</t>
        </is>
      </c>
      <c r="E12" s="367" t="n"/>
      <c r="F12" s="367" t="n"/>
      <c r="G12" s="36" t="n"/>
      <c r="H12" s="98" t="n"/>
      <c r="I12" s="114" t="n">
        <v>0.38</v>
      </c>
      <c r="J12" s="322" t="n">
        <v>0.44</v>
      </c>
      <c r="K12" s="322" t="n">
        <v>0.62</v>
      </c>
      <c r="L12" s="322" t="n">
        <v>0.39</v>
      </c>
      <c r="M12" s="111" t="n">
        <v>0.65</v>
      </c>
      <c r="N12" s="111" t="n">
        <v>0.68</v>
      </c>
      <c r="O12" s="111" t="n">
        <v>0.7</v>
      </c>
      <c r="P12" s="111" t="n">
        <v>0.72</v>
      </c>
      <c r="Q12" s="111" t="n">
        <v>0.74</v>
      </c>
      <c r="R12" s="111" t="n">
        <v>0.76</v>
      </c>
      <c r="S12" s="28" t="n"/>
      <c r="T12" s="29" t="n">
        <v>0.6667</v>
      </c>
      <c r="U12" s="30" t="n"/>
      <c r="V12" s="30" t="n"/>
    </row>
    <row r="13" ht="15.75" customHeight="1" s="340">
      <c r="A13" s="110" t="n"/>
      <c r="B13" s="110" t="n"/>
      <c r="C13" s="110" t="n"/>
      <c r="D13" s="366" t="inlineStr">
        <is>
          <t>ETA Accuracy 2D (SC4)</t>
        </is>
      </c>
      <c r="E13" s="367" t="n"/>
      <c r="F13" s="367" t="n"/>
      <c r="G13" s="36" t="n"/>
      <c r="H13" s="98" t="n"/>
      <c r="I13" s="114" t="n">
        <v>0.11</v>
      </c>
      <c r="J13" s="322" t="n">
        <v>0.13</v>
      </c>
      <c r="K13" s="322" t="n">
        <v>0.17</v>
      </c>
      <c r="L13" s="322" t="n">
        <v>0.17</v>
      </c>
      <c r="M13" s="111" t="n">
        <v>0.2</v>
      </c>
      <c r="N13" s="111" t="n">
        <v>0.25</v>
      </c>
      <c r="O13" s="111" t="n">
        <v>0.4</v>
      </c>
      <c r="P13" s="111" t="n">
        <v>0.5</v>
      </c>
      <c r="Q13" s="111" t="n">
        <v>0.6</v>
      </c>
      <c r="R13" s="111" t="n">
        <v>0.72</v>
      </c>
      <c r="S13" s="28" t="n"/>
      <c r="T13" s="29" t="n">
        <v>0.2876</v>
      </c>
      <c r="U13" s="30" t="n"/>
      <c r="V13" s="30" t="n"/>
    </row>
    <row r="14" ht="15.75" customHeight="1" s="340">
      <c r="A14" s="40" t="n"/>
      <c r="D14" s="375" t="inlineStr">
        <is>
          <t>SC4 Reference Completeness (CIV or DN)</t>
        </is>
      </c>
      <c r="E14" s="428" t="n"/>
      <c r="F14" s="429" t="n"/>
      <c r="G14" s="36" t="inlineStr">
        <is>
          <t>N/A</t>
        </is>
      </c>
      <c r="H14" s="98" t="inlineStr">
        <is>
          <t>N/A</t>
        </is>
      </c>
      <c r="I14" s="114" t="n">
        <v>0.6899999999999999</v>
      </c>
      <c r="J14" s="322" t="n">
        <v>0.71</v>
      </c>
      <c r="K14" s="322" t="n">
        <v>0.74</v>
      </c>
      <c r="L14" s="322" t="n">
        <v>0.76</v>
      </c>
      <c r="M14" s="111" t="n">
        <v>0.78</v>
      </c>
      <c r="N14" s="111" t="n">
        <v>0.82</v>
      </c>
      <c r="O14" s="111" t="n">
        <v>0.84</v>
      </c>
      <c r="P14" s="111" t="n">
        <v>0.86</v>
      </c>
      <c r="Q14" s="111" t="n">
        <v>0.9</v>
      </c>
      <c r="R14" s="111" t="n">
        <v>0.95</v>
      </c>
      <c r="S14" s="39" t="n"/>
      <c r="T14" s="29" t="n">
        <v>0.7909</v>
      </c>
      <c r="U14" s="30" t="n"/>
      <c r="V14" s="30" t="n"/>
    </row>
    <row r="15" ht="15.75" customHeight="1" s="340" thickBot="1">
      <c r="A15" s="41" t="n"/>
      <c r="B15" s="32" t="n"/>
      <c r="C15" s="42" t="n"/>
      <c r="D15" s="378" t="n"/>
      <c r="E15" s="430" t="n"/>
      <c r="F15" s="431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43" t="n"/>
      <c r="T15" s="29" t="n"/>
      <c r="U15" s="30" t="n"/>
      <c r="V15" s="30" t="n"/>
    </row>
    <row r="16" ht="15.75" customHeight="1" s="340" thickBot="1">
      <c r="A16" s="44" t="n"/>
      <c r="B16" s="45" t="n"/>
      <c r="C16" s="45" t="n"/>
      <c r="D16" s="46" t="n"/>
      <c r="E16" s="46" t="n"/>
      <c r="F16" s="46" t="n"/>
      <c r="G16" s="47" t="n"/>
      <c r="H16" s="47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7" t="n"/>
      <c r="T16" s="49" t="n"/>
      <c r="U16" s="50" t="n"/>
      <c r="V16" s="50" t="n"/>
      <c r="W16" s="51" t="n"/>
    </row>
    <row r="17" ht="34" customHeight="1" s="340">
      <c r="A17" s="224" t="inlineStr">
        <is>
          <t>Nr</t>
        </is>
      </c>
      <c r="B17" s="225" t="inlineStr">
        <is>
          <t>Main Problems</t>
        </is>
      </c>
      <c r="C17" s="226" t="inlineStr">
        <is>
          <t>Product
Impact</t>
        </is>
      </c>
      <c r="D17" s="381" t="inlineStr">
        <is>
          <t>Category</t>
        </is>
      </c>
      <c r="E17" s="382" t="n"/>
      <c r="F17" s="382" t="n"/>
      <c r="G17" s="227" t="inlineStr">
        <is>
          <t>W01</t>
        </is>
      </c>
      <c r="H17" s="228" t="inlineStr">
        <is>
          <t>W02</t>
        </is>
      </c>
      <c r="I17" s="229" t="inlineStr">
        <is>
          <t>W03</t>
        </is>
      </c>
      <c r="J17" s="230" t="inlineStr">
        <is>
          <t>W04</t>
        </is>
      </c>
      <c r="K17" s="230" t="inlineStr">
        <is>
          <t>W05</t>
        </is>
      </c>
      <c r="L17" s="230" t="inlineStr">
        <is>
          <t>W06</t>
        </is>
      </c>
      <c r="M17" s="230" t="inlineStr">
        <is>
          <t>W07</t>
        </is>
      </c>
      <c r="N17" s="230" t="inlineStr">
        <is>
          <t>W10</t>
        </is>
      </c>
      <c r="O17" s="230" t="inlineStr">
        <is>
          <t>W12</t>
        </is>
      </c>
      <c r="P17" s="230" t="inlineStr">
        <is>
          <t>W14</t>
        </is>
      </c>
      <c r="Q17" s="230" t="inlineStr">
        <is>
          <t>W16</t>
        </is>
      </c>
      <c r="R17" s="230" t="inlineStr">
        <is>
          <t>W18</t>
        </is>
      </c>
      <c r="S17" s="231" t="inlineStr">
        <is>
          <t>YTD</t>
        </is>
      </c>
      <c r="T17" s="279" t="n"/>
      <c r="U17" s="30" t="n"/>
      <c r="V17" s="30" t="n"/>
    </row>
    <row r="18" ht="14" customHeight="1" s="340">
      <c r="A18" s="232">
        <f>'Mapping Prob-Root'!A2</f>
        <v/>
      </c>
      <c r="B18" s="273">
        <f>'Mapping Prob-Root'!O2</f>
        <v/>
      </c>
      <c r="C18" s="233" t="inlineStr">
        <is>
          <t>high</t>
        </is>
      </c>
      <c r="D18" s="303" t="inlineStr">
        <is>
          <t>Completeness (Critical)</t>
        </is>
      </c>
      <c r="E18" s="428" t="n"/>
      <c r="F18" s="429" t="n"/>
      <c r="G18" s="234">
        <f>'SC4 Data'!F5</f>
        <v/>
      </c>
      <c r="H18" s="234">
        <f>'SC4 Data'!K5</f>
        <v/>
      </c>
      <c r="I18" s="234">
        <f>'SC4 Data'!P5</f>
        <v/>
      </c>
      <c r="J18" s="234">
        <f>'SC4 Data'!U5</f>
        <v/>
      </c>
      <c r="K18" s="234">
        <f>'SC4 Data'!Z5</f>
        <v/>
      </c>
      <c r="L18" s="234">
        <f>'SC4 Data'!AE5</f>
        <v/>
      </c>
      <c r="M18" s="234">
        <f>'SC4 Data'!AJ5</f>
        <v/>
      </c>
      <c r="N18" s="277">
        <f>(AVERAGE(IF((M18-L18)&lt;0,-(M18-L18),(M18-L18)),IF((L18-K18)&lt;0,-(L18-K18),(L18-K18)),IF((K18-J18)&lt;0,-(K18-J18),(K18-J18)))*$T18)+M18</f>
        <v/>
      </c>
      <c r="O18" s="277">
        <f>(AVERAGE(IF((N18-M18)&lt;0,-(N18-M18),(N18-M18)),IF((M18-L18)&lt;0,-(M18-L18),(M18-L18)),IF((L18-K18)&lt;0,-(L18-K18),(L18-K18)))*$T18)+N18</f>
        <v/>
      </c>
      <c r="P18" s="277">
        <f>(AVERAGE(IF((O18-N18)&lt;0,-(O18-N18),(O18-N18)),IF((N18-M18)&lt;0,-(N18-M18),(N18-M18)),IF((M18-L18)&lt;0,-(M18-L18),(M18-L18)))*$T18)+O18</f>
        <v/>
      </c>
      <c r="Q18" s="277">
        <f>(AVERAGE(IF((P18-O18)&lt;0,-(P18-O18),(P18-O18)),IF((O18-N18)&lt;0,-(O18-N18),(O18-N18)),IF((N18-M18)&lt;0,-(N18-M18),(N18-M18)))*$T18)+P18</f>
        <v/>
      </c>
      <c r="R18" s="277">
        <f>(AVERAGE(IF((Q18-P18)&lt;0,-(Q18-P18),(Q18-P18)),IF((P18-O18)&lt;0,-(P18-O18),(P18-O18)),IF((O18-N18)&lt;0,-(O18-N18),(O18-N18)))*$T18)+Q18</f>
        <v/>
      </c>
      <c r="S18" s="235">
        <f>AVERAGE(G18:R18)</f>
        <v/>
      </c>
      <c r="T18" s="278" t="n">
        <v>0.4</v>
      </c>
      <c r="U18" s="276" t="n"/>
      <c r="V18" s="30" t="n"/>
    </row>
    <row r="19" ht="17.25" customHeight="1" s="340">
      <c r="A19" s="232">
        <f>'Mapping Prob-Root'!A3</f>
        <v/>
      </c>
      <c r="B19" s="233">
        <f>'Mapping Prob-Root'!O3</f>
        <v/>
      </c>
      <c r="C19" s="233" t="inlineStr">
        <is>
          <t>high</t>
        </is>
      </c>
      <c r="D19" s="303" t="inlineStr">
        <is>
          <t>Timeliness (Critical)</t>
        </is>
      </c>
      <c r="E19" s="428" t="n"/>
      <c r="F19" s="429" t="n"/>
      <c r="G19" s="234">
        <f>'SC4 Data'!G5</f>
        <v/>
      </c>
      <c r="H19" s="234">
        <f>'SC4 Data'!L5</f>
        <v/>
      </c>
      <c r="I19" s="234">
        <f>'SC4 Data'!Q5</f>
        <v/>
      </c>
      <c r="J19" s="234">
        <f>'SC4 Data'!V5</f>
        <v/>
      </c>
      <c r="K19" s="234">
        <f>'SC4 Data'!AA5</f>
        <v/>
      </c>
      <c r="L19" s="234">
        <f>'SC4 Data'!AF5</f>
        <v/>
      </c>
      <c r="M19" s="234">
        <f>'SC4 Data'!AK5</f>
        <v/>
      </c>
      <c r="N19" s="277">
        <f>(AVERAGE(IF((M19-L19)&lt;0,-(M19-L19),(M19-L19)),IF((L19-K19)&lt;0,-(L19-K19),(L19-K19)),IF((K19-J19)&lt;0,-(K19-J19),(K19-J19)))*$T19)+M19</f>
        <v/>
      </c>
      <c r="O19" s="277">
        <f>(AVERAGE(IF((N19-M19)&lt;0,-(N19-M19),(N19-M19)),IF((M19-L19)&lt;0,-(M19-L19),(M19-L19)),IF((L19-K19)&lt;0,-(L19-K19),(L19-K19)))*$T19)+N19</f>
        <v/>
      </c>
      <c r="P19" s="277">
        <f>(AVERAGE(IF((O19-N19)&lt;0,-(O19-N19),(O19-N19)),IF((N19-M19)&lt;0,-(N19-M19),(N19-M19)),IF((M19-L19)&lt;0,-(M19-L19),(M19-L19)))*$T19)+O19</f>
        <v/>
      </c>
      <c r="Q19" s="277">
        <f>(AVERAGE(IF((P19-O19)&lt;0,-(P19-O19),(P19-O19)),IF((O19-N19)&lt;0,-(O19-N19),(O19-N19)),IF((N19-M19)&lt;0,-(N19-M19),(N19-M19)))*$T19)+P19</f>
        <v/>
      </c>
      <c r="R19" s="277">
        <f>(AVERAGE(IF((Q19-P19)&lt;0,-(Q19-P19),(Q19-P19)),IF((P19-O19)&lt;0,-(P19-O19),(P19-O19)),IF((O19-N19)&lt;0,-(O19-N19),(O19-N19)))*$T19)+Q19</f>
        <v/>
      </c>
      <c r="S19" s="235">
        <f>AVERAGE(G19:R19)</f>
        <v/>
      </c>
      <c r="T19" s="278" t="n">
        <v>0.2</v>
      </c>
      <c r="U19" s="30" t="n"/>
      <c r="V19" s="30" t="n"/>
    </row>
    <row r="20" ht="17.25" customHeight="1" s="340">
      <c r="A20" s="232">
        <f>'Mapping Prob-Root'!A4</f>
        <v/>
      </c>
      <c r="B20" s="233">
        <f>'Mapping Prob-Root'!O4</f>
        <v/>
      </c>
      <c r="C20" s="233" t="inlineStr">
        <is>
          <t>high</t>
        </is>
      </c>
      <c r="D20" s="303" t="inlineStr">
        <is>
          <t>Completeness (Critical)</t>
        </is>
      </c>
      <c r="E20" s="428" t="n"/>
      <c r="F20" s="429" t="n"/>
      <c r="G20" s="234">
        <f>'SC4 Data'!F6</f>
        <v/>
      </c>
      <c r="H20" s="234">
        <f>'SC4 Data'!K6</f>
        <v/>
      </c>
      <c r="I20" s="234">
        <f>'SC4 Data'!P6</f>
        <v/>
      </c>
      <c r="J20" s="234">
        <f>'SC4 Data'!U6</f>
        <v/>
      </c>
      <c r="K20" s="234">
        <f>'SC4 Data'!Z6</f>
        <v/>
      </c>
      <c r="L20" s="234">
        <f>'SC4 Data'!AE6</f>
        <v/>
      </c>
      <c r="M20" s="247">
        <f>'SC4 Data'!AJ6</f>
        <v/>
      </c>
      <c r="N20" s="277">
        <f>(AVERAGE(IF((M20-L20)&lt;0,-(M20-L20),(M20-L20)),IF((L20-K20)&lt;0,-(L20-K20),(L20-K20)),IF((K20-J20)&lt;0,-(K20-J20),(K20-J20)))*$T20)+M20</f>
        <v/>
      </c>
      <c r="O20" s="277">
        <f>(AVERAGE(IF((N20-M20)&lt;0,-(N20-M20),(N20-M20)),IF((M20-L20)&lt;0,-(M20-L20),(M20-L20)),IF((L20-K20)&lt;0,-(L20-K20),(L20-K20)))*$T20)+N20</f>
        <v/>
      </c>
      <c r="P20" s="277">
        <f>(AVERAGE(IF((O20-N20)&lt;0,-(O20-N20),(O20-N20)),IF((N20-M20)&lt;0,-(N20-M20),(N20-M20)),IF((M20-L20)&lt;0,-(M20-L20),(M20-L20)))*$T20)+O20</f>
        <v/>
      </c>
      <c r="Q20" s="277">
        <f>(AVERAGE(IF((P20-O20)&lt;0,-(P20-O20),(P20-O20)),IF((O20-N20)&lt;0,-(O20-N20),(O20-N20)),IF((N20-M20)&lt;0,-(N20-M20),(N20-M20)))*$T20)+P20</f>
        <v/>
      </c>
      <c r="R20" s="277">
        <f>(AVERAGE(IF((Q20-P20)&lt;0,-(Q20-P20),(Q20-P20)),IF((P20-O20)&lt;0,-(P20-O20),(P20-O20)),IF((O20-N20)&lt;0,-(O20-N20),(O20-N20)))*$T20)+Q20</f>
        <v/>
      </c>
      <c r="S20" s="235">
        <f>AVERAGE(G20:R20)</f>
        <v/>
      </c>
      <c r="T20" s="278" t="n">
        <v>0.8</v>
      </c>
      <c r="U20" s="276" t="n"/>
      <c r="V20" s="30" t="n"/>
    </row>
    <row r="21" ht="17.25" customHeight="1" s="340">
      <c r="A21" s="232">
        <f>'Mapping Prob-Root'!A5</f>
        <v/>
      </c>
      <c r="B21" s="233">
        <f>'Mapping Prob-Root'!O5</f>
        <v/>
      </c>
      <c r="C21" s="236" t="inlineStr">
        <is>
          <t>high</t>
        </is>
      </c>
      <c r="D21" s="303" t="inlineStr">
        <is>
          <t>Timeliness (Critical)</t>
        </is>
      </c>
      <c r="E21" s="428" t="n"/>
      <c r="F21" s="429" t="n"/>
      <c r="G21" s="234">
        <f>'SC4 Data'!G6</f>
        <v/>
      </c>
      <c r="H21" s="234">
        <f>'SC4 Data'!L6</f>
        <v/>
      </c>
      <c r="I21" s="234">
        <f>'SC4 Data'!Q6</f>
        <v/>
      </c>
      <c r="J21" s="234">
        <f>'SC4 Data'!V6</f>
        <v/>
      </c>
      <c r="K21" s="234">
        <f>'SC4 Data'!AA6</f>
        <v/>
      </c>
      <c r="L21" s="234">
        <f>'SC4 Data'!AF6</f>
        <v/>
      </c>
      <c r="M21" s="248">
        <f>'SC4 Data'!AK6</f>
        <v/>
      </c>
      <c r="N21" s="277">
        <f>(AVERAGE(IF((M21-L21)&lt;0,-(M21-L21),(M21-L21)),IF((L21-K21)&lt;0,-(L21-K21),(L21-K21)),IF((K21-J21)&lt;0,-(K21-J21),(K21-J21)))*$T21)+M21</f>
        <v/>
      </c>
      <c r="O21" s="277">
        <f>(AVERAGE(IF((N21-M21)&lt;0,-(N21-M21),(N21-M21)),IF((M21-L21)&lt;0,-(M21-L21),(M21-L21)),IF((L21-K21)&lt;0,-(L21-K21),(L21-K21)))*$T21)+N21</f>
        <v/>
      </c>
      <c r="P21" s="277">
        <f>(AVERAGE(IF((O21-N21)&lt;0,-(O21-N21),(O21-N21)),IF((N21-M21)&lt;0,-(N21-M21),(N21-M21)),IF((M21-L21)&lt;0,-(M21-L21),(M21-L21)))*$T21)+O21</f>
        <v/>
      </c>
      <c r="Q21" s="277">
        <f>(AVERAGE(IF((P21-O21)&lt;0,-(P21-O21),(P21-O21)),IF((O21-N21)&lt;0,-(O21-N21),(O21-N21)),IF((N21-M21)&lt;0,-(N21-M21),(N21-M21)))*$T21)+P21</f>
        <v/>
      </c>
      <c r="R21" s="277">
        <f>(AVERAGE(IF((Q21-P21)&lt;0,-(Q21-P21),(Q21-P21)),IF((P21-O21)&lt;0,-(P21-O21),(P21-O21)),IF((O21-N21)&lt;0,-(O21-N21),(O21-N21)))*$T21)+Q21</f>
        <v/>
      </c>
      <c r="S21" s="235">
        <f>AVERAGE(G21:R21)</f>
        <v/>
      </c>
      <c r="T21" s="278" t="n">
        <v>0.4</v>
      </c>
      <c r="U21" s="30" t="n"/>
      <c r="V21" s="30" t="n"/>
    </row>
    <row r="22" ht="17.25" customHeight="1" s="340">
      <c r="A22" s="232">
        <f>'Mapping Prob-Root'!A6</f>
        <v/>
      </c>
      <c r="B22" s="233">
        <f>'Mapping Prob-Root'!O6</f>
        <v/>
      </c>
      <c r="C22" s="236" t="inlineStr">
        <is>
          <t>high</t>
        </is>
      </c>
      <c r="D22" s="303" t="inlineStr">
        <is>
          <t>Completeness (Critical)</t>
        </is>
      </c>
      <c r="E22" s="428" t="n"/>
      <c r="F22" s="429" t="n"/>
      <c r="G22" s="234">
        <f>'SC4 Data'!F7</f>
        <v/>
      </c>
      <c r="H22" s="234">
        <f>'SC4 Data'!K7</f>
        <v/>
      </c>
      <c r="I22" s="234">
        <f>'SC4 Data'!P7</f>
        <v/>
      </c>
      <c r="J22" s="234">
        <f>'SC4 Data'!U7</f>
        <v/>
      </c>
      <c r="K22" s="234">
        <f>'SC4 Data'!Z7</f>
        <v/>
      </c>
      <c r="L22" s="234">
        <f>'SC4 Data'!AE7</f>
        <v/>
      </c>
      <c r="M22" s="248">
        <f>'SC4 Data'!AJ7</f>
        <v/>
      </c>
      <c r="N22" s="277">
        <f>(AVERAGE(IF((M22-L22)&lt;0,-(M22-L22),(M22-L22)),IF((L22-K22)&lt;0,-(L22-K22),(L22-K22)),IF((K22-J22)&lt;0,-(K22-J22),(K22-J22)))*$T22)+M22</f>
        <v/>
      </c>
      <c r="O22" s="277">
        <f>(AVERAGE(IF((N22-M22)&lt;0,-(N22-M22),(N22-M22)),IF((M22-L22)&lt;0,-(M22-L22),(M22-L22)),IF((L22-K22)&lt;0,-(L22-K22),(L22-K22)))*$T22)+N22</f>
        <v/>
      </c>
      <c r="P22" s="277">
        <f>(AVERAGE(IF((O22-N22)&lt;0,-(O22-N22),(O22-N22)),IF((N22-M22)&lt;0,-(N22-M22),(N22-M22)),IF((M22-L22)&lt;0,-(M22-L22),(M22-L22)))*$T22)+O22</f>
        <v/>
      </c>
      <c r="Q22" s="277">
        <f>(AVERAGE(IF((P22-O22)&lt;0,-(P22-O22),(P22-O22)),IF((O22-N22)&lt;0,-(O22-N22),(O22-N22)),IF((N22-M22)&lt;0,-(N22-M22),(N22-M22)))*$T22)+P22</f>
        <v/>
      </c>
      <c r="R22" s="277">
        <f>(AVERAGE(IF((Q22-P22)&lt;0,-(Q22-P22),(Q22-P22)),IF((P22-O22)&lt;0,-(P22-O22),(P22-O22)),IF((O22-N22)&lt;0,-(O22-N22),(O22-N22)))*$T22)+Q22</f>
        <v/>
      </c>
      <c r="S22" s="235">
        <f>AVERAGE(G22:R22)</f>
        <v/>
      </c>
      <c r="T22" s="278" t="n">
        <v>1.2</v>
      </c>
      <c r="U22" s="276" t="n"/>
      <c r="V22" s="30" t="n"/>
    </row>
    <row r="23" ht="17.25" customHeight="1" s="340">
      <c r="A23" s="232">
        <f>'Mapping Prob-Root'!A7</f>
        <v/>
      </c>
      <c r="B23" s="233">
        <f>'Mapping Prob-Root'!O7</f>
        <v/>
      </c>
      <c r="C23" s="236" t="inlineStr">
        <is>
          <t>high</t>
        </is>
      </c>
      <c r="D23" s="303" t="inlineStr">
        <is>
          <t>Timeliness (Critical)</t>
        </is>
      </c>
      <c r="E23" s="428" t="n"/>
      <c r="F23" s="429" t="n"/>
      <c r="G23" s="234">
        <f>'SC4 Data'!G7</f>
        <v/>
      </c>
      <c r="H23" s="234">
        <f>'SC4 Data'!L7</f>
        <v/>
      </c>
      <c r="I23" s="234">
        <f>'SC4 Data'!Q7</f>
        <v/>
      </c>
      <c r="J23" s="234">
        <f>'SC4 Data'!V7</f>
        <v/>
      </c>
      <c r="K23" s="234">
        <f>'SC4 Data'!AA7</f>
        <v/>
      </c>
      <c r="L23" s="234">
        <f>'SC4 Data'!AF7</f>
        <v/>
      </c>
      <c r="M23" s="248">
        <f>'SC4 Data'!AK7</f>
        <v/>
      </c>
      <c r="N23" s="277">
        <f>(AVERAGE(IF((M23-L23)&lt;0,-(M23-L23),(M23-L23)),IF((L23-K23)&lt;0,-(L23-K23),(L23-K23)),IF((K23-J23)&lt;0,-(K23-J23),(K23-J23)))*$T23)+M23</f>
        <v/>
      </c>
      <c r="O23" s="277">
        <f>(AVERAGE(IF((N23-M23)&lt;0,-(N23-M23),(N23-M23)),IF((M23-L23)&lt;0,-(M23-L23),(M23-L23)),IF((L23-K23)&lt;0,-(L23-K23),(L23-K23)))*$T23)+N23</f>
        <v/>
      </c>
      <c r="P23" s="277">
        <f>(AVERAGE(IF((O23-N23)&lt;0,-(O23-N23),(O23-N23)),IF((N23-M23)&lt;0,-(N23-M23),(N23-M23)),IF((M23-L23)&lt;0,-(M23-L23),(M23-L23)))*$T23)+O23</f>
        <v/>
      </c>
      <c r="Q23" s="277">
        <f>(AVERAGE(IF((P23-O23)&lt;0,-(P23-O23),(P23-O23)),IF((O23-N23)&lt;0,-(O23-N23),(O23-N23)),IF((N23-M23)&lt;0,-(N23-M23),(N23-M23)))*$T23)+P23</f>
        <v/>
      </c>
      <c r="R23" s="277">
        <f>(AVERAGE(IF((Q23-P23)&lt;0,-(Q23-P23),(Q23-P23)),IF((P23-O23)&lt;0,-(P23-O23),(P23-O23)),IF((O23-N23)&lt;0,-(O23-N23),(O23-N23)))*$T23)+Q23</f>
        <v/>
      </c>
      <c r="S23" s="235">
        <f>AVERAGE(G23:R23)</f>
        <v/>
      </c>
      <c r="T23" s="278" t="n">
        <v>1.4</v>
      </c>
      <c r="U23" s="30" t="n"/>
      <c r="V23" s="30" t="n"/>
    </row>
    <row r="24" ht="17.25" customHeight="1" s="340">
      <c r="A24" s="232">
        <f>'Mapping Prob-Root'!A8</f>
        <v/>
      </c>
      <c r="B24" s="233">
        <f>'Mapping Prob-Root'!O8</f>
        <v/>
      </c>
      <c r="C24" s="236" t="inlineStr">
        <is>
          <t>medium</t>
        </is>
      </c>
      <c r="D24" s="303" t="inlineStr">
        <is>
          <t>Completeness (All)</t>
        </is>
      </c>
      <c r="E24" s="428" t="n"/>
      <c r="F24" s="429" t="n"/>
      <c r="G24" s="234">
        <f>'SC4 Data'!F8</f>
        <v/>
      </c>
      <c r="H24" s="234">
        <f>'SC4 Data'!K8</f>
        <v/>
      </c>
      <c r="I24" s="234">
        <f>'SC4 Data'!P8</f>
        <v/>
      </c>
      <c r="J24" s="234">
        <f>'SC4 Data'!U8</f>
        <v/>
      </c>
      <c r="K24" s="234">
        <f>'SC4 Data'!Z8</f>
        <v/>
      </c>
      <c r="L24" s="234">
        <f>'SC4 Data'!AE8</f>
        <v/>
      </c>
      <c r="M24" s="248">
        <f>'SC4 Data'!AJ8</f>
        <v/>
      </c>
      <c r="N24" s="277">
        <f>(AVERAGE(IF((M24-L24)&lt;0,-(M24-L24),(M24-L24)),IF((L24-K24)&lt;0,-(L24-K24),(L24-K24)),IF((K24-J24)&lt;0,-(K24-J24),(K24-J24)))*$T24)+M24</f>
        <v/>
      </c>
      <c r="O24" s="277">
        <f>(AVERAGE(IF((N24-M24)&lt;0,-(N24-M24),(N24-M24)),IF((M24-L24)&lt;0,-(M24-L24),(M24-L24)),IF((L24-K24)&lt;0,-(L24-K24),(L24-K24)))*$T24)+N24</f>
        <v/>
      </c>
      <c r="P24" s="277">
        <f>(AVERAGE(IF((O24-N24)&lt;0,-(O24-N24),(O24-N24)),IF((N24-M24)&lt;0,-(N24-M24),(N24-M24)),IF((M24-L24)&lt;0,-(M24-L24),(M24-L24)))*$T24)+O24</f>
        <v/>
      </c>
      <c r="Q24" s="277">
        <f>(AVERAGE(IF((P24-O24)&lt;0,-(P24-O24),(P24-O24)),IF((O24-N24)&lt;0,-(O24-N24),(O24-N24)),IF((N24-M24)&lt;0,-(N24-M24),(N24-M24)))*$T24)+P24</f>
        <v/>
      </c>
      <c r="R24" s="277">
        <f>(AVERAGE(IF((Q24-P24)&lt;0,-(Q24-P24),(Q24-P24)),IF((P24-O24)&lt;0,-(P24-O24),(P24-O24)),IF((O24-N24)&lt;0,-(O24-N24),(O24-N24)))*$T24)+Q24</f>
        <v/>
      </c>
      <c r="S24" s="235">
        <f>AVERAGE(G24:R24)</f>
        <v/>
      </c>
      <c r="T24" s="278" t="n">
        <v>0.6</v>
      </c>
      <c r="U24" s="30" t="n"/>
      <c r="V24" s="30" t="n"/>
    </row>
    <row r="25" ht="17.25" customHeight="1" s="340">
      <c r="A25" s="232">
        <f>'Mapping Prob-Root'!A9</f>
        <v/>
      </c>
      <c r="B25" s="233">
        <f>'Mapping Prob-Root'!O9</f>
        <v/>
      </c>
      <c r="C25" s="236" t="inlineStr">
        <is>
          <t>medium</t>
        </is>
      </c>
      <c r="D25" s="303" t="inlineStr">
        <is>
          <t>Timeliness (All)</t>
        </is>
      </c>
      <c r="E25" s="428" t="n"/>
      <c r="F25" s="429" t="n"/>
      <c r="G25" s="234">
        <f>'SC4 Data'!G8</f>
        <v/>
      </c>
      <c r="H25" s="234">
        <f>'SC4 Data'!L8</f>
        <v/>
      </c>
      <c r="I25" s="234">
        <f>'SC4 Data'!Q8</f>
        <v/>
      </c>
      <c r="J25" s="234">
        <f>'SC4 Data'!V8</f>
        <v/>
      </c>
      <c r="K25" s="234">
        <f>'SC4 Data'!AA8</f>
        <v/>
      </c>
      <c r="L25" s="234">
        <f>'SC4 Data'!AF8</f>
        <v/>
      </c>
      <c r="M25" s="248">
        <f>'SC4 Data'!AK8</f>
        <v/>
      </c>
      <c r="N25" s="277">
        <f>(AVERAGE(IF((M25-L25)&lt;0,-(M25-L25),(M25-L25)),IF((L25-K25)&lt;0,-(L25-K25),(L25-K25)),IF((K25-J25)&lt;0,-(K25-J25),(K25-J25)))*$T25)+M25</f>
        <v/>
      </c>
      <c r="O25" s="277">
        <f>(AVERAGE(IF((N25-M25)&lt;0,-(N25-M25),(N25-M25)),IF((M25-L25)&lt;0,-(M25-L25),(M25-L25)),IF((L25-K25)&lt;0,-(L25-K25),(L25-K25)))*$T25)+N25</f>
        <v/>
      </c>
      <c r="P25" s="277">
        <f>(AVERAGE(IF((O25-N25)&lt;0,-(O25-N25),(O25-N25)),IF((N25-M25)&lt;0,-(N25-M25),(N25-M25)),IF((M25-L25)&lt;0,-(M25-L25),(M25-L25)))*$T25)+O25</f>
        <v/>
      </c>
      <c r="Q25" s="277">
        <f>(AVERAGE(IF((P25-O25)&lt;0,-(P25-O25),(P25-O25)),IF((O25-N25)&lt;0,-(O25-N25),(O25-N25)),IF((N25-M25)&lt;0,-(N25-M25),(N25-M25)))*$T25)+P25</f>
        <v/>
      </c>
      <c r="R25" s="277">
        <f>(AVERAGE(IF((Q25-P25)&lt;0,-(Q25-P25),(Q25-P25)),IF((P25-O25)&lt;0,-(P25-O25),(P25-O25)),IF((O25-N25)&lt;0,-(O25-N25),(O25-N25)))*$T25)+Q25</f>
        <v/>
      </c>
      <c r="S25" s="235">
        <f>AVERAGE(G25:R25)</f>
        <v/>
      </c>
      <c r="T25" s="278" t="n">
        <v>0.7</v>
      </c>
      <c r="U25" s="30" t="n"/>
      <c r="V25" s="30" t="n"/>
    </row>
    <row r="26" ht="17.25" customHeight="1" s="340">
      <c r="A26" s="232">
        <f>'Mapping Prob-Root'!A10</f>
        <v/>
      </c>
      <c r="B26" s="233">
        <f>'Mapping Prob-Root'!O10</f>
        <v/>
      </c>
      <c r="C26" s="236" t="inlineStr">
        <is>
          <t>medium</t>
        </is>
      </c>
      <c r="D26" s="303" t="inlineStr">
        <is>
          <t>Completeness (All)</t>
        </is>
      </c>
      <c r="E26" s="428" t="n"/>
      <c r="F26" s="429" t="n"/>
      <c r="G26" s="234">
        <f>'SC4 Data'!F9</f>
        <v/>
      </c>
      <c r="H26" s="234">
        <f>'SC4 Data'!K9</f>
        <v/>
      </c>
      <c r="I26" s="234">
        <f>'SC4 Data'!P9</f>
        <v/>
      </c>
      <c r="J26" s="234">
        <f>'SC4 Data'!U9</f>
        <v/>
      </c>
      <c r="K26" s="234">
        <f>'SC4 Data'!Z9</f>
        <v/>
      </c>
      <c r="L26" s="234">
        <f>'SC4 Data'!AE9</f>
        <v/>
      </c>
      <c r="M26" s="248">
        <f>'SC4 Data'!AJ9</f>
        <v/>
      </c>
      <c r="N26" s="277">
        <f>(AVERAGE(IF((M26-L26)&lt;0,-(M26-L26),(M26-L26)),IF((L26-K26)&lt;0,-(L26-K26),(L26-K26)),IF((K26-J26)&lt;0,-(K26-J26),(K26-J26)))*$T26)+M26</f>
        <v/>
      </c>
      <c r="O26" s="277">
        <f>(AVERAGE(IF((N26-M26)&lt;0,-(N26-M26),(N26-M26)),IF((M26-L26)&lt;0,-(M26-L26),(M26-L26)),IF((L26-K26)&lt;0,-(L26-K26),(L26-K26)))*$T26)+N26</f>
        <v/>
      </c>
      <c r="P26" s="277">
        <f>(AVERAGE(IF((O26-N26)&lt;0,-(O26-N26),(O26-N26)),IF((N26-M26)&lt;0,-(N26-M26),(N26-M26)),IF((M26-L26)&lt;0,-(M26-L26),(M26-L26)))*$T26)+O26</f>
        <v/>
      </c>
      <c r="Q26" s="277">
        <f>(AVERAGE(IF((P26-O26)&lt;0,-(P26-O26),(P26-O26)),IF((O26-N26)&lt;0,-(O26-N26),(O26-N26)),IF((N26-M26)&lt;0,-(N26-M26),(N26-M26)))*$T26)+P26</f>
        <v/>
      </c>
      <c r="R26" s="277">
        <f>(AVERAGE(IF((Q26-P26)&lt;0,-(Q26-P26),(Q26-P26)),IF((P26-O26)&lt;0,-(P26-O26),(P26-O26)),IF((O26-N26)&lt;0,-(O26-N26),(O26-N26)))*$T26)+Q26</f>
        <v/>
      </c>
      <c r="S26" s="235">
        <f>AVERAGE(G26:R26)</f>
        <v/>
      </c>
      <c r="T26" s="278" t="n">
        <v>0.5</v>
      </c>
      <c r="U26" s="30" t="n"/>
      <c r="V26" s="30" t="n"/>
    </row>
    <row r="27" ht="17.25" customHeight="1" s="340">
      <c r="A27" s="232">
        <f>'Mapping Prob-Root'!A11</f>
        <v/>
      </c>
      <c r="B27" s="233">
        <f>'Mapping Prob-Root'!O11</f>
        <v/>
      </c>
      <c r="C27" s="236" t="inlineStr">
        <is>
          <t>medium</t>
        </is>
      </c>
      <c r="D27" s="303" t="inlineStr">
        <is>
          <t>Timeliness (All)</t>
        </is>
      </c>
      <c r="E27" s="428" t="n"/>
      <c r="F27" s="429" t="n"/>
      <c r="G27" s="234">
        <f>'SC4 Data'!G9</f>
        <v/>
      </c>
      <c r="H27" s="234">
        <f>'SC4 Data'!L9</f>
        <v/>
      </c>
      <c r="I27" s="234">
        <f>'SC4 Data'!Q9</f>
        <v/>
      </c>
      <c r="J27" s="234">
        <f>'SC4 Data'!V9</f>
        <v/>
      </c>
      <c r="K27" s="234">
        <f>'SC4 Data'!AA9</f>
        <v/>
      </c>
      <c r="L27" s="234">
        <f>'SC4 Data'!AF9</f>
        <v/>
      </c>
      <c r="M27" s="248">
        <f>'SC4 Data'!AK9</f>
        <v/>
      </c>
      <c r="N27" s="277">
        <f>(AVERAGE(IF((M27-L27)&lt;0,-(M27-L27),(M27-L27)),IF((L27-K27)&lt;0,-(L27-K27),(L27-K27)),IF((K27-J27)&lt;0,-(K27-J27),(K27-J27)))*$T27)+M27</f>
        <v/>
      </c>
      <c r="O27" s="277">
        <f>(AVERAGE(IF((N27-M27)&lt;0,-(N27-M27),(N27-M27)),IF((M27-L27)&lt;0,-(M27-L27),(M27-L27)),IF((L27-K27)&lt;0,-(L27-K27),(L27-K27)))*$T27)+N27</f>
        <v/>
      </c>
      <c r="P27" s="277">
        <f>(AVERAGE(IF((O27-N27)&lt;0,-(O27-N27),(O27-N27)),IF((N27-M27)&lt;0,-(N27-M27),(N27-M27)),IF((M27-L27)&lt;0,-(M27-L27),(M27-L27)))*$T27)+O27</f>
        <v/>
      </c>
      <c r="Q27" s="277">
        <f>(AVERAGE(IF((P27-O27)&lt;0,-(P27-O27),(P27-O27)),IF((O27-N27)&lt;0,-(O27-N27),(O27-N27)),IF((N27-M27)&lt;0,-(N27-M27),(N27-M27)))*$T27)+P27</f>
        <v/>
      </c>
      <c r="R27" s="277">
        <f>(AVERAGE(IF((Q27-P27)&lt;0,-(Q27-P27),(Q27-P27)),IF((P27-O27)&lt;0,-(P27-O27),(P27-O27)),IF((O27-N27)&lt;0,-(O27-N27),(O27-N27)))*$T27)+Q27</f>
        <v/>
      </c>
      <c r="S27" s="235">
        <f>AVERAGE(G27:R27)</f>
        <v/>
      </c>
      <c r="T27" s="278" t="n">
        <v>1</v>
      </c>
      <c r="U27" s="30" t="n"/>
      <c r="V27" s="30" t="n"/>
    </row>
    <row r="28" ht="17.25" customHeight="1" s="340">
      <c r="A28" s="232">
        <f>'Mapping Prob-Root'!A12</f>
        <v/>
      </c>
      <c r="B28" s="233">
        <f>'Mapping Prob-Root'!O12</f>
        <v/>
      </c>
      <c r="C28" s="236" t="inlineStr">
        <is>
          <t>medium</t>
        </is>
      </c>
      <c r="D28" s="303" t="inlineStr">
        <is>
          <t>Completeness (All)</t>
        </is>
      </c>
      <c r="E28" s="428" t="n"/>
      <c r="F28" s="429" t="n"/>
      <c r="G28" s="234">
        <f>'SC4 Data'!F10</f>
        <v/>
      </c>
      <c r="H28" s="234">
        <f>'SC4 Data'!K10</f>
        <v/>
      </c>
      <c r="I28" s="234">
        <f>'SC4 Data'!P10</f>
        <v/>
      </c>
      <c r="J28" s="234">
        <f>'SC4 Data'!U10</f>
        <v/>
      </c>
      <c r="K28" s="234">
        <f>'SC4 Data'!Z10</f>
        <v/>
      </c>
      <c r="L28" s="234">
        <f>'SC4 Data'!AE10</f>
        <v/>
      </c>
      <c r="M28" s="248">
        <f>'SC4 Data'!AJ10</f>
        <v/>
      </c>
      <c r="N28" s="277">
        <f>(AVERAGE(IF((M28-L28)&lt;0,-(M28-L28),(M28-L28)),IF((L28-K28)&lt;0,-(L28-K28),(L28-K28)),IF((K28-J28)&lt;0,-(K28-J28),(K28-J28)))*$T28)+M28</f>
        <v/>
      </c>
      <c r="O28" s="277">
        <f>(AVERAGE(IF((N28-M28)&lt;0,-(N28-M28),(N28-M28)),IF((M28-L28)&lt;0,-(M28-L28),(M28-L28)),IF((L28-K28)&lt;0,-(L28-K28),(L28-K28)))*$T28)+N28</f>
        <v/>
      </c>
      <c r="P28" s="277">
        <f>(AVERAGE(IF((O28-N28)&lt;0,-(O28-N28),(O28-N28)),IF((N28-M28)&lt;0,-(N28-M28),(N28-M28)),IF((M28-L28)&lt;0,-(M28-L28),(M28-L28)))*$T28)+O28</f>
        <v/>
      </c>
      <c r="Q28" s="277">
        <f>(AVERAGE(IF((P28-O28)&lt;0,-(P28-O28),(P28-O28)),IF((O28-N28)&lt;0,-(O28-N28),(O28-N28)),IF((N28-M28)&lt;0,-(N28-M28),(N28-M28)))*$T28)+P28</f>
        <v/>
      </c>
      <c r="R28" s="277">
        <f>(AVERAGE(IF((Q28-P28)&lt;0,-(Q28-P28),(Q28-P28)),IF((P28-O28)&lt;0,-(P28-O28),(P28-O28)),IF((O28-N28)&lt;0,-(O28-N28),(O28-N28)))*$T28)+Q28</f>
        <v/>
      </c>
      <c r="S28" s="235">
        <f>AVERAGE(G28:R28)</f>
        <v/>
      </c>
      <c r="T28" s="278" t="n">
        <v>0.4</v>
      </c>
      <c r="U28" s="30" t="n"/>
      <c r="V28" s="30" t="n"/>
    </row>
    <row r="29" ht="17.25" customHeight="1" s="340">
      <c r="A29" s="232">
        <f>'Mapping Prob-Root'!A13</f>
        <v/>
      </c>
      <c r="B29" s="233">
        <f>'Mapping Prob-Root'!O13</f>
        <v/>
      </c>
      <c r="C29" s="236" t="inlineStr">
        <is>
          <t>medium</t>
        </is>
      </c>
      <c r="D29" s="303" t="inlineStr">
        <is>
          <t>Timeliness (All)</t>
        </is>
      </c>
      <c r="E29" s="428" t="n"/>
      <c r="F29" s="429" t="n"/>
      <c r="G29" s="234">
        <f>'SC4 Data'!G10</f>
        <v/>
      </c>
      <c r="H29" s="234">
        <f>'SC4 Data'!L10</f>
        <v/>
      </c>
      <c r="I29" s="234">
        <f>'SC4 Data'!Q10</f>
        <v/>
      </c>
      <c r="J29" s="234">
        <f>'SC4 Data'!V10</f>
        <v/>
      </c>
      <c r="K29" s="234">
        <f>'SC4 Data'!AA10</f>
        <v/>
      </c>
      <c r="L29" s="234">
        <f>'SC4 Data'!AF10</f>
        <v/>
      </c>
      <c r="M29" s="248">
        <f>'SC4 Data'!AK10</f>
        <v/>
      </c>
      <c r="N29" s="277">
        <f>(AVERAGE(IF((M29-L29)&lt;0,-(M29-L29),(M29-L29)),IF((L29-K29)&lt;0,-(L29-K29),(L29-K29)),IF((K29-J29)&lt;0,-(K29-J29),(K29-J29)))*$T29)+M29</f>
        <v/>
      </c>
      <c r="O29" s="277">
        <f>(AVERAGE(IF((N29-M29)&lt;0,-(N29-M29),(N29-M29)),IF((M29-L29)&lt;0,-(M29-L29),(M29-L29)),IF((L29-K29)&lt;0,-(L29-K29),(L29-K29)))*$T29)+N29</f>
        <v/>
      </c>
      <c r="P29" s="277">
        <f>(AVERAGE(IF((O29-N29)&lt;0,-(O29-N29),(O29-N29)),IF((N29-M29)&lt;0,-(N29-M29),(N29-M29)),IF((M29-L29)&lt;0,-(M29-L29),(M29-L29)))*$T29)+O29</f>
        <v/>
      </c>
      <c r="Q29" s="277">
        <f>(AVERAGE(IF((P29-O29)&lt;0,-(P29-O29),(P29-O29)),IF((O29-N29)&lt;0,-(O29-N29),(O29-N29)),IF((N29-M29)&lt;0,-(N29-M29),(N29-M29)))*$T29)+P29</f>
        <v/>
      </c>
      <c r="R29" s="277">
        <f>(AVERAGE(IF((Q29-P29)&lt;0,-(Q29-P29),(Q29-P29)),IF((P29-O29)&lt;0,-(P29-O29),(P29-O29)),IF((O29-N29)&lt;0,-(O29-N29),(O29-N29)))*$T29)+Q29</f>
        <v/>
      </c>
      <c r="S29" s="235">
        <f>AVERAGE(G29:R29)</f>
        <v/>
      </c>
      <c r="T29" s="278" t="n">
        <v>0.8</v>
      </c>
      <c r="U29" s="30" t="n"/>
      <c r="V29" s="30" t="n"/>
    </row>
    <row r="30" ht="17.25" customHeight="1" s="340">
      <c r="A30" s="232">
        <f>'Mapping Prob-Root'!A14</f>
        <v/>
      </c>
      <c r="B30" s="233">
        <f>'Mapping Prob-Root'!O14</f>
        <v/>
      </c>
      <c r="C30" s="236" t="inlineStr">
        <is>
          <t>medium</t>
        </is>
      </c>
      <c r="D30" s="303" t="inlineStr">
        <is>
          <t>Completeness (All)</t>
        </is>
      </c>
      <c r="E30" s="428" t="n"/>
      <c r="F30" s="429" t="n"/>
      <c r="G30" s="234">
        <f>'SC4 Data'!F11</f>
        <v/>
      </c>
      <c r="H30" s="234">
        <f>'SC4 Data'!K11</f>
        <v/>
      </c>
      <c r="I30" s="234">
        <f>'SC4 Data'!P11</f>
        <v/>
      </c>
      <c r="J30" s="234">
        <f>'SC4 Data'!U11</f>
        <v/>
      </c>
      <c r="K30" s="234">
        <f>'SC4 Data'!Z11</f>
        <v/>
      </c>
      <c r="L30" s="234">
        <f>'SC4 Data'!AE11</f>
        <v/>
      </c>
      <c r="M30" s="248">
        <f>'SC4 Data'!AJ11</f>
        <v/>
      </c>
      <c r="N30" s="277">
        <f>(AVERAGE(IF((M30-L30)&lt;0,-(M30-L30),(M30-L30)),IF((L30-K30)&lt;0,-(L30-K30),(L30-K30)),IF((K30-J30)&lt;0,-(K30-J30),(K30-J30)))*$T30)+M30</f>
        <v/>
      </c>
      <c r="O30" s="277">
        <f>(AVERAGE(IF((N30-M30)&lt;0,-(N30-M30),(N30-M30)),IF((M30-L30)&lt;0,-(M30-L30),(M30-L30)),IF((L30-K30)&lt;0,-(L30-K30),(L30-K30)))*$T30)+N30</f>
        <v/>
      </c>
      <c r="P30" s="277">
        <f>(AVERAGE(IF((O30-N30)&lt;0,-(O30-N30),(O30-N30)),IF((N30-M30)&lt;0,-(N30-M30),(N30-M30)),IF((M30-L30)&lt;0,-(M30-L30),(M30-L30)))*$T30)+O30</f>
        <v/>
      </c>
      <c r="Q30" s="277">
        <f>(AVERAGE(IF((P30-O30)&lt;0,-(P30-O30),(P30-O30)),IF((O30-N30)&lt;0,-(O30-N30),(O30-N30)),IF((N30-M30)&lt;0,-(N30-M30),(N30-M30)))*$T30)+P30</f>
        <v/>
      </c>
      <c r="R30" s="277">
        <f>(AVERAGE(IF((Q30-P30)&lt;0,-(Q30-P30),(Q30-P30)),IF((P30-O30)&lt;0,-(P30-O30),(P30-O30)),IF((O30-N30)&lt;0,-(O30-N30),(O30-N30)))*$T30)+Q30</f>
        <v/>
      </c>
      <c r="S30" s="235">
        <f>AVERAGE(G30:R30)</f>
        <v/>
      </c>
      <c r="T30" s="278" t="n">
        <v>0.8</v>
      </c>
      <c r="U30" s="30" t="n"/>
      <c r="V30" s="30" t="n"/>
    </row>
    <row r="31" ht="17.25" customHeight="1" s="340">
      <c r="A31" s="232">
        <f>'Mapping Prob-Root'!A15</f>
        <v/>
      </c>
      <c r="B31" s="233">
        <f>'Mapping Prob-Root'!O15</f>
        <v/>
      </c>
      <c r="C31" s="236" t="inlineStr">
        <is>
          <t>medium</t>
        </is>
      </c>
      <c r="D31" s="303" t="inlineStr">
        <is>
          <t>Timeliness (All)</t>
        </is>
      </c>
      <c r="E31" s="428" t="n"/>
      <c r="F31" s="429" t="n"/>
      <c r="G31" s="234">
        <f>'SC4 Data'!G11</f>
        <v/>
      </c>
      <c r="H31" s="234">
        <f>'SC4 Data'!L11</f>
        <v/>
      </c>
      <c r="I31" s="234">
        <f>'SC4 Data'!Q11</f>
        <v/>
      </c>
      <c r="J31" s="234">
        <f>'SC4 Data'!V11</f>
        <v/>
      </c>
      <c r="K31" s="234">
        <f>'SC4 Data'!AA11</f>
        <v/>
      </c>
      <c r="L31" s="234">
        <f>'SC4 Data'!AF11</f>
        <v/>
      </c>
      <c r="M31" s="248">
        <f>'SC4 Data'!AK11</f>
        <v/>
      </c>
      <c r="N31" s="277">
        <f>(AVERAGE(IF((M31-L31)&lt;0,-(M31-L31),(M31-L31)),IF((L31-K31)&lt;0,-(L31-K31),(L31-K31)),IF((K31-J31)&lt;0,-(K31-J31),(K31-J31)))*$T31)+M31</f>
        <v/>
      </c>
      <c r="O31" s="277">
        <f>(AVERAGE(IF((N31-M31)&lt;0,-(N31-M31),(N31-M31)),IF((M31-L31)&lt;0,-(M31-L31),(M31-L31)),IF((L31-K31)&lt;0,-(L31-K31),(L31-K31)))*$T31)+N31</f>
        <v/>
      </c>
      <c r="P31" s="277">
        <f>(AVERAGE(IF((O31-N31)&lt;0,-(O31-N31),(O31-N31)),IF((N31-M31)&lt;0,-(N31-M31),(N31-M31)),IF((M31-L31)&lt;0,-(M31-L31),(M31-L31)))*$T31)+O31</f>
        <v/>
      </c>
      <c r="Q31" s="277">
        <f>(AVERAGE(IF((P31-O31)&lt;0,-(P31-O31),(P31-O31)),IF((O31-N31)&lt;0,-(O31-N31),(O31-N31)),IF((N31-M31)&lt;0,-(N31-M31),(N31-M31)))*$T31)+P31</f>
        <v/>
      </c>
      <c r="R31" s="277">
        <f>(AVERAGE(IF((Q31-P31)&lt;0,-(Q31-P31),(Q31-P31)),IF((P31-O31)&lt;0,-(P31-O31),(P31-O31)),IF((O31-N31)&lt;0,-(O31-N31),(O31-N31)))*$T31)+Q31</f>
        <v/>
      </c>
      <c r="S31" s="235">
        <f>AVERAGE(G31:R31)</f>
        <v/>
      </c>
      <c r="T31" s="278" t="n">
        <v>1</v>
      </c>
      <c r="U31" s="30" t="n"/>
      <c r="V31" s="30" t="n"/>
    </row>
    <row r="32" ht="17.25" customHeight="1" s="340">
      <c r="A32" s="232">
        <f>'Mapping Prob-Root'!A16</f>
        <v/>
      </c>
      <c r="B32" s="233">
        <f>'Mapping Prob-Root'!O16</f>
        <v/>
      </c>
      <c r="C32" s="236" t="inlineStr">
        <is>
          <t>medium</t>
        </is>
      </c>
      <c r="D32" s="303" t="inlineStr">
        <is>
          <t>Completeness (All)</t>
        </is>
      </c>
      <c r="E32" s="428" t="n"/>
      <c r="F32" s="429" t="n"/>
      <c r="G32" s="234">
        <f>'SC4 Data'!F12</f>
        <v/>
      </c>
      <c r="H32" s="234">
        <f>'SC4 Data'!K12</f>
        <v/>
      </c>
      <c r="I32" s="234">
        <f>'SC4 Data'!P12</f>
        <v/>
      </c>
      <c r="J32" s="234">
        <f>'SC4 Data'!U12</f>
        <v/>
      </c>
      <c r="K32" s="234">
        <f>'SC4 Data'!Z12</f>
        <v/>
      </c>
      <c r="L32" s="234">
        <f>'SC4 Data'!AE12</f>
        <v/>
      </c>
      <c r="M32" s="248">
        <f>'SC4 Data'!AJ12</f>
        <v/>
      </c>
      <c r="N32" s="277">
        <f>(AVERAGE(IF((M32-L32)&lt;0,-(M32-L32),(M32-L32)),IF((L32-K32)&lt;0,-(L32-K32),(L32-K32)),IF((K32-J32)&lt;0,-(K32-J32),(K32-J32)))*$T32)+M32</f>
        <v/>
      </c>
      <c r="O32" s="277">
        <f>(AVERAGE(IF((N32-M32)&lt;0,-(N32-M32),(N32-M32)),IF((M32-L32)&lt;0,-(M32-L32),(M32-L32)),IF((L32-K32)&lt;0,-(L32-K32),(L32-K32)))*$T32)+N32</f>
        <v/>
      </c>
      <c r="P32" s="277">
        <f>(AVERAGE(IF((O32-N32)&lt;0,-(O32-N32),(O32-N32)),IF((N32-M32)&lt;0,-(N32-M32),(N32-M32)),IF((M32-L32)&lt;0,-(M32-L32),(M32-L32)))*$T32)+O32</f>
        <v/>
      </c>
      <c r="Q32" s="277">
        <f>(AVERAGE(IF((P32-O32)&lt;0,-(P32-O32),(P32-O32)),IF((O32-N32)&lt;0,-(O32-N32),(O32-N32)),IF((N32-M32)&lt;0,-(N32-M32),(N32-M32)))*$T32)+P32</f>
        <v/>
      </c>
      <c r="R32" s="277">
        <f>(AVERAGE(IF((Q32-P32)&lt;0,-(Q32-P32),(Q32-P32)),IF((P32-O32)&lt;0,-(P32-O32),(P32-O32)),IF((O32-N32)&lt;0,-(O32-N32),(O32-N32)))*$T32)+Q32</f>
        <v/>
      </c>
      <c r="S32" s="235">
        <f>AVERAGE(G32:R32)</f>
        <v/>
      </c>
      <c r="T32" s="278" t="n">
        <v>1.1</v>
      </c>
      <c r="U32" s="30" t="n"/>
      <c r="V32" s="30" t="n"/>
    </row>
    <row r="33" ht="17.25" customHeight="1" s="340">
      <c r="A33" s="232">
        <f>'Mapping Prob-Root'!A17</f>
        <v/>
      </c>
      <c r="B33" s="233">
        <f>'Mapping Prob-Root'!O17</f>
        <v/>
      </c>
      <c r="C33" s="236" t="inlineStr">
        <is>
          <t>medium</t>
        </is>
      </c>
      <c r="D33" s="303" t="inlineStr">
        <is>
          <t>Timeliness (All)</t>
        </is>
      </c>
      <c r="E33" s="428" t="n"/>
      <c r="F33" s="429" t="n"/>
      <c r="G33" s="234">
        <f>'SC4 Data'!G12</f>
        <v/>
      </c>
      <c r="H33" s="234">
        <f>'SC4 Data'!L12</f>
        <v/>
      </c>
      <c r="I33" s="234">
        <f>'SC4 Data'!Q12</f>
        <v/>
      </c>
      <c r="J33" s="234">
        <f>'SC4 Data'!V12</f>
        <v/>
      </c>
      <c r="K33" s="234">
        <f>'SC4 Data'!AA12</f>
        <v/>
      </c>
      <c r="L33" s="234">
        <f>'SC4 Data'!AF12</f>
        <v/>
      </c>
      <c r="M33" s="248">
        <f>'SC4 Data'!AK12</f>
        <v/>
      </c>
      <c r="N33" s="277">
        <f>(AVERAGE(IF((M33-L33)&lt;0,-(M33-L33),(M33-L33)),IF((L33-K33)&lt;0,-(L33-K33),(L33-K33)),IF((K33-J33)&lt;0,-(K33-J33),(K33-J33)))*$T33)+M33</f>
        <v/>
      </c>
      <c r="O33" s="277">
        <f>(AVERAGE(IF((N33-M33)&lt;0,-(N33-M33),(N33-M33)),IF((M33-L33)&lt;0,-(M33-L33),(M33-L33)),IF((L33-K33)&lt;0,-(L33-K33),(L33-K33)))*$T33)+N33</f>
        <v/>
      </c>
      <c r="P33" s="277">
        <f>(AVERAGE(IF((O33-N33)&lt;0,-(O33-N33),(O33-N33)),IF((N33-M33)&lt;0,-(N33-M33),(N33-M33)),IF((M33-L33)&lt;0,-(M33-L33),(M33-L33)))*$T33)+O33</f>
        <v/>
      </c>
      <c r="Q33" s="277">
        <f>(AVERAGE(IF((P33-O33)&lt;0,-(P33-O33),(P33-O33)),IF((O33-N33)&lt;0,-(O33-N33),(O33-N33)),IF((N33-M33)&lt;0,-(N33-M33),(N33-M33)))*$T33)+P33</f>
        <v/>
      </c>
      <c r="R33" s="277">
        <f>(AVERAGE(IF((Q33-P33)&lt;0,-(Q33-P33),(Q33-P33)),IF((P33-O33)&lt;0,-(P33-O33),(P33-O33)),IF((O33-N33)&lt;0,-(O33-N33),(O33-N33)))*$T33)+Q33</f>
        <v/>
      </c>
      <c r="S33" s="235">
        <f>AVERAGE(G33:R33)</f>
        <v/>
      </c>
      <c r="T33" s="278" t="n">
        <v>1.3</v>
      </c>
      <c r="U33" s="30" t="n"/>
      <c r="V33" s="30" t="n"/>
    </row>
    <row r="34" ht="17.25" customHeight="1" s="340">
      <c r="A34" s="232">
        <f>'Mapping Prob-Root'!A18</f>
        <v/>
      </c>
      <c r="B34" s="233">
        <f>'Mapping Prob-Root'!O18</f>
        <v/>
      </c>
      <c r="C34" s="236" t="inlineStr">
        <is>
          <t>medium</t>
        </is>
      </c>
      <c r="D34" s="303" t="inlineStr">
        <is>
          <t>Completeness (All)</t>
        </is>
      </c>
      <c r="E34" s="428" t="n"/>
      <c r="F34" s="429" t="n"/>
      <c r="G34" s="234">
        <f>'SC4 Data'!F13</f>
        <v/>
      </c>
      <c r="H34" s="234">
        <f>'SC4 Data'!K13</f>
        <v/>
      </c>
      <c r="I34" s="234">
        <f>'SC4 Data'!P13</f>
        <v/>
      </c>
      <c r="J34" s="234">
        <f>'SC4 Data'!U13</f>
        <v/>
      </c>
      <c r="K34" s="234">
        <f>'SC4 Data'!Z13</f>
        <v/>
      </c>
      <c r="L34" s="234">
        <f>'SC4 Data'!AE13</f>
        <v/>
      </c>
      <c r="M34" s="248">
        <f>'SC4 Data'!AJ13</f>
        <v/>
      </c>
      <c r="N34" s="277">
        <f>(AVERAGE(IF((M34-L34)&lt;0,-(M34-L34),(M34-L34)),IF((L34-K34)&lt;0,-(L34-K34),(L34-K34)),IF((K34-J34)&lt;0,-(K34-J34),(K34-J34)))*$T34)+M34</f>
        <v/>
      </c>
      <c r="O34" s="277">
        <f>(AVERAGE(IF((N34-M34)&lt;0,-(N34-M34),(N34-M34)),IF((M34-L34)&lt;0,-(M34-L34),(M34-L34)),IF((L34-K34)&lt;0,-(L34-K34),(L34-K34)))*$T34)+N34</f>
        <v/>
      </c>
      <c r="P34" s="277">
        <f>(AVERAGE(IF((O34-N34)&lt;0,-(O34-N34),(O34-N34)),IF((N34-M34)&lt;0,-(N34-M34),(N34-M34)),IF((M34-L34)&lt;0,-(M34-L34),(M34-L34)))*$T34)+O34</f>
        <v/>
      </c>
      <c r="Q34" s="277">
        <f>(AVERAGE(IF((P34-O34)&lt;0,-(P34-O34),(P34-O34)),IF((O34-N34)&lt;0,-(O34-N34),(O34-N34)),IF((N34-M34)&lt;0,-(N34-M34),(N34-M34)))*$T34)+P34</f>
        <v/>
      </c>
      <c r="R34" s="277">
        <f>(AVERAGE(IF((Q34-P34)&lt;0,-(Q34-P34),(Q34-P34)),IF((P34-O34)&lt;0,-(P34-O34),(P34-O34)),IF((O34-N34)&lt;0,-(O34-N34),(O34-N34)))*$T34)+Q34</f>
        <v/>
      </c>
      <c r="S34" s="235">
        <f>AVERAGE(G34:R34)</f>
        <v/>
      </c>
      <c r="T34" s="278" t="n">
        <v>0.3</v>
      </c>
      <c r="U34" s="30" t="n"/>
      <c r="V34" s="30" t="n"/>
    </row>
    <row r="35" ht="17.25" customHeight="1" s="340">
      <c r="A35" s="232">
        <f>'Mapping Prob-Root'!A19</f>
        <v/>
      </c>
      <c r="B35" s="233">
        <f>'Mapping Prob-Root'!O19</f>
        <v/>
      </c>
      <c r="C35" s="236" t="inlineStr">
        <is>
          <t>medium</t>
        </is>
      </c>
      <c r="D35" s="303" t="inlineStr">
        <is>
          <t>Timeliness (All)</t>
        </is>
      </c>
      <c r="E35" s="428" t="n"/>
      <c r="F35" s="429" t="n"/>
      <c r="G35" s="234">
        <f>'SC4 Data'!G13</f>
        <v/>
      </c>
      <c r="H35" s="234">
        <f>'SC4 Data'!L13</f>
        <v/>
      </c>
      <c r="I35" s="234">
        <f>'SC4 Data'!Q13</f>
        <v/>
      </c>
      <c r="J35" s="234">
        <f>'SC4 Data'!V13</f>
        <v/>
      </c>
      <c r="K35" s="234">
        <f>'SC4 Data'!AA13</f>
        <v/>
      </c>
      <c r="L35" s="234">
        <f>'SC4 Data'!AF13</f>
        <v/>
      </c>
      <c r="M35" s="248">
        <f>'SC4 Data'!AK13</f>
        <v/>
      </c>
      <c r="N35" s="277">
        <f>(AVERAGE(IF((M35-L35)&lt;0,-(M35-L35),(M35-L35)),IF((L35-K35)&lt;0,-(L35-K35),(L35-K35)),IF((K35-J35)&lt;0,-(K35-J35),(K35-J35)))*$T35)+M35</f>
        <v/>
      </c>
      <c r="O35" s="277">
        <f>(AVERAGE(IF((N35-M35)&lt;0,-(N35-M35),(N35-M35)),IF((M35-L35)&lt;0,-(M35-L35),(M35-L35)),IF((L35-K35)&lt;0,-(L35-K35),(L35-K35)))*$T35)+N35</f>
        <v/>
      </c>
      <c r="P35" s="277">
        <f>(AVERAGE(IF((O35-N35)&lt;0,-(O35-N35),(O35-N35)),IF((N35-M35)&lt;0,-(N35-M35),(N35-M35)),IF((M35-L35)&lt;0,-(M35-L35),(M35-L35)))*$T35)+O35</f>
        <v/>
      </c>
      <c r="Q35" s="277">
        <f>(AVERAGE(IF((P35-O35)&lt;0,-(P35-O35),(P35-O35)),IF((O35-N35)&lt;0,-(O35-N35),(O35-N35)),IF((N35-M35)&lt;0,-(N35-M35),(N35-M35)))*$T35)+P35</f>
        <v/>
      </c>
      <c r="R35" s="277">
        <f>(AVERAGE(IF((Q35-P35)&lt;0,-(Q35-P35),(Q35-P35)),IF((P35-O35)&lt;0,-(P35-O35),(P35-O35)),IF((O35-N35)&lt;0,-(O35-N35),(O35-N35)))*$T35)+Q35</f>
        <v/>
      </c>
      <c r="S35" s="235">
        <f>AVERAGE(G35:R35)</f>
        <v/>
      </c>
      <c r="T35" s="278" t="n">
        <v>1</v>
      </c>
      <c r="U35" s="30" t="n"/>
      <c r="V35" s="30" t="n"/>
    </row>
    <row r="36" ht="17.25" customHeight="1" s="340">
      <c r="A36" s="232">
        <f>'Mapping Prob-Root'!A20</f>
        <v/>
      </c>
      <c r="B36" s="233">
        <f>'Mapping Prob-Root'!O20</f>
        <v/>
      </c>
      <c r="C36" s="236" t="inlineStr">
        <is>
          <t>high</t>
        </is>
      </c>
      <c r="D36" s="303" t="inlineStr">
        <is>
          <t>Completeness (Critical)</t>
        </is>
      </c>
      <c r="E36" s="428" t="n"/>
      <c r="F36" s="429" t="n"/>
      <c r="G36" s="234">
        <f>'SC4 Data'!F14</f>
        <v/>
      </c>
      <c r="H36" s="234">
        <f>'SC4 Data'!K14</f>
        <v/>
      </c>
      <c r="I36" s="234">
        <f>'SC4 Data'!P14</f>
        <v/>
      </c>
      <c r="J36" s="234">
        <f>'SC4 Data'!U14</f>
        <v/>
      </c>
      <c r="K36" s="234">
        <f>'SC4 Data'!Z14</f>
        <v/>
      </c>
      <c r="L36" s="234">
        <f>'SC4 Data'!AE14</f>
        <v/>
      </c>
      <c r="M36" s="248">
        <f>'SC4 Data'!AJ14</f>
        <v/>
      </c>
      <c r="N36" s="277">
        <f>(AVERAGE(IF((M36-L36)&lt;0,-(M36-L36),(M36-L36)),IF((L36-K36)&lt;0,-(L36-K36),(L36-K36)),IF((K36-J36)&lt;0,-(K36-J36),(K36-J36)))*$T36)+M36</f>
        <v/>
      </c>
      <c r="O36" s="277">
        <f>(AVERAGE(IF((N36-M36)&lt;0,-(N36-M36),(N36-M36)),IF((M36-L36)&lt;0,-(M36-L36),(M36-L36)),IF((L36-K36)&lt;0,-(L36-K36),(L36-K36)))*$T36)+N36</f>
        <v/>
      </c>
      <c r="P36" s="277">
        <f>(AVERAGE(IF((O36-N36)&lt;0,-(O36-N36),(O36-N36)),IF((N36-M36)&lt;0,-(N36-M36),(N36-M36)),IF((M36-L36)&lt;0,-(M36-L36),(M36-L36)))*$T36)+O36</f>
        <v/>
      </c>
      <c r="Q36" s="277">
        <f>(AVERAGE(IF((P36-O36)&lt;0,-(P36-O36),(P36-O36)),IF((O36-N36)&lt;0,-(O36-N36),(O36-N36)),IF((N36-M36)&lt;0,-(N36-M36),(N36-M36)))*$T36)+P36</f>
        <v/>
      </c>
      <c r="R36" s="277">
        <f>(AVERAGE(IF((Q36-P36)&lt;0,-(Q36-P36),(Q36-P36)),IF((P36-O36)&lt;0,-(P36-O36),(P36-O36)),IF((O36-N36)&lt;0,-(O36-N36),(O36-N36)))*$T36)+Q36</f>
        <v/>
      </c>
      <c r="S36" s="235">
        <f>AVERAGE(G36:R36)</f>
        <v/>
      </c>
      <c r="T36" s="278" t="n">
        <v>0.7</v>
      </c>
      <c r="U36" s="276" t="n"/>
      <c r="V36" s="30" t="n"/>
    </row>
    <row r="37" ht="17.25" customHeight="1" s="340">
      <c r="A37" s="232">
        <f>'Mapping Prob-Root'!A21</f>
        <v/>
      </c>
      <c r="B37" s="233">
        <f>'Mapping Prob-Root'!O21</f>
        <v/>
      </c>
      <c r="C37" s="236" t="inlineStr">
        <is>
          <t>high</t>
        </is>
      </c>
      <c r="D37" s="303" t="inlineStr">
        <is>
          <t>Timeliness (Critical)</t>
        </is>
      </c>
      <c r="E37" s="428" t="n"/>
      <c r="F37" s="429" t="n"/>
      <c r="G37" s="234">
        <f>'SC4 Data'!G14</f>
        <v/>
      </c>
      <c r="H37" s="234">
        <f>'SC4 Data'!L14</f>
        <v/>
      </c>
      <c r="I37" s="234">
        <f>'SC4 Data'!Q14</f>
        <v/>
      </c>
      <c r="J37" s="234">
        <f>'SC4 Data'!V14</f>
        <v/>
      </c>
      <c r="K37" s="234">
        <f>'SC4 Data'!AA14</f>
        <v/>
      </c>
      <c r="L37" s="234">
        <f>'SC4 Data'!AF14</f>
        <v/>
      </c>
      <c r="M37" s="248">
        <f>'SC4 Data'!AK14</f>
        <v/>
      </c>
      <c r="N37" s="277">
        <f>(AVERAGE(IF((M37-L37)&lt;0,-(M37-L37),(M37-L37)),IF((L37-K37)&lt;0,-(L37-K37),(L37-K37)),IF((K37-J37)&lt;0,-(K37-J37),(K37-J37)))*$T37)+M37</f>
        <v/>
      </c>
      <c r="O37" s="277">
        <f>(AVERAGE(IF((N37-M37)&lt;0,-(N37-M37),(N37-M37)),IF((M37-L37)&lt;0,-(M37-L37),(M37-L37)),IF((L37-K37)&lt;0,-(L37-K37),(L37-K37)))*$T37)+N37</f>
        <v/>
      </c>
      <c r="P37" s="277">
        <f>(AVERAGE(IF((O37-N37)&lt;0,-(O37-N37),(O37-N37)),IF((N37-M37)&lt;0,-(N37-M37),(N37-M37)),IF((M37-L37)&lt;0,-(M37-L37),(M37-L37)))*$T37)+O37</f>
        <v/>
      </c>
      <c r="Q37" s="277">
        <f>(AVERAGE(IF((P37-O37)&lt;0,-(P37-O37),(P37-O37)),IF((O37-N37)&lt;0,-(O37-N37),(O37-N37)),IF((N37-M37)&lt;0,-(N37-M37),(N37-M37)))*$T37)+P37</f>
        <v/>
      </c>
      <c r="R37" s="277">
        <f>(AVERAGE(IF((Q37-P37)&lt;0,-(Q37-P37),(Q37-P37)),IF((P37-O37)&lt;0,-(P37-O37),(P37-O37)),IF((O37-N37)&lt;0,-(O37-N37),(O37-N37)))*$T37)+Q37</f>
        <v/>
      </c>
      <c r="S37" s="235">
        <f>AVERAGE(G37:R37)</f>
        <v/>
      </c>
      <c r="T37" s="278" t="n">
        <v>0.2</v>
      </c>
      <c r="U37" s="30" t="n"/>
      <c r="V37" s="30" t="n"/>
    </row>
    <row r="38" ht="17.25" customHeight="1" s="340">
      <c r="A38" s="232">
        <f>'Mapping Prob-Root'!A22</f>
        <v/>
      </c>
      <c r="B38" s="233">
        <f>'Mapping Prob-Root'!O22</f>
        <v/>
      </c>
      <c r="C38" s="236" t="inlineStr">
        <is>
          <t>high</t>
        </is>
      </c>
      <c r="D38" s="303" t="inlineStr">
        <is>
          <t>Completeness (Critical)</t>
        </is>
      </c>
      <c r="E38" s="428" t="n"/>
      <c r="F38" s="429" t="n"/>
      <c r="G38" s="234">
        <f>'SC4 Data'!F15</f>
        <v/>
      </c>
      <c r="H38" s="234">
        <f>'SC4 Data'!K15</f>
        <v/>
      </c>
      <c r="I38" s="234">
        <f>'SC4 Data'!P15</f>
        <v/>
      </c>
      <c r="J38" s="234">
        <f>'SC4 Data'!U15</f>
        <v/>
      </c>
      <c r="K38" s="234">
        <f>'SC4 Data'!Z15</f>
        <v/>
      </c>
      <c r="L38" s="234">
        <f>'SC4 Data'!AE15</f>
        <v/>
      </c>
      <c r="M38" s="248">
        <f>'SC4 Data'!AJ15</f>
        <v/>
      </c>
      <c r="N38" s="277">
        <f>(AVERAGE(IF((M38-L38)&lt;0,-(M38-L38),(M38-L38)),IF((L38-K38)&lt;0,-(L38-K38),(L38-K38)),IF((K38-J38)&lt;0,-(K38-J38),(K38-J38)))*$T38)+M38</f>
        <v/>
      </c>
      <c r="O38" s="277">
        <f>(AVERAGE(IF((N38-M38)&lt;0,-(N38-M38),(N38-M38)),IF((M38-L38)&lt;0,-(M38-L38),(M38-L38)),IF((L38-K38)&lt;0,-(L38-K38),(L38-K38)))*$T38)+N38</f>
        <v/>
      </c>
      <c r="P38" s="277">
        <f>(AVERAGE(IF((O38-N38)&lt;0,-(O38-N38),(O38-N38)),IF((N38-M38)&lt;0,-(N38-M38),(N38-M38)),IF((M38-L38)&lt;0,-(M38-L38),(M38-L38)))*$T38)+O38</f>
        <v/>
      </c>
      <c r="Q38" s="277">
        <f>(AVERAGE(IF((P38-O38)&lt;0,-(P38-O38),(P38-O38)),IF((O38-N38)&lt;0,-(O38-N38),(O38-N38)),IF((N38-M38)&lt;0,-(N38-M38),(N38-M38)))*$T38)+P38</f>
        <v/>
      </c>
      <c r="R38" s="277">
        <f>(AVERAGE(IF((Q38-P38)&lt;0,-(Q38-P38),(Q38-P38)),IF((P38-O38)&lt;0,-(P38-O38),(P38-O38)),IF((O38-N38)&lt;0,-(O38-N38),(O38-N38)))*$T38)+Q38</f>
        <v/>
      </c>
      <c r="S38" s="235">
        <f>AVERAGE(G38:R38)</f>
        <v/>
      </c>
      <c r="T38" s="278" t="n">
        <v>0.4</v>
      </c>
      <c r="U38" s="276" t="n"/>
      <c r="V38" s="30" t="n"/>
    </row>
    <row r="39" ht="17.25" customHeight="1" s="340">
      <c r="A39" s="232">
        <f>'Mapping Prob-Root'!A23</f>
        <v/>
      </c>
      <c r="B39" s="233">
        <f>'Mapping Prob-Root'!O23</f>
        <v/>
      </c>
      <c r="C39" s="236" t="inlineStr">
        <is>
          <t>high</t>
        </is>
      </c>
      <c r="D39" s="303" t="inlineStr">
        <is>
          <t>Timeliness (Critical)</t>
        </is>
      </c>
      <c r="E39" s="428" t="n"/>
      <c r="F39" s="429" t="n"/>
      <c r="G39" s="234">
        <f>'SC4 Data'!G15</f>
        <v/>
      </c>
      <c r="H39" s="234">
        <f>'SC4 Data'!L15</f>
        <v/>
      </c>
      <c r="I39" s="234">
        <f>'SC4 Data'!Q15</f>
        <v/>
      </c>
      <c r="J39" s="234">
        <f>'SC4 Data'!V15</f>
        <v/>
      </c>
      <c r="K39" s="234">
        <f>'SC4 Data'!AA15</f>
        <v/>
      </c>
      <c r="L39" s="234">
        <f>'SC4 Data'!AF15</f>
        <v/>
      </c>
      <c r="M39" s="248">
        <f>'SC4 Data'!AK15</f>
        <v/>
      </c>
      <c r="N39" s="277">
        <f>(AVERAGE(IF((M39-L39)&lt;0,-(M39-L39),(M39-L39)),IF((L39-K39)&lt;0,-(L39-K39),(L39-K39)),IF((K39-J39)&lt;0,-(K39-J39),(K39-J39)))*$T39)+M39</f>
        <v/>
      </c>
      <c r="O39" s="277">
        <f>(AVERAGE(IF((N39-M39)&lt;0,-(N39-M39),(N39-M39)),IF((M39-L39)&lt;0,-(M39-L39),(M39-L39)),IF((L39-K39)&lt;0,-(L39-K39),(L39-K39)))*$T39)+N39</f>
        <v/>
      </c>
      <c r="P39" s="277">
        <f>(AVERAGE(IF((O39-N39)&lt;0,-(O39-N39),(O39-N39)),IF((N39-M39)&lt;0,-(N39-M39),(N39-M39)),IF((M39-L39)&lt;0,-(M39-L39),(M39-L39)))*$T39)+O39</f>
        <v/>
      </c>
      <c r="Q39" s="277">
        <f>(AVERAGE(IF((P39-O39)&lt;0,-(P39-O39),(P39-O39)),IF((O39-N39)&lt;0,-(O39-N39),(O39-N39)),IF((N39-M39)&lt;0,-(N39-M39),(N39-M39)))*$T39)+P39</f>
        <v/>
      </c>
      <c r="R39" s="277">
        <f>(AVERAGE(IF((Q39-P39)&lt;0,-(Q39-P39),(Q39-P39)),IF((P39-O39)&lt;0,-(P39-O39),(P39-O39)),IF((O39-N39)&lt;0,-(O39-N39),(O39-N39)))*$T39)+Q39</f>
        <v/>
      </c>
      <c r="S39" s="235">
        <f>AVERAGE(G39:R39)</f>
        <v/>
      </c>
      <c r="T39" s="278" t="n">
        <v>0.5</v>
      </c>
      <c r="U39" s="30" t="n"/>
      <c r="V39" s="30" t="n"/>
    </row>
    <row r="40" ht="17.25" customHeight="1" s="340">
      <c r="A40" s="232">
        <f>'Mapping Prob-Root'!A24</f>
        <v/>
      </c>
      <c r="B40" s="233">
        <f>'Mapping Prob-Root'!O24</f>
        <v/>
      </c>
      <c r="C40" s="236" t="inlineStr">
        <is>
          <t>high</t>
        </is>
      </c>
      <c r="D40" s="303" t="inlineStr">
        <is>
          <t>Completeness (Critical)</t>
        </is>
      </c>
      <c r="E40" s="428" t="n"/>
      <c r="F40" s="429" t="n"/>
      <c r="G40" s="234">
        <f>'SC4 Data'!F16</f>
        <v/>
      </c>
      <c r="H40" s="234">
        <f>'SC4 Data'!K16</f>
        <v/>
      </c>
      <c r="I40" s="234">
        <f>'SC4 Data'!P16</f>
        <v/>
      </c>
      <c r="J40" s="234">
        <f>'SC4 Data'!U16</f>
        <v/>
      </c>
      <c r="K40" s="234">
        <f>'SC4 Data'!Z16</f>
        <v/>
      </c>
      <c r="L40" s="234">
        <f>'SC4 Data'!AE16</f>
        <v/>
      </c>
      <c r="M40" s="248">
        <f>'SC4 Data'!AJ16</f>
        <v/>
      </c>
      <c r="N40" s="277">
        <f>(AVERAGE(IF((M40-L40)&lt;0,-(M40-L40),(M40-L40)),IF((L40-K40)&lt;0,-(L40-K40),(L40-K40)),IF((K40-J40)&lt;0,-(K40-J40),(K40-J40)))*$T40)+M40</f>
        <v/>
      </c>
      <c r="O40" s="277">
        <f>(AVERAGE(IF((N40-M40)&lt;0,-(N40-M40),(N40-M40)),IF((M40-L40)&lt;0,-(M40-L40),(M40-L40)),IF((L40-K40)&lt;0,-(L40-K40),(L40-K40)))*$T40)+N40</f>
        <v/>
      </c>
      <c r="P40" s="277">
        <f>(AVERAGE(IF((O40-N40)&lt;0,-(O40-N40),(O40-N40)),IF((N40-M40)&lt;0,-(N40-M40),(N40-M40)),IF((M40-L40)&lt;0,-(M40-L40),(M40-L40)))*$T40)+O40</f>
        <v/>
      </c>
      <c r="Q40" s="277">
        <f>(AVERAGE(IF((P40-O40)&lt;0,-(P40-O40),(P40-O40)),IF((O40-N40)&lt;0,-(O40-N40),(O40-N40)),IF((N40-M40)&lt;0,-(N40-M40),(N40-M40)))*$T40)+P40</f>
        <v/>
      </c>
      <c r="R40" s="277">
        <f>(AVERAGE(IF((Q40-P40)&lt;0,-(Q40-P40),(Q40-P40)),IF((P40-O40)&lt;0,-(P40-O40),(P40-O40)),IF((O40-N40)&lt;0,-(O40-N40),(O40-N40)))*$T40)+Q40</f>
        <v/>
      </c>
      <c r="S40" s="235">
        <f>AVERAGE(G40:R40)</f>
        <v/>
      </c>
      <c r="T40" s="278" t="n">
        <v>0.1</v>
      </c>
      <c r="U40" s="276" t="n"/>
      <c r="V40" s="30" t="n"/>
    </row>
    <row r="41" ht="17.25" customHeight="1" s="340">
      <c r="A41" s="232">
        <f>'Mapping Prob-Root'!A25</f>
        <v/>
      </c>
      <c r="B41" s="233">
        <f>'Mapping Prob-Root'!O25</f>
        <v/>
      </c>
      <c r="C41" s="236" t="inlineStr">
        <is>
          <t>high</t>
        </is>
      </c>
      <c r="D41" s="303" t="inlineStr">
        <is>
          <t>Timeliness (Critical)</t>
        </is>
      </c>
      <c r="E41" s="428" t="n"/>
      <c r="F41" s="429" t="n"/>
      <c r="G41" s="234">
        <f>'SC4 Data'!G16</f>
        <v/>
      </c>
      <c r="H41" s="234">
        <f>'SC4 Data'!L16</f>
        <v/>
      </c>
      <c r="I41" s="234">
        <f>'SC4 Data'!Q16</f>
        <v/>
      </c>
      <c r="J41" s="234">
        <f>'SC4 Data'!V16</f>
        <v/>
      </c>
      <c r="K41" s="234">
        <f>'SC4 Data'!AA16</f>
        <v/>
      </c>
      <c r="L41" s="234">
        <f>'SC4 Data'!AF16</f>
        <v/>
      </c>
      <c r="M41" s="248">
        <f>'SC4 Data'!AK16</f>
        <v/>
      </c>
      <c r="N41" s="277">
        <f>(AVERAGE(IF((M41-L41)&lt;0,-(M41-L41),(M41-L41)),IF((L41-K41)&lt;0,-(L41-K41),(L41-K41)),IF((K41-J41)&lt;0,-(K41-J41),(K41-J41)))*$T41)+M41</f>
        <v/>
      </c>
      <c r="O41" s="277">
        <f>(AVERAGE(IF((N41-M41)&lt;0,-(N41-M41),(N41-M41)),IF((M41-L41)&lt;0,-(M41-L41),(M41-L41)),IF((L41-K41)&lt;0,-(L41-K41),(L41-K41)))*$T41)+N41</f>
        <v/>
      </c>
      <c r="P41" s="277">
        <f>(AVERAGE(IF((O41-N41)&lt;0,-(O41-N41),(O41-N41)),IF((N41-M41)&lt;0,-(N41-M41),(N41-M41)),IF((M41-L41)&lt;0,-(M41-L41),(M41-L41)))*$T41)+O41</f>
        <v/>
      </c>
      <c r="Q41" s="277">
        <f>(AVERAGE(IF((P41-O41)&lt;0,-(P41-O41),(P41-O41)),IF((O41-N41)&lt;0,-(O41-N41),(O41-N41)),IF((N41-M41)&lt;0,-(N41-M41),(N41-M41)))*$T41)+P41</f>
        <v/>
      </c>
      <c r="R41" s="277">
        <f>(AVERAGE(IF((Q41-P41)&lt;0,-(Q41-P41),(Q41-P41)),IF((P41-O41)&lt;0,-(P41-O41),(P41-O41)),IF((O41-N41)&lt;0,-(O41-N41),(O41-N41)))*$T41)+Q41</f>
        <v/>
      </c>
      <c r="S41" s="235">
        <f>AVERAGE(G41:R41)</f>
        <v/>
      </c>
      <c r="T41" s="278" t="n">
        <v>1.1</v>
      </c>
      <c r="U41" s="30" t="n"/>
      <c r="V41" s="30" t="n"/>
    </row>
    <row r="42" ht="17.25" customHeight="1" s="340">
      <c r="A42" s="232">
        <f>'Mapping Prob-Root'!A26</f>
        <v/>
      </c>
      <c r="B42" s="233">
        <f>'Mapping Prob-Root'!O26</f>
        <v/>
      </c>
      <c r="C42" s="236" t="inlineStr">
        <is>
          <t>high</t>
        </is>
      </c>
      <c r="D42" s="303" t="inlineStr">
        <is>
          <t>Completeness (Critical)</t>
        </is>
      </c>
      <c r="E42" s="428" t="n"/>
      <c r="F42" s="429" t="n"/>
      <c r="G42" s="234">
        <f>'SC4 Data'!F17</f>
        <v/>
      </c>
      <c r="H42" s="234">
        <f>'SC4 Data'!K17</f>
        <v/>
      </c>
      <c r="I42" s="234">
        <f>'SC4 Data'!P17</f>
        <v/>
      </c>
      <c r="J42" s="234">
        <f>'SC4 Data'!U17</f>
        <v/>
      </c>
      <c r="K42" s="234">
        <f>'SC4 Data'!Z17</f>
        <v/>
      </c>
      <c r="L42" s="234">
        <f>'SC4 Data'!AE17</f>
        <v/>
      </c>
      <c r="M42" s="248">
        <f>'SC4 Data'!AJ17</f>
        <v/>
      </c>
      <c r="N42" s="277">
        <f>(AVERAGE(IF((M42-L42)&lt;0,-(M42-L42),(M42-L42)),IF((L42-K42)&lt;0,-(L42-K42),(L42-K42)),IF((K42-J42)&lt;0,-(K42-J42),(K42-J42)))*$T42)+M42</f>
        <v/>
      </c>
      <c r="O42" s="277">
        <f>(AVERAGE(IF((N42-M42)&lt;0,-(N42-M42),(N42-M42)),IF((M42-L42)&lt;0,-(M42-L42),(M42-L42)),IF((L42-K42)&lt;0,-(L42-K42),(L42-K42)))*$T42)+N42</f>
        <v/>
      </c>
      <c r="P42" s="277">
        <f>(AVERAGE(IF((O42-N42)&lt;0,-(O42-N42),(O42-N42)),IF((N42-M42)&lt;0,-(N42-M42),(N42-M42)),IF((M42-L42)&lt;0,-(M42-L42),(M42-L42)))*$T42)+O42</f>
        <v/>
      </c>
      <c r="Q42" s="277">
        <f>(AVERAGE(IF((P42-O42)&lt;0,-(P42-O42),(P42-O42)),IF((O42-N42)&lt;0,-(O42-N42),(O42-N42)),IF((N42-M42)&lt;0,-(N42-M42),(N42-M42)))*$T42)+P42</f>
        <v/>
      </c>
      <c r="R42" s="277">
        <f>(AVERAGE(IF((Q42-P42)&lt;0,-(Q42-P42),(Q42-P42)),IF((P42-O42)&lt;0,-(P42-O42),(P42-O42)),IF((O42-N42)&lt;0,-(O42-N42),(O42-N42)))*$T42)+Q42</f>
        <v/>
      </c>
      <c r="S42" s="235">
        <f>AVERAGE(G42:R42)</f>
        <v/>
      </c>
      <c r="T42" s="278" t="n">
        <v>0.8</v>
      </c>
      <c r="U42" s="276" t="n"/>
      <c r="V42" s="30" t="n"/>
    </row>
    <row r="43" ht="17.25" customHeight="1" s="340">
      <c r="A43" s="232">
        <f>'Mapping Prob-Root'!A27</f>
        <v/>
      </c>
      <c r="B43" s="233">
        <f>'Mapping Prob-Root'!O27</f>
        <v/>
      </c>
      <c r="C43" s="236" t="inlineStr">
        <is>
          <t>high</t>
        </is>
      </c>
      <c r="D43" s="303" t="inlineStr">
        <is>
          <t>Timeliness (Critical)</t>
        </is>
      </c>
      <c r="E43" s="428" t="n"/>
      <c r="F43" s="429" t="n"/>
      <c r="G43" s="234">
        <f>'SC4 Data'!G17</f>
        <v/>
      </c>
      <c r="H43" s="234">
        <f>'SC4 Data'!L17</f>
        <v/>
      </c>
      <c r="I43" s="234">
        <f>'SC4 Data'!Q17</f>
        <v/>
      </c>
      <c r="J43" s="234">
        <f>'SC4 Data'!V17</f>
        <v/>
      </c>
      <c r="K43" s="234">
        <f>'SC4 Data'!AA17</f>
        <v/>
      </c>
      <c r="L43" s="234">
        <f>'SC4 Data'!AF17</f>
        <v/>
      </c>
      <c r="M43" s="248">
        <f>'SC4 Data'!AK17</f>
        <v/>
      </c>
      <c r="N43" s="277">
        <f>(AVERAGE(IF((M43-L43)&lt;0,-(M43-L43),(M43-L43)),IF((L43-K43)&lt;0,-(L43-K43),(L43-K43)),IF((K43-J43)&lt;0,-(K43-J43),(K43-J43)))*$T43)+M43</f>
        <v/>
      </c>
      <c r="O43" s="277">
        <f>(AVERAGE(IF((N43-M43)&lt;0,-(N43-M43),(N43-M43)),IF((M43-L43)&lt;0,-(M43-L43),(M43-L43)),IF((L43-K43)&lt;0,-(L43-K43),(L43-K43)))*$T43)+N43</f>
        <v/>
      </c>
      <c r="P43" s="277">
        <f>(AVERAGE(IF((O43-N43)&lt;0,-(O43-N43),(O43-N43)),IF((N43-M43)&lt;0,-(N43-M43),(N43-M43)),IF((M43-L43)&lt;0,-(M43-L43),(M43-L43)))*$T43)+O43</f>
        <v/>
      </c>
      <c r="Q43" s="277">
        <f>(AVERAGE(IF((P43-O43)&lt;0,-(P43-O43),(P43-O43)),IF((O43-N43)&lt;0,-(O43-N43),(O43-N43)),IF((N43-M43)&lt;0,-(N43-M43),(N43-M43)))*$T43)+P43</f>
        <v/>
      </c>
      <c r="R43" s="277">
        <f>(AVERAGE(IF((Q43-P43)&lt;0,-(Q43-P43),(Q43-P43)),IF((P43-O43)&lt;0,-(P43-O43),(P43-O43)),IF((O43-N43)&lt;0,-(O43-N43),(O43-N43)))*$T43)+Q43</f>
        <v/>
      </c>
      <c r="S43" s="235">
        <f>AVERAGE(G43:R43)</f>
        <v/>
      </c>
      <c r="T43" s="278" t="n">
        <v>1.5</v>
      </c>
      <c r="U43" s="30" t="n"/>
      <c r="V43" s="30" t="n"/>
    </row>
    <row r="44" ht="17.25" customHeight="1" s="340">
      <c r="A44" s="232">
        <f>'Mapping Prob-Root'!A28</f>
        <v/>
      </c>
      <c r="B44" s="233">
        <f>'Mapping Prob-Root'!O28</f>
        <v/>
      </c>
      <c r="C44" s="236" t="inlineStr">
        <is>
          <t>medium</t>
        </is>
      </c>
      <c r="D44" s="303" t="inlineStr">
        <is>
          <t>Completeness (All)</t>
        </is>
      </c>
      <c r="E44" s="428" t="n"/>
      <c r="F44" s="429" t="n"/>
      <c r="G44" s="234">
        <f>'SC4 Data'!F18</f>
        <v/>
      </c>
      <c r="H44" s="234">
        <f>'SC4 Data'!K18</f>
        <v/>
      </c>
      <c r="I44" s="234">
        <f>'SC4 Data'!P18</f>
        <v/>
      </c>
      <c r="J44" s="234">
        <f>'SC4 Data'!U18</f>
        <v/>
      </c>
      <c r="K44" s="234">
        <f>'SC4 Data'!Z18</f>
        <v/>
      </c>
      <c r="L44" s="234">
        <f>'SC4 Data'!AE18</f>
        <v/>
      </c>
      <c r="M44" s="248">
        <f>'SC4 Data'!AJ18</f>
        <v/>
      </c>
      <c r="N44" s="277">
        <f>(AVERAGE(IF((M44-L44)&lt;0,-(M44-L44),(M44-L44)),IF((L44-K44)&lt;0,-(L44-K44),(L44-K44)),IF((K44-J44)&lt;0,-(K44-J44),(K44-J44)))*$T44)+M44</f>
        <v/>
      </c>
      <c r="O44" s="277">
        <f>(AVERAGE(IF((N44-M44)&lt;0,-(N44-M44),(N44-M44)),IF((M44-L44)&lt;0,-(M44-L44),(M44-L44)),IF((L44-K44)&lt;0,-(L44-K44),(L44-K44)))*$T44)+N44</f>
        <v/>
      </c>
      <c r="P44" s="277">
        <f>(AVERAGE(IF((O44-N44)&lt;0,-(O44-N44),(O44-N44)),IF((N44-M44)&lt;0,-(N44-M44),(N44-M44)),IF((M44-L44)&lt;0,-(M44-L44),(M44-L44)))*$T44)+O44</f>
        <v/>
      </c>
      <c r="Q44" s="277">
        <f>(AVERAGE(IF((P44-O44)&lt;0,-(P44-O44),(P44-O44)),IF((O44-N44)&lt;0,-(O44-N44),(O44-N44)),IF((N44-M44)&lt;0,-(N44-M44),(N44-M44)))*$T44)+P44</f>
        <v/>
      </c>
      <c r="R44" s="277">
        <f>(AVERAGE(IF((Q44-P44)&lt;0,-(Q44-P44),(Q44-P44)),IF((P44-O44)&lt;0,-(P44-O44),(P44-O44)),IF((O44-N44)&lt;0,-(O44-N44),(O44-N44)))*$T44)+Q44</f>
        <v/>
      </c>
      <c r="S44" s="235">
        <f>AVERAGE(G44:R44)</f>
        <v/>
      </c>
      <c r="T44" s="278" t="n">
        <v>0.8</v>
      </c>
      <c r="U44" s="30" t="n"/>
      <c r="V44" s="30" t="n"/>
    </row>
    <row r="45" ht="17.25" customHeight="1" s="340">
      <c r="A45" s="232">
        <f>'Mapping Prob-Root'!A29</f>
        <v/>
      </c>
      <c r="B45" s="233">
        <f>'Mapping Prob-Root'!O29</f>
        <v/>
      </c>
      <c r="C45" s="236" t="inlineStr">
        <is>
          <t>medium</t>
        </is>
      </c>
      <c r="D45" s="303" t="inlineStr">
        <is>
          <t>Timeliness (All)</t>
        </is>
      </c>
      <c r="E45" s="428" t="n"/>
      <c r="F45" s="429" t="n"/>
      <c r="G45" s="234">
        <f>'SC4 Data'!G18</f>
        <v/>
      </c>
      <c r="H45" s="234">
        <f>'SC4 Data'!L18</f>
        <v/>
      </c>
      <c r="I45" s="234">
        <f>'SC4 Data'!Q18</f>
        <v/>
      </c>
      <c r="J45" s="234">
        <f>'SC4 Data'!V18</f>
        <v/>
      </c>
      <c r="K45" s="234">
        <f>'SC4 Data'!AA18</f>
        <v/>
      </c>
      <c r="L45" s="234">
        <f>'SC4 Data'!AF18</f>
        <v/>
      </c>
      <c r="M45" s="248">
        <f>'SC4 Data'!AK18</f>
        <v/>
      </c>
      <c r="N45" s="277">
        <f>(AVERAGE(IF((M45-L45)&lt;0,-(M45-L45),(M45-L45)),IF((L45-K45)&lt;0,-(L45-K45),(L45-K45)),IF((K45-J45)&lt;0,-(K45-J45),(K45-J45)))*$T45)+M45</f>
        <v/>
      </c>
      <c r="O45" s="277">
        <f>(AVERAGE(IF((N45-M45)&lt;0,-(N45-M45),(N45-M45)),IF((M45-L45)&lt;0,-(M45-L45),(M45-L45)),IF((L45-K45)&lt;0,-(L45-K45),(L45-K45)))*$T45)+N45</f>
        <v/>
      </c>
      <c r="P45" s="277">
        <f>(AVERAGE(IF((O45-N45)&lt;0,-(O45-N45),(O45-N45)),IF((N45-M45)&lt;0,-(N45-M45),(N45-M45)),IF((M45-L45)&lt;0,-(M45-L45),(M45-L45)))*$T45)+O45</f>
        <v/>
      </c>
      <c r="Q45" s="277">
        <f>(AVERAGE(IF((P45-O45)&lt;0,-(P45-O45),(P45-O45)),IF((O45-N45)&lt;0,-(O45-N45),(O45-N45)),IF((N45-M45)&lt;0,-(N45-M45),(N45-M45)))*$T45)+P45</f>
        <v/>
      </c>
      <c r="R45" s="277">
        <f>(AVERAGE(IF((Q45-P45)&lt;0,-(Q45-P45),(Q45-P45)),IF((P45-O45)&lt;0,-(P45-O45),(P45-O45)),IF((O45-N45)&lt;0,-(O45-N45),(O45-N45)))*$T45)+Q45</f>
        <v/>
      </c>
      <c r="S45" s="235">
        <f>AVERAGE(G45:R45)</f>
        <v/>
      </c>
      <c r="T45" s="278" t="n">
        <v>1</v>
      </c>
      <c r="U45" s="30" t="n"/>
      <c r="V45" s="30" t="n"/>
    </row>
    <row r="46" ht="17.25" customHeight="1" s="340">
      <c r="A46" s="232">
        <f>'Mapping Prob-Root'!A30</f>
        <v/>
      </c>
      <c r="B46" s="233">
        <f>'Mapping Prob-Root'!O30</f>
        <v/>
      </c>
      <c r="C46" s="236" t="inlineStr">
        <is>
          <t>medium</t>
        </is>
      </c>
      <c r="D46" s="303" t="inlineStr">
        <is>
          <t>Completeness (All)</t>
        </is>
      </c>
      <c r="E46" s="428" t="n"/>
      <c r="F46" s="429" t="n"/>
      <c r="G46" s="234">
        <f>'SC4 Data'!F19</f>
        <v/>
      </c>
      <c r="H46" s="234">
        <f>'SC4 Data'!K19</f>
        <v/>
      </c>
      <c r="I46" s="234">
        <f>'SC4 Data'!P19</f>
        <v/>
      </c>
      <c r="J46" s="234">
        <f>'SC4 Data'!U19</f>
        <v/>
      </c>
      <c r="K46" s="234">
        <f>'SC4 Data'!Z19</f>
        <v/>
      </c>
      <c r="L46" s="234">
        <f>'SC4 Data'!AE19</f>
        <v/>
      </c>
      <c r="M46" s="248">
        <f>'SC4 Data'!AJ19</f>
        <v/>
      </c>
      <c r="N46" s="277">
        <f>(AVERAGE(IF((M46-L46)&lt;0,-(M46-L46),(M46-L46)),IF((L46-K46)&lt;0,-(L46-K46),(L46-K46)),IF((K46-J46)&lt;0,-(K46-J46),(K46-J46)))*$T46)+M46</f>
        <v/>
      </c>
      <c r="O46" s="277">
        <f>(AVERAGE(IF((N46-M46)&lt;0,-(N46-M46),(N46-M46)),IF((M46-L46)&lt;0,-(M46-L46),(M46-L46)),IF((L46-K46)&lt;0,-(L46-K46),(L46-K46)))*$T46)+N46</f>
        <v/>
      </c>
      <c r="P46" s="277">
        <f>(AVERAGE(IF((O46-N46)&lt;0,-(O46-N46),(O46-N46)),IF((N46-M46)&lt;0,-(N46-M46),(N46-M46)),IF((M46-L46)&lt;0,-(M46-L46),(M46-L46)))*$T46)+O46</f>
        <v/>
      </c>
      <c r="Q46" s="277">
        <f>(AVERAGE(IF((P46-O46)&lt;0,-(P46-O46),(P46-O46)),IF((O46-N46)&lt;0,-(O46-N46),(O46-N46)),IF((N46-M46)&lt;0,-(N46-M46),(N46-M46)))*$T46)+P46</f>
        <v/>
      </c>
      <c r="R46" s="277">
        <f>(AVERAGE(IF((Q46-P46)&lt;0,-(Q46-P46),(Q46-P46)),IF((P46-O46)&lt;0,-(P46-O46),(P46-O46)),IF((O46-N46)&lt;0,-(O46-N46),(O46-N46)))*$T46)+Q46</f>
        <v/>
      </c>
      <c r="S46" s="235">
        <f>AVERAGE(G46:R46)</f>
        <v/>
      </c>
      <c r="T46" s="278" t="n">
        <v>0.6</v>
      </c>
      <c r="U46" s="30" t="n"/>
      <c r="V46" s="30" t="n"/>
    </row>
    <row r="47" ht="17.25" customHeight="1" s="340">
      <c r="A47" s="232">
        <f>'Mapping Prob-Root'!A31</f>
        <v/>
      </c>
      <c r="B47" s="233">
        <f>'Mapping Prob-Root'!O31</f>
        <v/>
      </c>
      <c r="C47" s="236" t="inlineStr">
        <is>
          <t>medium</t>
        </is>
      </c>
      <c r="D47" s="303" t="inlineStr">
        <is>
          <t>Timeliness (All)</t>
        </is>
      </c>
      <c r="E47" s="428" t="n"/>
      <c r="F47" s="429" t="n"/>
      <c r="G47" s="234">
        <f>'SC4 Data'!G19</f>
        <v/>
      </c>
      <c r="H47" s="234">
        <f>'SC4 Data'!L19</f>
        <v/>
      </c>
      <c r="I47" s="234">
        <f>'SC4 Data'!Q19</f>
        <v/>
      </c>
      <c r="J47" s="234">
        <f>'SC4 Data'!V19</f>
        <v/>
      </c>
      <c r="K47" s="234">
        <f>'SC4 Data'!AA19</f>
        <v/>
      </c>
      <c r="L47" s="234">
        <f>'SC4 Data'!AF19</f>
        <v/>
      </c>
      <c r="M47" s="248">
        <f>'SC4 Data'!AK19</f>
        <v/>
      </c>
      <c r="N47" s="277">
        <f>(AVERAGE(IF((M47-L47)&lt;0,-(M47-L47),(M47-L47)),IF((L47-K47)&lt;0,-(L47-K47),(L47-K47)),IF((K47-J47)&lt;0,-(K47-J47),(K47-J47)))*$T47)+M47</f>
        <v/>
      </c>
      <c r="O47" s="277">
        <f>(AVERAGE(IF((N47-M47)&lt;0,-(N47-M47),(N47-M47)),IF((M47-L47)&lt;0,-(M47-L47),(M47-L47)),IF((L47-K47)&lt;0,-(L47-K47),(L47-K47)))*$T47)+N47</f>
        <v/>
      </c>
      <c r="P47" s="277">
        <f>(AVERAGE(IF((O47-N47)&lt;0,-(O47-N47),(O47-N47)),IF((N47-M47)&lt;0,-(N47-M47),(N47-M47)),IF((M47-L47)&lt;0,-(M47-L47),(M47-L47)))*$T47)+O47</f>
        <v/>
      </c>
      <c r="Q47" s="277">
        <f>(AVERAGE(IF((P47-O47)&lt;0,-(P47-O47),(P47-O47)),IF((O47-N47)&lt;0,-(O47-N47),(O47-N47)),IF((N47-M47)&lt;0,-(N47-M47),(N47-M47)))*$T47)+P47</f>
        <v/>
      </c>
      <c r="R47" s="277">
        <f>(AVERAGE(IF((Q47-P47)&lt;0,-(Q47-P47),(Q47-P47)),IF((P47-O47)&lt;0,-(P47-O47),(P47-O47)),IF((O47-N47)&lt;0,-(O47-N47),(O47-N47)))*$T47)+Q47</f>
        <v/>
      </c>
      <c r="S47" s="235">
        <f>AVERAGE(G47:R47)</f>
        <v/>
      </c>
      <c r="T47" s="278" t="n">
        <v>1.2</v>
      </c>
      <c r="U47" s="30" t="n"/>
      <c r="V47" s="30" t="n"/>
    </row>
    <row r="48" ht="17.25" customHeight="1" s="340">
      <c r="A48" s="232">
        <f>'Mapping Prob-Root'!A32</f>
        <v/>
      </c>
      <c r="B48" s="233">
        <f>'Mapping Prob-Root'!O32</f>
        <v/>
      </c>
      <c r="C48" s="236" t="inlineStr">
        <is>
          <t>medium</t>
        </is>
      </c>
      <c r="D48" s="303" t="inlineStr">
        <is>
          <t>Completeness (All)</t>
        </is>
      </c>
      <c r="E48" s="428" t="n"/>
      <c r="F48" s="429" t="n"/>
      <c r="G48" s="234">
        <f>'SC4 Data'!F20</f>
        <v/>
      </c>
      <c r="H48" s="234">
        <f>'SC4 Data'!K20</f>
        <v/>
      </c>
      <c r="I48" s="234">
        <f>'SC4 Data'!P20</f>
        <v/>
      </c>
      <c r="J48" s="234">
        <f>'SC4 Data'!U20</f>
        <v/>
      </c>
      <c r="K48" s="234">
        <f>'SC4 Data'!Z20</f>
        <v/>
      </c>
      <c r="L48" s="234">
        <f>'SC4 Data'!AE20</f>
        <v/>
      </c>
      <c r="M48" s="248">
        <f>'SC4 Data'!AJ20</f>
        <v/>
      </c>
      <c r="N48" s="277">
        <f>(AVERAGE(IF((M48-L48)&lt;0,-(M48-L48),(M48-L48)),IF((L48-K48)&lt;0,-(L48-K48),(L48-K48)),IF((K48-J48)&lt;0,-(K48-J48),(K48-J48)))*$T48)+M48</f>
        <v/>
      </c>
      <c r="O48" s="277">
        <f>(AVERAGE(IF((N48-M48)&lt;0,-(N48-M48),(N48-M48)),IF((M48-L48)&lt;0,-(M48-L48),(M48-L48)),IF((L48-K48)&lt;0,-(L48-K48),(L48-K48)))*$T48)+N48</f>
        <v/>
      </c>
      <c r="P48" s="277">
        <f>(AVERAGE(IF((O48-N48)&lt;0,-(O48-N48),(O48-N48)),IF((N48-M48)&lt;0,-(N48-M48),(N48-M48)),IF((M48-L48)&lt;0,-(M48-L48),(M48-L48)))*$T48)+O48</f>
        <v/>
      </c>
      <c r="Q48" s="277">
        <f>(AVERAGE(IF((P48-O48)&lt;0,-(P48-O48),(P48-O48)),IF((O48-N48)&lt;0,-(O48-N48),(O48-N48)),IF((N48-M48)&lt;0,-(N48-M48),(N48-M48)))*$T48)+P48</f>
        <v/>
      </c>
      <c r="R48" s="277">
        <f>(AVERAGE(IF((Q48-P48)&lt;0,-(Q48-P48),(Q48-P48)),IF((P48-O48)&lt;0,-(P48-O48),(P48-O48)),IF((O48-N48)&lt;0,-(O48-N48),(O48-N48)))*$T48)+Q48</f>
        <v/>
      </c>
      <c r="S48" s="235">
        <f>AVERAGE(G48:R48)</f>
        <v/>
      </c>
      <c r="T48" s="278" t="n">
        <v>0.5</v>
      </c>
      <c r="U48" s="30" t="n"/>
      <c r="V48" s="30" t="n"/>
    </row>
    <row r="49" ht="17.25" customHeight="1" s="340">
      <c r="A49" s="232">
        <f>'Mapping Prob-Root'!A33</f>
        <v/>
      </c>
      <c r="B49" s="233">
        <f>'Mapping Prob-Root'!O33</f>
        <v/>
      </c>
      <c r="C49" s="236" t="inlineStr">
        <is>
          <t>medium</t>
        </is>
      </c>
      <c r="D49" s="303" t="inlineStr">
        <is>
          <t>Timeliness (All)</t>
        </is>
      </c>
      <c r="E49" s="428" t="n"/>
      <c r="F49" s="429" t="n"/>
      <c r="G49" s="234">
        <f>'SC4 Data'!G20</f>
        <v/>
      </c>
      <c r="H49" s="234">
        <f>'SC4 Data'!L20</f>
        <v/>
      </c>
      <c r="I49" s="234">
        <f>'SC4 Data'!Q20</f>
        <v/>
      </c>
      <c r="J49" s="234">
        <f>'SC4 Data'!V20</f>
        <v/>
      </c>
      <c r="K49" s="234">
        <f>'SC4 Data'!AA20</f>
        <v/>
      </c>
      <c r="L49" s="234">
        <f>'SC4 Data'!AF20</f>
        <v/>
      </c>
      <c r="M49" s="248">
        <f>'SC4 Data'!AK20</f>
        <v/>
      </c>
      <c r="N49" s="277">
        <f>(AVERAGE(IF((M49-L49)&lt;0,-(M49-L49),(M49-L49)),IF((L49-K49)&lt;0,-(L49-K49),(L49-K49)),IF((K49-J49)&lt;0,-(K49-J49),(K49-J49)))*$T49)+M49</f>
        <v/>
      </c>
      <c r="O49" s="277">
        <f>(AVERAGE(IF((N49-M49)&lt;0,-(N49-M49),(N49-M49)),IF((M49-L49)&lt;0,-(M49-L49),(M49-L49)),IF((L49-K49)&lt;0,-(L49-K49),(L49-K49)))*$T49)+N49</f>
        <v/>
      </c>
      <c r="P49" s="277">
        <f>(AVERAGE(IF((O49-N49)&lt;0,-(O49-N49),(O49-N49)),IF((N49-M49)&lt;0,-(N49-M49),(N49-M49)),IF((M49-L49)&lt;0,-(M49-L49),(M49-L49)))*$T49)+O49</f>
        <v/>
      </c>
      <c r="Q49" s="277">
        <f>(AVERAGE(IF((P49-O49)&lt;0,-(P49-O49),(P49-O49)),IF((O49-N49)&lt;0,-(O49-N49),(O49-N49)),IF((N49-M49)&lt;0,-(N49-M49),(N49-M49)))*$T49)+P49</f>
        <v/>
      </c>
      <c r="R49" s="277">
        <f>(AVERAGE(IF((Q49-P49)&lt;0,-(Q49-P49),(Q49-P49)),IF((P49-O49)&lt;0,-(P49-O49),(P49-O49)),IF((O49-N49)&lt;0,-(O49-N49),(O49-N49)))*$T49)+Q49</f>
        <v/>
      </c>
      <c r="S49" s="235">
        <f>AVERAGE(G49:R49)</f>
        <v/>
      </c>
      <c r="T49" s="278" t="n">
        <v>1</v>
      </c>
      <c r="U49" s="30" t="n"/>
      <c r="V49" s="30" t="n"/>
    </row>
    <row r="50" ht="17.25" customHeight="1" s="340">
      <c r="A50" s="232">
        <f>'Mapping Prob-Root'!A34</f>
        <v/>
      </c>
      <c r="B50" s="233">
        <f>'Mapping Prob-Root'!O34</f>
        <v/>
      </c>
      <c r="C50" s="236" t="inlineStr">
        <is>
          <t>medium</t>
        </is>
      </c>
      <c r="D50" s="303" t="inlineStr">
        <is>
          <t>Completeness (All)</t>
        </is>
      </c>
      <c r="E50" s="428" t="n"/>
      <c r="F50" s="429" t="n"/>
      <c r="G50" s="234">
        <f>'SC4 Data'!F21</f>
        <v/>
      </c>
      <c r="H50" s="234">
        <f>'SC4 Data'!K21</f>
        <v/>
      </c>
      <c r="I50" s="234">
        <f>'SC4 Data'!P21</f>
        <v/>
      </c>
      <c r="J50" s="234">
        <f>'SC4 Data'!U21</f>
        <v/>
      </c>
      <c r="K50" s="234">
        <f>'SC4 Data'!Z21</f>
        <v/>
      </c>
      <c r="L50" s="234">
        <f>'SC4 Data'!AE21</f>
        <v/>
      </c>
      <c r="M50" s="248">
        <f>'SC4 Data'!AJ21</f>
        <v/>
      </c>
      <c r="N50" s="277">
        <f>(AVERAGE(IF((M50-L50)&lt;0,-(M50-L50),(M50-L50)),IF((L50-K50)&lt;0,-(L50-K50),(L50-K50)),IF((K50-J50)&lt;0,-(K50-J50),(K50-J50)))*$T50)+M50</f>
        <v/>
      </c>
      <c r="O50" s="277">
        <f>(AVERAGE(IF((N50-M50)&lt;0,-(N50-M50),(N50-M50)),IF((M50-L50)&lt;0,-(M50-L50),(M50-L50)),IF((L50-K50)&lt;0,-(L50-K50),(L50-K50)))*$T50)+N50</f>
        <v/>
      </c>
      <c r="P50" s="277">
        <f>(AVERAGE(IF((O50-N50)&lt;0,-(O50-N50),(O50-N50)),IF((N50-M50)&lt;0,-(N50-M50),(N50-M50)),IF((M50-L50)&lt;0,-(M50-L50),(M50-L50)))*$T50)+O50</f>
        <v/>
      </c>
      <c r="Q50" s="277">
        <f>(AVERAGE(IF((P50-O50)&lt;0,-(P50-O50),(P50-O50)),IF((O50-N50)&lt;0,-(O50-N50),(O50-N50)),IF((N50-M50)&lt;0,-(N50-M50),(N50-M50)))*$T50)+P50</f>
        <v/>
      </c>
      <c r="R50" s="277">
        <f>(AVERAGE(IF((Q50-P50)&lt;0,-(Q50-P50),(Q50-P50)),IF((P50-O50)&lt;0,-(P50-O50),(P50-O50)),IF((O50-N50)&lt;0,-(O50-N50),(O50-N50)))*$T50)+Q50</f>
        <v/>
      </c>
      <c r="S50" s="235">
        <f>AVERAGE(G50:R50)</f>
        <v/>
      </c>
      <c r="T50" s="278" t="n">
        <v>0.4</v>
      </c>
      <c r="U50" s="30" t="n"/>
      <c r="V50" s="30" t="n"/>
    </row>
    <row r="51" ht="17.25" customHeight="1" s="340">
      <c r="A51" s="232">
        <f>'Mapping Prob-Root'!A35</f>
        <v/>
      </c>
      <c r="B51" s="233">
        <f>'Mapping Prob-Root'!O35</f>
        <v/>
      </c>
      <c r="C51" s="236" t="inlineStr">
        <is>
          <t>medium</t>
        </is>
      </c>
      <c r="D51" s="303" t="inlineStr">
        <is>
          <t>Timeliness (All)</t>
        </is>
      </c>
      <c r="E51" s="428" t="n"/>
      <c r="F51" s="429" t="n"/>
      <c r="G51" s="234">
        <f>'SC4 Data'!G21</f>
        <v/>
      </c>
      <c r="H51" s="234">
        <f>'SC4 Data'!L21</f>
        <v/>
      </c>
      <c r="I51" s="234">
        <f>'SC4 Data'!Q21</f>
        <v/>
      </c>
      <c r="J51" s="234">
        <f>'SC4 Data'!V21</f>
        <v/>
      </c>
      <c r="K51" s="234">
        <f>'SC4 Data'!AA21</f>
        <v/>
      </c>
      <c r="L51" s="234">
        <f>'SC4 Data'!AF21</f>
        <v/>
      </c>
      <c r="M51" s="248">
        <f>'SC4 Data'!AK21</f>
        <v/>
      </c>
      <c r="N51" s="277">
        <f>(AVERAGE(IF((M51-L51)&lt;0,-(M51-L51),(M51-L51)),IF((L51-K51)&lt;0,-(L51-K51),(L51-K51)),IF((K51-J51)&lt;0,-(K51-J51),(K51-J51)))*$T51)+M51</f>
        <v/>
      </c>
      <c r="O51" s="277">
        <f>(AVERAGE(IF((N51-M51)&lt;0,-(N51-M51),(N51-M51)),IF((M51-L51)&lt;0,-(M51-L51),(M51-L51)),IF((L51-K51)&lt;0,-(L51-K51),(L51-K51)))*$T51)+N51</f>
        <v/>
      </c>
      <c r="P51" s="277">
        <f>(AVERAGE(IF((O51-N51)&lt;0,-(O51-N51),(O51-N51)),IF((N51-M51)&lt;0,-(N51-M51),(N51-M51)),IF((M51-L51)&lt;0,-(M51-L51),(M51-L51)))*$T51)+O51</f>
        <v/>
      </c>
      <c r="Q51" s="277">
        <f>(AVERAGE(IF((P51-O51)&lt;0,-(P51-O51),(P51-O51)),IF((O51-N51)&lt;0,-(O51-N51),(O51-N51)),IF((N51-M51)&lt;0,-(N51-M51),(N51-M51)))*$T51)+P51</f>
        <v/>
      </c>
      <c r="R51" s="277">
        <f>(AVERAGE(IF((Q51-P51)&lt;0,-(Q51-P51),(Q51-P51)),IF((P51-O51)&lt;0,-(P51-O51),(P51-O51)),IF((O51-N51)&lt;0,-(O51-N51),(O51-N51)))*$T51)+Q51</f>
        <v/>
      </c>
      <c r="S51" s="235">
        <f>AVERAGE(G51:R51)</f>
        <v/>
      </c>
      <c r="T51" s="278" t="n">
        <v>0.5</v>
      </c>
      <c r="U51" s="30" t="n"/>
      <c r="V51" s="30" t="n"/>
    </row>
    <row r="52" ht="17.25" customHeight="1" s="340">
      <c r="A52" s="232">
        <f>'Mapping Prob-Root'!A36</f>
        <v/>
      </c>
      <c r="B52" s="233">
        <f>'Mapping Prob-Root'!O36</f>
        <v/>
      </c>
      <c r="C52" s="236" t="inlineStr">
        <is>
          <t>high</t>
        </is>
      </c>
      <c r="D52" s="303" t="inlineStr">
        <is>
          <t>Completeness (Critical)</t>
        </is>
      </c>
      <c r="E52" s="428" t="n"/>
      <c r="F52" s="429" t="n"/>
      <c r="G52" s="234">
        <f>'SC4 Data'!F22</f>
        <v/>
      </c>
      <c r="H52" s="234">
        <f>'SC4 Data'!K22</f>
        <v/>
      </c>
      <c r="I52" s="234">
        <f>'SC4 Data'!P22</f>
        <v/>
      </c>
      <c r="J52" s="234">
        <f>'SC4 Data'!U22</f>
        <v/>
      </c>
      <c r="K52" s="234">
        <f>'SC4 Data'!Z22</f>
        <v/>
      </c>
      <c r="L52" s="234">
        <f>'SC4 Data'!AE22</f>
        <v/>
      </c>
      <c r="M52" s="248">
        <f>'SC4 Data'!AJ22</f>
        <v/>
      </c>
      <c r="N52" s="277">
        <f>(AVERAGE(IF((M52-L52)&lt;0,-(M52-L52),(M52-L52)),IF((L52-K52)&lt;0,-(L52-K52),(L52-K52)),IF((K52-J52)&lt;0,-(K52-J52),(K52-J52)))*$T52)+M52</f>
        <v/>
      </c>
      <c r="O52" s="277">
        <f>(AVERAGE(IF((N52-M52)&lt;0,-(N52-M52),(N52-M52)),IF((M52-L52)&lt;0,-(M52-L52),(M52-L52)),IF((L52-K52)&lt;0,-(L52-K52),(L52-K52)))*$T52)+N52</f>
        <v/>
      </c>
      <c r="P52" s="277">
        <f>(AVERAGE(IF((O52-N52)&lt;0,-(O52-N52),(O52-N52)),IF((N52-M52)&lt;0,-(N52-M52),(N52-M52)),IF((M52-L52)&lt;0,-(M52-L52),(M52-L52)))*$T52)+O52</f>
        <v/>
      </c>
      <c r="Q52" s="277">
        <f>(AVERAGE(IF((P52-O52)&lt;0,-(P52-O52),(P52-O52)),IF((O52-N52)&lt;0,-(O52-N52),(O52-N52)),IF((N52-M52)&lt;0,-(N52-M52),(N52-M52)))*$T52)+P52</f>
        <v/>
      </c>
      <c r="R52" s="277">
        <f>(AVERAGE(IF((Q52-P52)&lt;0,-(Q52-P52),(Q52-P52)),IF((P52-O52)&lt;0,-(P52-O52),(P52-O52)),IF((O52-N52)&lt;0,-(O52-N52),(O52-N52)))*$T52)+Q52</f>
        <v/>
      </c>
      <c r="S52" s="235">
        <f>AVERAGE(G52:R52)</f>
        <v/>
      </c>
      <c r="T52" s="278" t="n">
        <v>1</v>
      </c>
      <c r="U52" s="276" t="n"/>
      <c r="V52" s="30" t="n"/>
    </row>
    <row r="53" ht="17.25" customHeight="1" s="340">
      <c r="A53" s="232">
        <f>'Mapping Prob-Root'!A37</f>
        <v/>
      </c>
      <c r="B53" s="233">
        <f>'Mapping Prob-Root'!O37</f>
        <v/>
      </c>
      <c r="C53" s="236" t="inlineStr">
        <is>
          <t>high</t>
        </is>
      </c>
      <c r="D53" s="303" t="inlineStr">
        <is>
          <t>Timeliness (Critical)</t>
        </is>
      </c>
      <c r="E53" s="428" t="n"/>
      <c r="F53" s="429" t="n"/>
      <c r="G53" s="234">
        <f>'SC4 Data'!G22</f>
        <v/>
      </c>
      <c r="H53" s="234">
        <f>'SC4 Data'!L22</f>
        <v/>
      </c>
      <c r="I53" s="234">
        <f>'SC4 Data'!Q22</f>
        <v/>
      </c>
      <c r="J53" s="234">
        <f>'SC4 Data'!V22</f>
        <v/>
      </c>
      <c r="K53" s="234">
        <f>'SC4 Data'!AA22</f>
        <v/>
      </c>
      <c r="L53" s="234">
        <f>'SC4 Data'!AF22</f>
        <v/>
      </c>
      <c r="M53" s="248">
        <f>'SC4 Data'!AK22</f>
        <v/>
      </c>
      <c r="N53" s="277">
        <f>(AVERAGE(IF((M53-L53)&lt;0,-(M53-L53),(M53-L53)),IF((L53-K53)&lt;0,-(L53-K53),(L53-K53)),IF((K53-J53)&lt;0,-(K53-J53),(K53-J53)))*$T53)+M53</f>
        <v/>
      </c>
      <c r="O53" s="277">
        <f>(AVERAGE(IF((N53-M53)&lt;0,-(N53-M53),(N53-M53)),IF((M53-L53)&lt;0,-(M53-L53),(M53-L53)),IF((L53-K53)&lt;0,-(L53-K53),(L53-K53)))*$T53)+N53</f>
        <v/>
      </c>
      <c r="P53" s="277">
        <f>(AVERAGE(IF((O53-N53)&lt;0,-(O53-N53),(O53-N53)),IF((N53-M53)&lt;0,-(N53-M53),(N53-M53)),IF((M53-L53)&lt;0,-(M53-L53),(M53-L53)))*$T53)+O53</f>
        <v/>
      </c>
      <c r="Q53" s="277">
        <f>(AVERAGE(IF((P53-O53)&lt;0,-(P53-O53),(P53-O53)),IF((O53-N53)&lt;0,-(O53-N53),(O53-N53)),IF((N53-M53)&lt;0,-(N53-M53),(N53-M53)))*$T53)+P53</f>
        <v/>
      </c>
      <c r="R53" s="277">
        <f>(AVERAGE(IF((Q53-P53)&lt;0,-(Q53-P53),(Q53-P53)),IF((P53-O53)&lt;0,-(P53-O53),(P53-O53)),IF((O53-N53)&lt;0,-(O53-N53),(O53-N53)))*$T53)+Q53</f>
        <v/>
      </c>
      <c r="S53" s="235">
        <f>AVERAGE(G53:R53)</f>
        <v/>
      </c>
      <c r="T53" s="278" t="n">
        <v>0.8</v>
      </c>
      <c r="U53" s="30" t="n"/>
      <c r="V53" s="30" t="n"/>
    </row>
    <row r="54" ht="17.25" customHeight="1" s="340">
      <c r="A54" s="232">
        <f>'Mapping Prob-Root'!A38</f>
        <v/>
      </c>
      <c r="B54" s="233">
        <f>'Mapping Prob-Root'!O38</f>
        <v/>
      </c>
      <c r="C54" s="236" t="inlineStr">
        <is>
          <t>medium</t>
        </is>
      </c>
      <c r="D54" s="303" t="inlineStr">
        <is>
          <t>Completeness (All)</t>
        </is>
      </c>
      <c r="E54" s="428" t="n"/>
      <c r="F54" s="429" t="n"/>
      <c r="G54" s="234">
        <f>'SC4 Data'!F23</f>
        <v/>
      </c>
      <c r="H54" s="234">
        <f>'SC4 Data'!K23</f>
        <v/>
      </c>
      <c r="I54" s="234">
        <f>'SC4 Data'!P23</f>
        <v/>
      </c>
      <c r="J54" s="234">
        <f>'SC4 Data'!U23</f>
        <v/>
      </c>
      <c r="K54" s="234">
        <f>'SC4 Data'!Z23</f>
        <v/>
      </c>
      <c r="L54" s="234">
        <f>'SC4 Data'!AE23</f>
        <v/>
      </c>
      <c r="M54" s="248">
        <f>'SC4 Data'!AJ23</f>
        <v/>
      </c>
      <c r="N54" s="277">
        <f>(AVERAGE(IF((M54-L54)&lt;0,-(M54-L54),(M54-L54)),IF((L54-K54)&lt;0,-(L54-K54),(L54-K54)),IF((K54-J54)&lt;0,-(K54-J54),(K54-J54)))*$T54)+M54</f>
        <v/>
      </c>
      <c r="O54" s="277">
        <f>(AVERAGE(IF((N54-M54)&lt;0,-(N54-M54),(N54-M54)),IF((M54-L54)&lt;0,-(M54-L54),(M54-L54)),IF((L54-K54)&lt;0,-(L54-K54),(L54-K54)))*$T54)+N54</f>
        <v/>
      </c>
      <c r="P54" s="277">
        <f>(AVERAGE(IF((O54-N54)&lt;0,-(O54-N54),(O54-N54)),IF((N54-M54)&lt;0,-(N54-M54),(N54-M54)),IF((M54-L54)&lt;0,-(M54-L54),(M54-L54)))*$T54)+O54</f>
        <v/>
      </c>
      <c r="Q54" s="277">
        <f>(AVERAGE(IF((P54-O54)&lt;0,-(P54-O54),(P54-O54)),IF((O54-N54)&lt;0,-(O54-N54),(O54-N54)),IF((N54-M54)&lt;0,-(N54-M54),(N54-M54)))*$T54)+P54</f>
        <v/>
      </c>
      <c r="R54" s="277">
        <f>(AVERAGE(IF((Q54-P54)&lt;0,-(Q54-P54),(Q54-P54)),IF((P54-O54)&lt;0,-(P54-O54),(P54-O54)),IF((O54-N54)&lt;0,-(O54-N54),(O54-N54)))*$T54)+Q54</f>
        <v/>
      </c>
      <c r="S54" s="235">
        <f>AVERAGE(G54:R54)</f>
        <v/>
      </c>
      <c r="T54" s="278" t="n">
        <v>1.5</v>
      </c>
      <c r="U54" s="30" t="n"/>
      <c r="V54" s="30" t="n"/>
    </row>
    <row r="55" ht="17.25" customHeight="1" s="340">
      <c r="A55" s="232">
        <f>'Mapping Prob-Root'!A39</f>
        <v/>
      </c>
      <c r="B55" s="233">
        <f>'Mapping Prob-Root'!O39</f>
        <v/>
      </c>
      <c r="C55" s="236" t="inlineStr">
        <is>
          <t>medium</t>
        </is>
      </c>
      <c r="D55" s="303" t="inlineStr">
        <is>
          <t>Timeliness (All)</t>
        </is>
      </c>
      <c r="E55" s="428" t="n"/>
      <c r="F55" s="429" t="n"/>
      <c r="G55" s="234">
        <f>'SC4 Data'!G23</f>
        <v/>
      </c>
      <c r="H55" s="234">
        <f>'SC4 Data'!L23</f>
        <v/>
      </c>
      <c r="I55" s="234">
        <f>'SC4 Data'!Q23</f>
        <v/>
      </c>
      <c r="J55" s="234">
        <f>'SC4 Data'!V23</f>
        <v/>
      </c>
      <c r="K55" s="234">
        <f>'SC4 Data'!AA23</f>
        <v/>
      </c>
      <c r="L55" s="234">
        <f>'SC4 Data'!AF23</f>
        <v/>
      </c>
      <c r="M55" s="248">
        <f>'SC4 Data'!AK23</f>
        <v/>
      </c>
      <c r="N55" s="277">
        <f>(AVERAGE(IF((M55-L55)&lt;0,-(M55-L55),(M55-L55)),IF((L55-K55)&lt;0,-(L55-K55),(L55-K55)),IF((K55-J55)&lt;0,-(K55-J55),(K55-J55)))*$T55)+M55</f>
        <v/>
      </c>
      <c r="O55" s="277">
        <f>(AVERAGE(IF((N55-M55)&lt;0,-(N55-M55),(N55-M55)),IF((M55-L55)&lt;0,-(M55-L55),(M55-L55)),IF((L55-K55)&lt;0,-(L55-K55),(L55-K55)))*$T55)+N55</f>
        <v/>
      </c>
      <c r="P55" s="277">
        <f>(AVERAGE(IF((O55-N55)&lt;0,-(O55-N55),(O55-N55)),IF((N55-M55)&lt;0,-(N55-M55),(N55-M55)),IF((M55-L55)&lt;0,-(M55-L55),(M55-L55)))*$T55)+O55</f>
        <v/>
      </c>
      <c r="Q55" s="277">
        <f>(AVERAGE(IF((P55-O55)&lt;0,-(P55-O55),(P55-O55)),IF((O55-N55)&lt;0,-(O55-N55),(O55-N55)),IF((N55-M55)&lt;0,-(N55-M55),(N55-M55)))*$T55)+P55</f>
        <v/>
      </c>
      <c r="R55" s="277">
        <f>(AVERAGE(IF((Q55-P55)&lt;0,-(Q55-P55),(Q55-P55)),IF((P55-O55)&lt;0,-(P55-O55),(P55-O55)),IF((O55-N55)&lt;0,-(O55-N55),(O55-N55)))*$T55)+Q55</f>
        <v/>
      </c>
      <c r="S55" s="235">
        <f>AVERAGE(G55:R55)</f>
        <v/>
      </c>
      <c r="T55" s="278" t="n">
        <v>1.8</v>
      </c>
      <c r="U55" s="30" t="n"/>
      <c r="V55" s="30" t="n"/>
    </row>
    <row r="56" ht="17.25" customHeight="1" s="340">
      <c r="A56" s="232">
        <f>'Mapping Prob-Root'!A40</f>
        <v/>
      </c>
      <c r="B56" s="233">
        <f>'Mapping Prob-Root'!O40</f>
        <v/>
      </c>
      <c r="C56" s="236" t="inlineStr">
        <is>
          <t>high</t>
        </is>
      </c>
      <c r="D56" s="303" t="inlineStr">
        <is>
          <t>Completeness (Critical)</t>
        </is>
      </c>
      <c r="E56" s="428" t="n"/>
      <c r="F56" s="429" t="n"/>
      <c r="G56" s="234">
        <f>'SC4 Data'!F24</f>
        <v/>
      </c>
      <c r="H56" s="234">
        <f>'SC4 Data'!K24</f>
        <v/>
      </c>
      <c r="I56" s="234">
        <f>'SC4 Data'!P24</f>
        <v/>
      </c>
      <c r="J56" s="234">
        <f>'SC4 Data'!U24</f>
        <v/>
      </c>
      <c r="K56" s="234">
        <f>'SC4 Data'!Z24</f>
        <v/>
      </c>
      <c r="L56" s="234">
        <f>'SC4 Data'!AE24</f>
        <v/>
      </c>
      <c r="M56" s="248">
        <f>'SC4 Data'!AJ24</f>
        <v/>
      </c>
      <c r="N56" s="277">
        <f>(AVERAGE(IF((M56-L56)&lt;0,-(M56-L56),(M56-L56)),IF((L56-K56)&lt;0,-(L56-K56),(L56-K56)),IF((K56-J56)&lt;0,-(K56-J56),(K56-J56)))*$T56)+M56</f>
        <v/>
      </c>
      <c r="O56" s="277">
        <f>(AVERAGE(IF((N56-M56)&lt;0,-(N56-M56),(N56-M56)),IF((M56-L56)&lt;0,-(M56-L56),(M56-L56)),IF((L56-K56)&lt;0,-(L56-K56),(L56-K56)))*$T56)+N56</f>
        <v/>
      </c>
      <c r="P56" s="277">
        <f>(AVERAGE(IF((O56-N56)&lt;0,-(O56-N56),(O56-N56)),IF((N56-M56)&lt;0,-(N56-M56),(N56-M56)),IF((M56-L56)&lt;0,-(M56-L56),(M56-L56)))*$T56)+O56</f>
        <v/>
      </c>
      <c r="Q56" s="277">
        <f>(AVERAGE(IF((P56-O56)&lt;0,-(P56-O56),(P56-O56)),IF((O56-N56)&lt;0,-(O56-N56),(O56-N56)),IF((N56-M56)&lt;0,-(N56-M56),(N56-M56)))*$T56)+P56</f>
        <v/>
      </c>
      <c r="R56" s="277">
        <f>(AVERAGE(IF((Q56-P56)&lt;0,-(Q56-P56),(Q56-P56)),IF((P56-O56)&lt;0,-(P56-O56),(P56-O56)),IF((O56-N56)&lt;0,-(O56-N56),(O56-N56)))*$T56)+Q56</f>
        <v/>
      </c>
      <c r="S56" s="235">
        <f>AVERAGE(G56:R56)</f>
        <v/>
      </c>
      <c r="T56" s="278" t="n">
        <v>0.1</v>
      </c>
      <c r="U56" s="276" t="n"/>
      <c r="V56" s="30" t="n"/>
    </row>
    <row r="57" ht="17.25" customHeight="1" s="340">
      <c r="A57" s="232">
        <f>'Mapping Prob-Root'!A41</f>
        <v/>
      </c>
      <c r="B57" s="233">
        <f>'Mapping Prob-Root'!O41</f>
        <v/>
      </c>
      <c r="C57" s="236" t="inlineStr">
        <is>
          <t>high</t>
        </is>
      </c>
      <c r="D57" s="303" t="inlineStr">
        <is>
          <t>Timeliness (Critical)</t>
        </is>
      </c>
      <c r="E57" s="428" t="n"/>
      <c r="F57" s="429" t="n"/>
      <c r="G57" s="234">
        <f>'SC4 Data'!G24</f>
        <v/>
      </c>
      <c r="H57" s="234">
        <f>'SC4 Data'!L24</f>
        <v/>
      </c>
      <c r="I57" s="234">
        <f>'SC4 Data'!Q24</f>
        <v/>
      </c>
      <c r="J57" s="234">
        <f>'SC4 Data'!V24</f>
        <v/>
      </c>
      <c r="K57" s="234">
        <f>'SC4 Data'!AA24</f>
        <v/>
      </c>
      <c r="L57" s="234">
        <f>'SC4 Data'!AF24</f>
        <v/>
      </c>
      <c r="M57" s="248">
        <f>'SC4 Data'!AK24</f>
        <v/>
      </c>
      <c r="N57" s="277">
        <f>(AVERAGE(IF((M57-L57)&lt;0,-(M57-L57),(M57-L57)),IF((L57-K57)&lt;0,-(L57-K57),(L57-K57)),IF((K57-J57)&lt;0,-(K57-J57),(K57-J57)))*$T57)+M57</f>
        <v/>
      </c>
      <c r="O57" s="277">
        <f>(AVERAGE(IF((N57-M57)&lt;0,-(N57-M57),(N57-M57)),IF((M57-L57)&lt;0,-(M57-L57),(M57-L57)),IF((L57-K57)&lt;0,-(L57-K57),(L57-K57)))*$T57)+N57</f>
        <v/>
      </c>
      <c r="P57" s="277">
        <f>(AVERAGE(IF((O57-N57)&lt;0,-(O57-N57),(O57-N57)),IF((N57-M57)&lt;0,-(N57-M57),(N57-M57)),IF((M57-L57)&lt;0,-(M57-L57),(M57-L57)))*$T57)+O57</f>
        <v/>
      </c>
      <c r="Q57" s="277">
        <f>(AVERAGE(IF((P57-O57)&lt;0,-(P57-O57),(P57-O57)),IF((O57-N57)&lt;0,-(O57-N57),(O57-N57)),IF((N57-M57)&lt;0,-(N57-M57),(N57-M57)))*$T57)+P57</f>
        <v/>
      </c>
      <c r="R57" s="277">
        <f>(AVERAGE(IF((Q57-P57)&lt;0,-(Q57-P57),(Q57-P57)),IF((P57-O57)&lt;0,-(P57-O57),(P57-O57)),IF((O57-N57)&lt;0,-(O57-N57),(O57-N57)))*$T57)+Q57</f>
        <v/>
      </c>
      <c r="S57" s="235">
        <f>AVERAGE(G57:R57)</f>
        <v/>
      </c>
      <c r="T57" s="278" t="n">
        <v>0.5</v>
      </c>
      <c r="U57" s="30" t="n"/>
      <c r="V57" s="30" t="n"/>
    </row>
    <row r="58" ht="17.25" customHeight="1" s="340">
      <c r="A58" s="232">
        <f>'Mapping Prob-Root'!A42</f>
        <v/>
      </c>
      <c r="B58" s="233">
        <f>'Mapping Prob-Root'!O42</f>
        <v/>
      </c>
      <c r="C58" s="236" t="inlineStr">
        <is>
          <t>high</t>
        </is>
      </c>
      <c r="D58" s="303" t="inlineStr">
        <is>
          <t>Completeness (Critical)</t>
        </is>
      </c>
      <c r="E58" s="428" t="n"/>
      <c r="F58" s="429" t="n"/>
      <c r="G58" s="234">
        <f>'SC4 Data'!F25</f>
        <v/>
      </c>
      <c r="H58" s="234">
        <f>'SC4 Data'!K25</f>
        <v/>
      </c>
      <c r="I58" s="234">
        <f>'SC4 Data'!P25</f>
        <v/>
      </c>
      <c r="J58" s="234">
        <f>'SC4 Data'!U25</f>
        <v/>
      </c>
      <c r="K58" s="234">
        <f>'SC4 Data'!Z25</f>
        <v/>
      </c>
      <c r="L58" s="234">
        <f>'SC4 Data'!AE25</f>
        <v/>
      </c>
      <c r="M58" s="248">
        <f>'SC4 Data'!AJ25</f>
        <v/>
      </c>
      <c r="N58" s="277">
        <f>(AVERAGE(IF((M58-L58)&lt;0,-(M58-L58),(M58-L58)),IF((L58-K58)&lt;0,-(L58-K58),(L58-K58)),IF((K58-J58)&lt;0,-(K58-J58),(K58-J58)))*$T58)+M58</f>
        <v/>
      </c>
      <c r="O58" s="277">
        <f>(AVERAGE(IF((N58-M58)&lt;0,-(N58-M58),(N58-M58)),IF((M58-L58)&lt;0,-(M58-L58),(M58-L58)),IF((L58-K58)&lt;0,-(L58-K58),(L58-K58)))*$T58)+N58</f>
        <v/>
      </c>
      <c r="P58" s="277">
        <f>(AVERAGE(IF((O58-N58)&lt;0,-(O58-N58),(O58-N58)),IF((N58-M58)&lt;0,-(N58-M58),(N58-M58)),IF((M58-L58)&lt;0,-(M58-L58),(M58-L58)))*$T58)+O58</f>
        <v/>
      </c>
      <c r="Q58" s="277">
        <f>(AVERAGE(IF((P58-O58)&lt;0,-(P58-O58),(P58-O58)),IF((O58-N58)&lt;0,-(O58-N58),(O58-N58)),IF((N58-M58)&lt;0,-(N58-M58),(N58-M58)))*$T58)+P58</f>
        <v/>
      </c>
      <c r="R58" s="277">
        <f>(AVERAGE(IF((Q58-P58)&lt;0,-(Q58-P58),(Q58-P58)),IF((P58-O58)&lt;0,-(P58-O58),(P58-O58)),IF((O58-N58)&lt;0,-(O58-N58),(O58-N58)))*$T58)+Q58</f>
        <v/>
      </c>
      <c r="S58" s="235">
        <f>AVERAGE(G58:R58)</f>
        <v/>
      </c>
      <c r="T58" s="278" t="n">
        <v>0.7</v>
      </c>
      <c r="U58" s="276" t="n"/>
      <c r="V58" s="30" t="n"/>
    </row>
    <row r="59" ht="17.25" customHeight="1" s="340">
      <c r="A59" s="232">
        <f>'Mapping Prob-Root'!A43</f>
        <v/>
      </c>
      <c r="B59" s="233">
        <f>'Mapping Prob-Root'!O43</f>
        <v/>
      </c>
      <c r="C59" s="236" t="inlineStr">
        <is>
          <t>high</t>
        </is>
      </c>
      <c r="D59" s="303" t="inlineStr">
        <is>
          <t>Timeliness (Critical)</t>
        </is>
      </c>
      <c r="E59" s="428" t="n"/>
      <c r="F59" s="429" t="n"/>
      <c r="G59" s="234">
        <f>'SC4 Data'!G25</f>
        <v/>
      </c>
      <c r="H59" s="234">
        <f>'SC4 Data'!L25</f>
        <v/>
      </c>
      <c r="I59" s="234">
        <f>'SC4 Data'!Q25</f>
        <v/>
      </c>
      <c r="J59" s="234">
        <f>'SC4 Data'!V25</f>
        <v/>
      </c>
      <c r="K59" s="234">
        <f>'SC4 Data'!AA25</f>
        <v/>
      </c>
      <c r="L59" s="234">
        <f>'SC4 Data'!AF25</f>
        <v/>
      </c>
      <c r="M59" s="248">
        <f>'SC4 Data'!AK25</f>
        <v/>
      </c>
      <c r="N59" s="277">
        <f>(AVERAGE(IF((M59-L59)&lt;0,-(M59-L59),(M59-L59)),IF((L59-K59)&lt;0,-(L59-K59),(L59-K59)),IF((K59-J59)&lt;0,-(K59-J59),(K59-J59)))*$T59)+M59</f>
        <v/>
      </c>
      <c r="O59" s="277">
        <f>(AVERAGE(IF((N59-M59)&lt;0,-(N59-M59),(N59-M59)),IF((M59-L59)&lt;0,-(M59-L59),(M59-L59)),IF((L59-K59)&lt;0,-(L59-K59),(L59-K59)))*$T59)+N59</f>
        <v/>
      </c>
      <c r="P59" s="277">
        <f>(AVERAGE(IF((O59-N59)&lt;0,-(O59-N59),(O59-N59)),IF((N59-M59)&lt;0,-(N59-M59),(N59-M59)),IF((M59-L59)&lt;0,-(M59-L59),(M59-L59)))*$T59)+O59</f>
        <v/>
      </c>
      <c r="Q59" s="277">
        <f>(AVERAGE(IF((P59-O59)&lt;0,-(P59-O59),(P59-O59)),IF((O59-N59)&lt;0,-(O59-N59),(O59-N59)),IF((N59-M59)&lt;0,-(N59-M59),(N59-M59)))*$T59)+P59</f>
        <v/>
      </c>
      <c r="R59" s="277">
        <f>(AVERAGE(IF((Q59-P59)&lt;0,-(Q59-P59),(Q59-P59)),IF((P59-O59)&lt;0,-(P59-O59),(P59-O59)),IF((O59-N59)&lt;0,-(O59-N59),(O59-N59)))*$T59)+Q59</f>
        <v/>
      </c>
      <c r="S59" s="235">
        <f>AVERAGE(G59:R59)</f>
        <v/>
      </c>
      <c r="T59" s="278" t="n">
        <v>1.8</v>
      </c>
      <c r="U59" s="30" t="n"/>
      <c r="V59" s="30" t="n"/>
    </row>
    <row r="60" ht="17.25" customHeight="1" s="340">
      <c r="A60" s="232">
        <f>'Mapping Prob-Root'!A44</f>
        <v/>
      </c>
      <c r="B60" s="233">
        <f>'Mapping Prob-Root'!O44</f>
        <v/>
      </c>
      <c r="C60" s="236" t="inlineStr">
        <is>
          <t>medium</t>
        </is>
      </c>
      <c r="D60" s="303" t="inlineStr">
        <is>
          <t>Completeness (All)</t>
        </is>
      </c>
      <c r="E60" s="428" t="n"/>
      <c r="F60" s="429" t="n"/>
      <c r="G60" s="234">
        <f>'SC3 Data'!F5</f>
        <v/>
      </c>
      <c r="H60" s="234">
        <f>'SC3 Data'!K5</f>
        <v/>
      </c>
      <c r="I60" s="234">
        <f>'SC3 Data'!P5</f>
        <v/>
      </c>
      <c r="J60" s="234">
        <f>'SC3 Data'!U5</f>
        <v/>
      </c>
      <c r="K60" s="234">
        <f>'SC3 Data'!Z5</f>
        <v/>
      </c>
      <c r="L60" s="234">
        <f>'SC3 Data'!AE5</f>
        <v/>
      </c>
      <c r="M60" s="248">
        <f>'SC3 Data'!AJ5</f>
        <v/>
      </c>
      <c r="N60" s="277">
        <f>(AVERAGE(IF((M60-L60)&lt;0,-(M60-L60),(M60-L60)),IF((L60-K60)&lt;0,-(L60-K60),(L60-K60)),IF((K60-J60)&lt;0,-(K60-J60),(K60-J60)))*$T60)+M60</f>
        <v/>
      </c>
      <c r="O60" s="277">
        <f>(AVERAGE(IF((N60-M60)&lt;0,-(N60-M60),(N60-M60)),IF((M60-L60)&lt;0,-(M60-L60),(M60-L60)),IF((L60-K60)&lt;0,-(L60-K60),(L60-K60)))*$T60)+N60</f>
        <v/>
      </c>
      <c r="P60" s="277">
        <f>(AVERAGE(IF((O60-N60)&lt;0,-(O60-N60),(O60-N60)),IF((N60-M60)&lt;0,-(N60-M60),(N60-M60)),IF((M60-L60)&lt;0,-(M60-L60),(M60-L60)))*$T60)+O60</f>
        <v/>
      </c>
      <c r="Q60" s="277">
        <f>(AVERAGE(IF((P60-O60)&lt;0,-(P60-O60),(P60-O60)),IF((O60-N60)&lt;0,-(O60-N60),(O60-N60)),IF((N60-M60)&lt;0,-(N60-M60),(N60-M60)))*$T60)+P60</f>
        <v/>
      </c>
      <c r="R60" s="277">
        <f>(AVERAGE(IF((Q60-P60)&lt;0,-(Q60-P60),(Q60-P60)),IF((P60-O60)&lt;0,-(P60-O60),(P60-O60)),IF((O60-N60)&lt;0,-(O60-N60),(O60-N60)))*$T60)+Q60</f>
        <v/>
      </c>
      <c r="S60" s="235">
        <f>AVERAGE(G60:R60)</f>
        <v/>
      </c>
      <c r="T60" s="278" t="n">
        <v>0.1</v>
      </c>
      <c r="U60" s="30" t="n"/>
      <c r="V60" s="30" t="n"/>
    </row>
    <row r="61" ht="17.25" customHeight="1" s="340">
      <c r="A61" s="232">
        <f>'Mapping Prob-Root'!A45</f>
        <v/>
      </c>
      <c r="B61" s="233">
        <f>'Mapping Prob-Root'!O45</f>
        <v/>
      </c>
      <c r="C61" s="236" t="inlineStr">
        <is>
          <t>medium</t>
        </is>
      </c>
      <c r="D61" s="303" t="inlineStr">
        <is>
          <t>Timeliness (All)</t>
        </is>
      </c>
      <c r="E61" s="428" t="n"/>
      <c r="F61" s="429" t="n"/>
      <c r="G61" s="234">
        <f>'SC3 Data'!G5</f>
        <v/>
      </c>
      <c r="H61" s="234">
        <f>'SC3 Data'!L5</f>
        <v/>
      </c>
      <c r="I61" s="234">
        <f>'SC3 Data'!Q5</f>
        <v/>
      </c>
      <c r="J61" s="234">
        <f>'SC3 Data'!V5</f>
        <v/>
      </c>
      <c r="K61" s="234">
        <f>'SC3 Data'!AA5</f>
        <v/>
      </c>
      <c r="L61" s="234">
        <f>'SC3 Data'!AF5</f>
        <v/>
      </c>
      <c r="M61" s="248">
        <f>'SC3 Data'!AK5</f>
        <v/>
      </c>
      <c r="N61" s="277">
        <f>(AVERAGE(IF((M61-L61)&lt;0,-(M61-L61),(M61-L61)),IF((L61-K61)&lt;0,-(L61-K61),(L61-K61)),IF((K61-J61)&lt;0,-(K61-J61),(K61-J61)))*$T61)+M61</f>
        <v/>
      </c>
      <c r="O61" s="277">
        <f>(AVERAGE(IF((N61-M61)&lt;0,-(N61-M61),(N61-M61)),IF((M61-L61)&lt;0,-(M61-L61),(M61-L61)),IF((L61-K61)&lt;0,-(L61-K61),(L61-K61)))*$T61)+N61</f>
        <v/>
      </c>
      <c r="P61" s="277">
        <f>(AVERAGE(IF((O61-N61)&lt;0,-(O61-N61),(O61-N61)),IF((N61-M61)&lt;0,-(N61-M61),(N61-M61)),IF((M61-L61)&lt;0,-(M61-L61),(M61-L61)))*$T61)+O61</f>
        <v/>
      </c>
      <c r="Q61" s="277">
        <f>(AVERAGE(IF((P61-O61)&lt;0,-(P61-O61),(P61-O61)),IF((O61-N61)&lt;0,-(O61-N61),(O61-N61)),IF((N61-M61)&lt;0,-(N61-M61),(N61-M61)))*$T61)+P61</f>
        <v/>
      </c>
      <c r="R61" s="277">
        <f>(AVERAGE(IF((Q61-P61)&lt;0,-(Q61-P61),(Q61-P61)),IF((P61-O61)&lt;0,-(P61-O61),(P61-O61)),IF((O61-N61)&lt;0,-(O61-N61),(O61-N61)))*$T61)+Q61</f>
        <v/>
      </c>
      <c r="S61" s="235">
        <f>AVERAGE(G61:R61)</f>
        <v/>
      </c>
      <c r="T61" s="278" t="n">
        <v>0.5</v>
      </c>
      <c r="U61" s="30" t="n"/>
      <c r="V61" s="30" t="n"/>
    </row>
    <row r="62" ht="17.25" customHeight="1" s="340">
      <c r="A62" s="232">
        <f>'Mapping Prob-Root'!A46</f>
        <v/>
      </c>
      <c r="B62" s="233">
        <f>'Mapping Prob-Root'!O46</f>
        <v/>
      </c>
      <c r="C62" s="236" t="inlineStr">
        <is>
          <t>medium</t>
        </is>
      </c>
      <c r="D62" s="303" t="inlineStr">
        <is>
          <t>Completeness (All)</t>
        </is>
      </c>
      <c r="E62" s="428" t="n"/>
      <c r="F62" s="429" t="n"/>
      <c r="G62" s="234">
        <f>'SC3 Data'!F6</f>
        <v/>
      </c>
      <c r="H62" s="234">
        <f>'SC3 Data'!K6</f>
        <v/>
      </c>
      <c r="I62" s="234">
        <f>'SC3 Data'!P6</f>
        <v/>
      </c>
      <c r="J62" s="234">
        <f>'SC3 Data'!U6</f>
        <v/>
      </c>
      <c r="K62" s="234">
        <f>'SC3 Data'!Z6</f>
        <v/>
      </c>
      <c r="L62" s="234">
        <f>'SC3 Data'!AE6</f>
        <v/>
      </c>
      <c r="M62" s="248">
        <f>'SC3 Data'!AJ6</f>
        <v/>
      </c>
      <c r="N62" s="277">
        <f>(AVERAGE(IF((M62-L62)&lt;0,-(M62-L62),(M62-L62)),IF((L62-K62)&lt;0,-(L62-K62),(L62-K62)),IF((K62-J62)&lt;0,-(K62-J62),(K62-J62)))*$T62)+M62</f>
        <v/>
      </c>
      <c r="O62" s="277">
        <f>(AVERAGE(IF((N62-M62)&lt;0,-(N62-M62),(N62-M62)),IF((M62-L62)&lt;0,-(M62-L62),(M62-L62)),IF((L62-K62)&lt;0,-(L62-K62),(L62-K62)))*$T62)+N62</f>
        <v/>
      </c>
      <c r="P62" s="277">
        <f>(AVERAGE(IF((O62-N62)&lt;0,-(O62-N62),(O62-N62)),IF((N62-M62)&lt;0,-(N62-M62),(N62-M62)),IF((M62-L62)&lt;0,-(M62-L62),(M62-L62)))*$T62)+O62</f>
        <v/>
      </c>
      <c r="Q62" s="277">
        <f>(AVERAGE(IF((P62-O62)&lt;0,-(P62-O62),(P62-O62)),IF((O62-N62)&lt;0,-(O62-N62),(O62-N62)),IF((N62-M62)&lt;0,-(N62-M62),(N62-M62)))*$T62)+P62</f>
        <v/>
      </c>
      <c r="R62" s="277">
        <f>(AVERAGE(IF((Q62-P62)&lt;0,-(Q62-P62),(Q62-P62)),IF((P62-O62)&lt;0,-(P62-O62),(P62-O62)),IF((O62-N62)&lt;0,-(O62-N62),(O62-N62)))*$T62)+Q62</f>
        <v/>
      </c>
      <c r="S62" s="235">
        <f>AVERAGE(G62:R62)</f>
        <v/>
      </c>
      <c r="T62" s="278" t="n">
        <v>1.6</v>
      </c>
      <c r="U62" s="30" t="n"/>
      <c r="V62" s="30" t="n"/>
    </row>
    <row r="63" ht="17.25" customHeight="1" s="340">
      <c r="A63" s="232">
        <f>'Mapping Prob-Root'!A47</f>
        <v/>
      </c>
      <c r="B63" s="233">
        <f>'Mapping Prob-Root'!O47</f>
        <v/>
      </c>
      <c r="C63" s="236" t="inlineStr">
        <is>
          <t>medium</t>
        </is>
      </c>
      <c r="D63" s="303" t="inlineStr">
        <is>
          <t>Timeliness (All)</t>
        </is>
      </c>
      <c r="E63" s="428" t="n"/>
      <c r="F63" s="429" t="n"/>
      <c r="G63" s="234">
        <f>'SC3 Data'!G6</f>
        <v/>
      </c>
      <c r="H63" s="234">
        <f>'SC3 Data'!L6</f>
        <v/>
      </c>
      <c r="I63" s="234">
        <f>'SC3 Data'!Q6</f>
        <v/>
      </c>
      <c r="J63" s="234">
        <f>'SC3 Data'!V6</f>
        <v/>
      </c>
      <c r="K63" s="234">
        <f>'SC3 Data'!AA6</f>
        <v/>
      </c>
      <c r="L63" s="234">
        <f>'SC3 Data'!AF6</f>
        <v/>
      </c>
      <c r="M63" s="248">
        <f>'SC3 Data'!AK6</f>
        <v/>
      </c>
      <c r="N63" s="277">
        <f>(AVERAGE(IF((M63-L63)&lt;0,-(M63-L63),(M63-L63)),IF((L63-K63)&lt;0,-(L63-K63),(L63-K63)),IF((K63-J63)&lt;0,-(K63-J63),(K63-J63)))*$T63)+M63</f>
        <v/>
      </c>
      <c r="O63" s="277">
        <f>(AVERAGE(IF((N63-M63)&lt;0,-(N63-M63),(N63-M63)),IF((M63-L63)&lt;0,-(M63-L63),(M63-L63)),IF((L63-K63)&lt;0,-(L63-K63),(L63-K63)))*$T63)+N63</f>
        <v/>
      </c>
      <c r="P63" s="277">
        <f>(AVERAGE(IF((O63-N63)&lt;0,-(O63-N63),(O63-N63)),IF((N63-M63)&lt;0,-(N63-M63),(N63-M63)),IF((M63-L63)&lt;0,-(M63-L63),(M63-L63)))*$T63)+O63</f>
        <v/>
      </c>
      <c r="Q63" s="277">
        <f>(AVERAGE(IF((P63-O63)&lt;0,-(P63-O63),(P63-O63)),IF((O63-N63)&lt;0,-(O63-N63),(O63-N63)),IF((N63-M63)&lt;0,-(N63-M63),(N63-M63)))*$T63)+P63</f>
        <v/>
      </c>
      <c r="R63" s="277">
        <f>(AVERAGE(IF((Q63-P63)&lt;0,-(Q63-P63),(Q63-P63)),IF((P63-O63)&lt;0,-(P63-O63),(P63-O63)),IF((O63-N63)&lt;0,-(O63-N63),(O63-N63)))*$T63)+Q63</f>
        <v/>
      </c>
      <c r="S63" s="235">
        <f>AVERAGE(G63:R63)</f>
        <v/>
      </c>
      <c r="T63" s="278" t="n">
        <v>0.9</v>
      </c>
      <c r="U63" s="30" t="n"/>
      <c r="V63" s="30" t="n"/>
    </row>
    <row r="64" ht="17.25" customHeight="1" s="340">
      <c r="A64" s="232">
        <f>'Mapping Prob-Root'!A48</f>
        <v/>
      </c>
      <c r="B64" s="233">
        <f>'Mapping Prob-Root'!O48</f>
        <v/>
      </c>
      <c r="C64" s="236" t="inlineStr">
        <is>
          <t>high</t>
        </is>
      </c>
      <c r="D64" s="303" t="inlineStr">
        <is>
          <t>Completeness (Critical)</t>
        </is>
      </c>
      <c r="E64" s="428" t="n"/>
      <c r="F64" s="429" t="n"/>
      <c r="G64" s="234">
        <f>'SC3 Data'!F7</f>
        <v/>
      </c>
      <c r="H64" s="234">
        <f>'SC3 Data'!K7</f>
        <v/>
      </c>
      <c r="I64" s="234">
        <f>'SC3 Data'!P7</f>
        <v/>
      </c>
      <c r="J64" s="234">
        <f>'SC3 Data'!U7</f>
        <v/>
      </c>
      <c r="K64" s="234">
        <f>'SC3 Data'!Z7</f>
        <v/>
      </c>
      <c r="L64" s="234">
        <f>'SC3 Data'!AE7</f>
        <v/>
      </c>
      <c r="M64" s="248">
        <f>'SC3 Data'!AJ7</f>
        <v/>
      </c>
      <c r="N64" s="277">
        <f>(AVERAGE(IF((M64-L64)&lt;0,-(M64-L64),(M64-L64)),IF((L64-K64)&lt;0,-(L64-K64),(L64-K64)),IF((K64-J64)&lt;0,-(K64-J64),(K64-J64)))*$T64)+M64</f>
        <v/>
      </c>
      <c r="O64" s="277">
        <f>(AVERAGE(IF((N64-M64)&lt;0,-(N64-M64),(N64-M64)),IF((M64-L64)&lt;0,-(M64-L64),(M64-L64)),IF((L64-K64)&lt;0,-(L64-K64),(L64-K64)))*$T64)+N64</f>
        <v/>
      </c>
      <c r="P64" s="277">
        <f>(AVERAGE(IF((O64-N64)&lt;0,-(O64-N64),(O64-N64)),IF((N64-M64)&lt;0,-(N64-M64),(N64-M64)),IF((M64-L64)&lt;0,-(M64-L64),(M64-L64)))*$T64)+O64</f>
        <v/>
      </c>
      <c r="Q64" s="277">
        <f>(AVERAGE(IF((P64-O64)&lt;0,-(P64-O64),(P64-O64)),IF((O64-N64)&lt;0,-(O64-N64),(O64-N64)),IF((N64-M64)&lt;0,-(N64-M64),(N64-M64)))*$T64)+P64</f>
        <v/>
      </c>
      <c r="R64" s="277">
        <f>(AVERAGE(IF((Q64-P64)&lt;0,-(Q64-P64),(Q64-P64)),IF((P64-O64)&lt;0,-(P64-O64),(P64-O64)),IF((O64-N64)&lt;0,-(O64-N64),(O64-N64)))*$T64)+Q64</f>
        <v/>
      </c>
      <c r="S64" s="235">
        <f>AVERAGE(G64:R64)</f>
        <v/>
      </c>
      <c r="T64" s="278" t="n">
        <v>1.2</v>
      </c>
      <c r="U64" s="276" t="n"/>
      <c r="V64" s="30" t="n"/>
    </row>
    <row r="65" ht="17.25" customHeight="1" s="340">
      <c r="A65" s="232">
        <f>'Mapping Prob-Root'!A49</f>
        <v/>
      </c>
      <c r="B65" s="233">
        <f>'Mapping Prob-Root'!O49</f>
        <v/>
      </c>
      <c r="C65" s="236" t="inlineStr">
        <is>
          <t>high</t>
        </is>
      </c>
      <c r="D65" s="303" t="inlineStr">
        <is>
          <t>Timeliness (Critical)</t>
        </is>
      </c>
      <c r="E65" s="428" t="n"/>
      <c r="F65" s="429" t="n"/>
      <c r="G65" s="234">
        <f>'SC3 Data'!G7</f>
        <v/>
      </c>
      <c r="H65" s="234">
        <f>'SC3 Data'!L7</f>
        <v/>
      </c>
      <c r="I65" s="234">
        <f>'SC3 Data'!Q7</f>
        <v/>
      </c>
      <c r="J65" s="234">
        <f>'SC3 Data'!V7</f>
        <v/>
      </c>
      <c r="K65" s="234">
        <f>'SC3 Data'!AA7</f>
        <v/>
      </c>
      <c r="L65" s="234">
        <f>'SC3 Data'!AF7</f>
        <v/>
      </c>
      <c r="M65" s="248">
        <f>'SC3 Data'!AK7</f>
        <v/>
      </c>
      <c r="N65" s="277">
        <f>(AVERAGE(IF((M65-L65)&lt;0,-(M65-L65),(M65-L65)),IF((L65-K65)&lt;0,-(L65-K65),(L65-K65)),IF((K65-J65)&lt;0,-(K65-J65),(K65-J65)))*$T65)+M65</f>
        <v/>
      </c>
      <c r="O65" s="277">
        <f>(AVERAGE(IF((N65-M65)&lt;0,-(N65-M65),(N65-M65)),IF((M65-L65)&lt;0,-(M65-L65),(M65-L65)),IF((L65-K65)&lt;0,-(L65-K65),(L65-K65)))*$T65)+N65</f>
        <v/>
      </c>
      <c r="P65" s="277">
        <f>(AVERAGE(IF((O65-N65)&lt;0,-(O65-N65),(O65-N65)),IF((N65-M65)&lt;0,-(N65-M65),(N65-M65)),IF((M65-L65)&lt;0,-(M65-L65),(M65-L65)))*$T65)+O65</f>
        <v/>
      </c>
      <c r="Q65" s="277">
        <f>(AVERAGE(IF((P65-O65)&lt;0,-(P65-O65),(P65-O65)),IF((O65-N65)&lt;0,-(O65-N65),(O65-N65)),IF((N65-M65)&lt;0,-(N65-M65),(N65-M65)))*$T65)+P65</f>
        <v/>
      </c>
      <c r="R65" s="277">
        <f>(AVERAGE(IF((Q65-P65)&lt;0,-(Q65-P65),(Q65-P65)),IF((P65-O65)&lt;0,-(P65-O65),(P65-O65)),IF((O65-N65)&lt;0,-(O65-N65),(O65-N65)))*$T65)+Q65</f>
        <v/>
      </c>
      <c r="S65" s="235">
        <f>AVERAGE(G65:R65)</f>
        <v/>
      </c>
      <c r="T65" s="278" t="n">
        <v>1.4</v>
      </c>
      <c r="U65" s="30" t="n"/>
      <c r="V65" s="30" t="n"/>
    </row>
    <row r="66" ht="17.25" customHeight="1" s="340">
      <c r="A66" s="232">
        <f>'Mapping Prob-Root'!A50</f>
        <v/>
      </c>
      <c r="B66" s="233">
        <f>'Mapping Prob-Root'!O50</f>
        <v/>
      </c>
      <c r="C66" s="236" t="inlineStr">
        <is>
          <t>high</t>
        </is>
      </c>
      <c r="D66" s="303" t="inlineStr">
        <is>
          <t>Completeness (Critical)</t>
        </is>
      </c>
      <c r="E66" s="428" t="n"/>
      <c r="F66" s="429" t="n"/>
      <c r="G66" s="234">
        <f>'SC3 Data'!F8</f>
        <v/>
      </c>
      <c r="H66" s="234">
        <f>'SC3 Data'!K8</f>
        <v/>
      </c>
      <c r="I66" s="234">
        <f>'SC3 Data'!P8</f>
        <v/>
      </c>
      <c r="J66" s="234">
        <f>'SC3 Data'!U8</f>
        <v/>
      </c>
      <c r="K66" s="234">
        <f>'SC3 Data'!Z8</f>
        <v/>
      </c>
      <c r="L66" s="234">
        <f>'SC3 Data'!AE8</f>
        <v/>
      </c>
      <c r="M66" s="248">
        <f>'SC3 Data'!AJ8</f>
        <v/>
      </c>
      <c r="N66" s="277">
        <f>(AVERAGE(IF((M66-L66)&lt;0,-(M66-L66),(M66-L66)),IF((L66-K66)&lt;0,-(L66-K66),(L66-K66)),IF((K66-J66)&lt;0,-(K66-J66),(K66-J66)))*$T66)+M66</f>
        <v/>
      </c>
      <c r="O66" s="277">
        <f>(AVERAGE(IF((N66-M66)&lt;0,-(N66-M66),(N66-M66)),IF((M66-L66)&lt;0,-(M66-L66),(M66-L66)),IF((L66-K66)&lt;0,-(L66-K66),(L66-K66)))*$T66)+N66</f>
        <v/>
      </c>
      <c r="P66" s="277">
        <f>(AVERAGE(IF((O66-N66)&lt;0,-(O66-N66),(O66-N66)),IF((N66-M66)&lt;0,-(N66-M66),(N66-M66)),IF((M66-L66)&lt;0,-(M66-L66),(M66-L66)))*$T66)+O66</f>
        <v/>
      </c>
      <c r="Q66" s="277">
        <f>(AVERAGE(IF((P66-O66)&lt;0,-(P66-O66),(P66-O66)),IF((O66-N66)&lt;0,-(O66-N66),(O66-N66)),IF((N66-M66)&lt;0,-(N66-M66),(N66-M66)))*$T66)+P66</f>
        <v/>
      </c>
      <c r="R66" s="277">
        <f>(AVERAGE(IF((Q66-P66)&lt;0,-(Q66-P66),(Q66-P66)),IF((P66-O66)&lt;0,-(P66-O66),(P66-O66)),IF((O66-N66)&lt;0,-(O66-N66),(O66-N66)))*$T66)+Q66</f>
        <v/>
      </c>
      <c r="S66" s="235">
        <f>AVERAGE(G66:R66)</f>
        <v/>
      </c>
      <c r="T66" s="278" t="n">
        <v>1.1</v>
      </c>
      <c r="U66" s="276" t="n"/>
      <c r="V66" s="30" t="n"/>
    </row>
    <row r="67" ht="17.25" customHeight="1" s="340">
      <c r="A67" s="232">
        <f>'Mapping Prob-Root'!A51</f>
        <v/>
      </c>
      <c r="B67" s="233">
        <f>'Mapping Prob-Root'!O51</f>
        <v/>
      </c>
      <c r="C67" s="236" t="inlineStr">
        <is>
          <t>high</t>
        </is>
      </c>
      <c r="D67" s="303" t="inlineStr">
        <is>
          <t>Timeliness (Critical)</t>
        </is>
      </c>
      <c r="E67" s="428" t="n"/>
      <c r="F67" s="429" t="n"/>
      <c r="G67" s="234">
        <f>'SC3 Data'!G8</f>
        <v/>
      </c>
      <c r="H67" s="234">
        <f>'SC3 Data'!L8</f>
        <v/>
      </c>
      <c r="I67" s="234">
        <f>'SC3 Data'!Q8</f>
        <v/>
      </c>
      <c r="J67" s="234">
        <f>'SC3 Data'!V8</f>
        <v/>
      </c>
      <c r="K67" s="234">
        <f>'SC3 Data'!AA8</f>
        <v/>
      </c>
      <c r="L67" s="234">
        <f>'SC3 Data'!AF8</f>
        <v/>
      </c>
      <c r="M67" s="248">
        <f>'SC3 Data'!AK8</f>
        <v/>
      </c>
      <c r="N67" s="277" t="n"/>
      <c r="O67" s="277" t="n"/>
      <c r="P67" s="277" t="n"/>
      <c r="Q67" s="277" t="n"/>
      <c r="R67" s="277" t="n"/>
      <c r="S67" s="235">
        <f>AVERAGE(G67:R67)</f>
        <v/>
      </c>
      <c r="T67" s="278" t="n">
        <v>1.1</v>
      </c>
      <c r="U67" s="30" t="n"/>
      <c r="V67" s="30" t="n"/>
    </row>
    <row r="68" ht="17.25" customHeight="1" s="340">
      <c r="A68" s="232">
        <f>'Mapping Prob-Root'!A52</f>
        <v/>
      </c>
      <c r="B68" s="233">
        <f>'Mapping Prob-Root'!O52</f>
        <v/>
      </c>
      <c r="C68" s="236" t="inlineStr">
        <is>
          <t>medium</t>
        </is>
      </c>
      <c r="D68" s="303" t="inlineStr">
        <is>
          <t>Completeness (All)</t>
        </is>
      </c>
      <c r="E68" s="428" t="n"/>
      <c r="F68" s="429" t="n"/>
      <c r="G68" s="234">
        <f>'SC3 Data'!F9</f>
        <v/>
      </c>
      <c r="H68" s="234">
        <f>'SC3 Data'!K9</f>
        <v/>
      </c>
      <c r="I68" s="234">
        <f>'SC3 Data'!P9</f>
        <v/>
      </c>
      <c r="J68" s="234">
        <f>'SC3 Data'!U9</f>
        <v/>
      </c>
      <c r="K68" s="234">
        <f>'SC3 Data'!Z9</f>
        <v/>
      </c>
      <c r="L68" s="234">
        <f>'SC3 Data'!AE9</f>
        <v/>
      </c>
      <c r="M68" s="248">
        <f>'SC3 Data'!AJ9</f>
        <v/>
      </c>
      <c r="N68" s="277">
        <f>(AVERAGE(IF((M68-L68)&lt;0,-(M68-L68),(M68-L68)),IF((L68-K68)&lt;0,-(L68-K68),(L68-K68)),IF((K68-J68)&lt;0,-(K68-J68),(K68-J68)))*$T68)+M68</f>
        <v/>
      </c>
      <c r="O68" s="277">
        <f>(AVERAGE(IF((N68-M68)&lt;0,-(N68-M68),(N68-M68)),IF((M68-L68)&lt;0,-(M68-L68),(M68-L68)),IF((L68-K68)&lt;0,-(L68-K68),(L68-K68)))*$T68)+N68</f>
        <v/>
      </c>
      <c r="P68" s="277">
        <f>(AVERAGE(IF((O68-N68)&lt;0,-(O68-N68),(O68-N68)),IF((N68-M68)&lt;0,-(N68-M68),(N68-M68)),IF((M68-L68)&lt;0,-(M68-L68),(M68-L68)))*$T68)+O68</f>
        <v/>
      </c>
      <c r="Q68" s="277">
        <f>(AVERAGE(IF((P68-O68)&lt;0,-(P68-O68),(P68-O68)),IF((O68-N68)&lt;0,-(O68-N68),(O68-N68)),IF((N68-M68)&lt;0,-(N68-M68),(N68-M68)))*$T68)+P68</f>
        <v/>
      </c>
      <c r="R68" s="277">
        <f>(AVERAGE(IF((Q68-P68)&lt;0,-(Q68-P68),(Q68-P68)),IF((P68-O68)&lt;0,-(P68-O68),(P68-O68)),IF((O68-N68)&lt;0,-(O68-N68),(O68-N68)))*$T68)+Q68</f>
        <v/>
      </c>
      <c r="S68" s="235">
        <f>AVERAGE(G68:R68)</f>
        <v/>
      </c>
      <c r="T68" s="278" t="n">
        <v>0.7</v>
      </c>
      <c r="U68" s="30" t="n"/>
      <c r="V68" s="30" t="n"/>
    </row>
    <row r="69" ht="17.25" customHeight="1" s="340">
      <c r="A69" s="232">
        <f>'Mapping Prob-Root'!A53</f>
        <v/>
      </c>
      <c r="B69" s="233">
        <f>'Mapping Prob-Root'!O53</f>
        <v/>
      </c>
      <c r="C69" s="236" t="inlineStr">
        <is>
          <t>medium</t>
        </is>
      </c>
      <c r="D69" s="303" t="inlineStr">
        <is>
          <t>Timeliness (All)</t>
        </is>
      </c>
      <c r="E69" s="428" t="n"/>
      <c r="F69" s="429" t="n"/>
      <c r="G69" s="234">
        <f>'SC3 Data'!G9</f>
        <v/>
      </c>
      <c r="H69" s="234">
        <f>'SC3 Data'!L9</f>
        <v/>
      </c>
      <c r="I69" s="234">
        <f>'SC3 Data'!Q9</f>
        <v/>
      </c>
      <c r="J69" s="234">
        <f>'SC3 Data'!V9</f>
        <v/>
      </c>
      <c r="K69" s="234">
        <f>'SC3 Data'!AA9</f>
        <v/>
      </c>
      <c r="L69" s="234">
        <f>'SC3 Data'!AF9</f>
        <v/>
      </c>
      <c r="M69" s="248">
        <f>'SC3 Data'!AK9</f>
        <v/>
      </c>
      <c r="N69" s="277">
        <f>(AVERAGE(IF((M69-L69)&lt;0,-(M69-L69),(M69-L69)),IF((L69-K69)&lt;0,-(L69-K69),(L69-K69)),IF((K69-J69)&lt;0,-(K69-J69),(K69-J69)))*$T69)+M69</f>
        <v/>
      </c>
      <c r="O69" s="277">
        <f>(AVERAGE(IF((N69-M69)&lt;0,-(N69-M69),(N69-M69)),IF((M69-L69)&lt;0,-(M69-L69),(M69-L69)),IF((L69-K69)&lt;0,-(L69-K69),(L69-K69)))*$T69)+N69</f>
        <v/>
      </c>
      <c r="P69" s="277">
        <f>(AVERAGE(IF((O69-N69)&lt;0,-(O69-N69),(O69-N69)),IF((N69-M69)&lt;0,-(N69-M69),(N69-M69)),IF((M69-L69)&lt;0,-(M69-L69),(M69-L69)))*$T69)+O69</f>
        <v/>
      </c>
      <c r="Q69" s="277">
        <f>(AVERAGE(IF((P69-O69)&lt;0,-(P69-O69),(P69-O69)),IF((O69-N69)&lt;0,-(O69-N69),(O69-N69)),IF((N69-M69)&lt;0,-(N69-M69),(N69-M69)))*$T69)+P69</f>
        <v/>
      </c>
      <c r="R69" s="277">
        <f>(AVERAGE(IF((Q69-P69)&lt;0,-(Q69-P69),(Q69-P69)),IF((P69-O69)&lt;0,-(P69-O69),(P69-O69)),IF((O69-N69)&lt;0,-(O69-N69),(O69-N69)))*$T69)+Q69</f>
        <v/>
      </c>
      <c r="S69" s="235">
        <f>AVERAGE(G69:R69)</f>
        <v/>
      </c>
      <c r="T69" s="278" t="n">
        <v>0.7</v>
      </c>
      <c r="U69" s="30" t="n"/>
      <c r="V69" s="30" t="n"/>
    </row>
    <row r="70" ht="17.25" customHeight="1" s="340">
      <c r="A70" s="232">
        <f>'Mapping Prob-Root'!A54</f>
        <v/>
      </c>
      <c r="B70" s="233">
        <f>'Mapping Prob-Root'!O54</f>
        <v/>
      </c>
      <c r="C70" s="236" t="inlineStr">
        <is>
          <t>medium</t>
        </is>
      </c>
      <c r="D70" s="303" t="inlineStr">
        <is>
          <t>Completeness (All)</t>
        </is>
      </c>
      <c r="E70" s="428" t="n"/>
      <c r="F70" s="429" t="n"/>
      <c r="G70" s="234">
        <f>'SC3 Data'!F10</f>
        <v/>
      </c>
      <c r="H70" s="234">
        <f>'SC3 Data'!K10</f>
        <v/>
      </c>
      <c r="I70" s="234">
        <f>'SC3 Data'!P10</f>
        <v/>
      </c>
      <c r="J70" s="234">
        <f>'SC3 Data'!U10</f>
        <v/>
      </c>
      <c r="K70" s="234">
        <f>'SC3 Data'!Z10</f>
        <v/>
      </c>
      <c r="L70" s="234">
        <f>'SC3 Data'!AE10</f>
        <v/>
      </c>
      <c r="M70" s="248">
        <f>'SC3 Data'!AJ10</f>
        <v/>
      </c>
      <c r="N70" s="277">
        <f>(AVERAGE(IF((M70-L70)&lt;0,-(M70-L70),(M70-L70)),IF((L70-K70)&lt;0,-(L70-K70),(L70-K70)),IF((K70-J70)&lt;0,-(K70-J70),(K70-J70)))*$T70)+M70</f>
        <v/>
      </c>
      <c r="O70" s="277">
        <f>(AVERAGE(IF((N70-M70)&lt;0,-(N70-M70),(N70-M70)),IF((M70-L70)&lt;0,-(M70-L70),(M70-L70)),IF((L70-K70)&lt;0,-(L70-K70),(L70-K70)))*$T70)+N70</f>
        <v/>
      </c>
      <c r="P70" s="277">
        <f>(AVERAGE(IF((O70-N70)&lt;0,-(O70-N70),(O70-N70)),IF((N70-M70)&lt;0,-(N70-M70),(N70-M70)),IF((M70-L70)&lt;0,-(M70-L70),(M70-L70)))*$T70)+O70</f>
        <v/>
      </c>
      <c r="Q70" s="277">
        <f>(AVERAGE(IF((P70-O70)&lt;0,-(P70-O70),(P70-O70)),IF((O70-N70)&lt;0,-(O70-N70),(O70-N70)),IF((N70-M70)&lt;0,-(N70-M70),(N70-M70)))*$T70)+P70</f>
        <v/>
      </c>
      <c r="R70" s="277">
        <f>(AVERAGE(IF((Q70-P70)&lt;0,-(Q70-P70),(Q70-P70)),IF((P70-O70)&lt;0,-(P70-O70),(P70-O70)),IF((O70-N70)&lt;0,-(O70-N70),(O70-N70)))*$T70)+Q70</f>
        <v/>
      </c>
      <c r="S70" s="235">
        <f>AVERAGE(G70:R70)</f>
        <v/>
      </c>
      <c r="T70" s="278" t="n">
        <v>0.9</v>
      </c>
      <c r="U70" s="30" t="n"/>
      <c r="V70" s="30" t="n"/>
    </row>
    <row r="71" ht="17.25" customHeight="1" s="340">
      <c r="A71" s="232">
        <f>'Mapping Prob-Root'!A55</f>
        <v/>
      </c>
      <c r="B71" s="233">
        <f>'Mapping Prob-Root'!O55</f>
        <v/>
      </c>
      <c r="C71" s="236" t="inlineStr">
        <is>
          <t>medium</t>
        </is>
      </c>
      <c r="D71" s="303" t="inlineStr">
        <is>
          <t>Timeliness (All)</t>
        </is>
      </c>
      <c r="E71" s="428" t="n"/>
      <c r="F71" s="429" t="n"/>
      <c r="G71" s="234">
        <f>'SC3 Data'!G10</f>
        <v/>
      </c>
      <c r="H71" s="234">
        <f>'SC3 Data'!L10</f>
        <v/>
      </c>
      <c r="I71" s="234">
        <f>'SC3 Data'!Q10</f>
        <v/>
      </c>
      <c r="J71" s="234">
        <f>'SC3 Data'!V10</f>
        <v/>
      </c>
      <c r="K71" s="234">
        <f>'SC3 Data'!AA10</f>
        <v/>
      </c>
      <c r="L71" s="234">
        <f>'SC3 Data'!AF10</f>
        <v/>
      </c>
      <c r="M71" s="248">
        <f>'SC3 Data'!AK10</f>
        <v/>
      </c>
      <c r="N71" s="277">
        <f>(AVERAGE(IF((M71-L71)&lt;0,-(M71-L71),(M71-L71)),IF((L71-K71)&lt;0,-(L71-K71),(L71-K71)),IF((K71-J71)&lt;0,-(K71-J71),(K71-J71)))*$T71)+M71</f>
        <v/>
      </c>
      <c r="O71" s="277">
        <f>(AVERAGE(IF((N71-M71)&lt;0,-(N71-M71),(N71-M71)),IF((M71-L71)&lt;0,-(M71-L71),(M71-L71)),IF((L71-K71)&lt;0,-(L71-K71),(L71-K71)))*$T71)+N71</f>
        <v/>
      </c>
      <c r="P71" s="277">
        <f>(AVERAGE(IF((O71-N71)&lt;0,-(O71-N71),(O71-N71)),IF((N71-M71)&lt;0,-(N71-M71),(N71-M71)),IF((M71-L71)&lt;0,-(M71-L71),(M71-L71)))*$T71)+O71</f>
        <v/>
      </c>
      <c r="Q71" s="277">
        <f>(AVERAGE(IF((P71-O71)&lt;0,-(P71-O71),(P71-O71)),IF((O71-N71)&lt;0,-(O71-N71),(O71-N71)),IF((N71-M71)&lt;0,-(N71-M71),(N71-M71)))*$T71)+P71</f>
        <v/>
      </c>
      <c r="R71" s="277">
        <f>(AVERAGE(IF((Q71-P71)&lt;0,-(Q71-P71),(Q71-P71)),IF((P71-O71)&lt;0,-(P71-O71),(P71-O71)),IF((O71-N71)&lt;0,-(O71-N71),(O71-N71)))*$T71)+Q71</f>
        <v/>
      </c>
      <c r="S71" s="235">
        <f>AVERAGE(G71:R71)</f>
        <v/>
      </c>
      <c r="T71" s="278" t="n">
        <v>0.7</v>
      </c>
      <c r="U71" s="30" t="n"/>
      <c r="V71" s="30" t="n"/>
    </row>
    <row r="72" ht="17.25" customHeight="1" s="340">
      <c r="A72" s="232">
        <f>'Mapping Prob-Root'!A56</f>
        <v/>
      </c>
      <c r="B72" s="233">
        <f>'Mapping Prob-Root'!O56</f>
        <v/>
      </c>
      <c r="C72" s="236" t="inlineStr">
        <is>
          <t>medium</t>
        </is>
      </c>
      <c r="D72" s="303" t="inlineStr">
        <is>
          <t>Completeness (All)</t>
        </is>
      </c>
      <c r="E72" s="428" t="n"/>
      <c r="F72" s="429" t="n"/>
      <c r="G72" s="234">
        <f>'SC3 Data'!F11</f>
        <v/>
      </c>
      <c r="H72" s="234">
        <f>'SC3 Data'!K11</f>
        <v/>
      </c>
      <c r="I72" s="234">
        <f>'SC3 Data'!P11</f>
        <v/>
      </c>
      <c r="J72" s="234">
        <f>'SC3 Data'!U11</f>
        <v/>
      </c>
      <c r="K72" s="234">
        <f>'SC3 Data'!Z11</f>
        <v/>
      </c>
      <c r="L72" s="234">
        <f>'SC3 Data'!AE11</f>
        <v/>
      </c>
      <c r="M72" s="248">
        <f>'SC3 Data'!AJ11</f>
        <v/>
      </c>
      <c r="N72" s="277">
        <f>(AVERAGE(IF((M72-L72)&lt;0,-(M72-L72),(M72-L72)),IF((L72-K72)&lt;0,-(L72-K72),(L72-K72)),IF((K72-J72)&lt;0,-(K72-J72),(K72-J72)))*$T72)+M72</f>
        <v/>
      </c>
      <c r="O72" s="277">
        <f>(AVERAGE(IF((N72-M72)&lt;0,-(N72-M72),(N72-M72)),IF((M72-L72)&lt;0,-(M72-L72),(M72-L72)),IF((L72-K72)&lt;0,-(L72-K72),(L72-K72)))*$T72)+N72</f>
        <v/>
      </c>
      <c r="P72" s="277">
        <f>(AVERAGE(IF((O72-N72)&lt;0,-(O72-N72),(O72-N72)),IF((N72-M72)&lt;0,-(N72-M72),(N72-M72)),IF((M72-L72)&lt;0,-(M72-L72),(M72-L72)))*$T72)+O72</f>
        <v/>
      </c>
      <c r="Q72" s="277">
        <f>(AVERAGE(IF((P72-O72)&lt;0,-(P72-O72),(P72-O72)),IF((O72-N72)&lt;0,-(O72-N72),(O72-N72)),IF((N72-M72)&lt;0,-(N72-M72),(N72-M72)))*$T72)+P72</f>
        <v/>
      </c>
      <c r="R72" s="277">
        <f>(AVERAGE(IF((Q72-P72)&lt;0,-(Q72-P72),(Q72-P72)),IF((P72-O72)&lt;0,-(P72-O72),(P72-O72)),IF((O72-N72)&lt;0,-(O72-N72),(O72-N72)))*$T72)+Q72</f>
        <v/>
      </c>
      <c r="S72" s="235">
        <f>AVERAGE(G72:R72)</f>
        <v/>
      </c>
      <c r="T72" s="278" t="n">
        <v>0.8</v>
      </c>
      <c r="U72" s="30" t="n"/>
      <c r="V72" s="30" t="n"/>
    </row>
    <row r="73" ht="17.25" customHeight="1" s="340">
      <c r="A73" s="232">
        <f>'Mapping Prob-Root'!A57</f>
        <v/>
      </c>
      <c r="B73" s="233">
        <f>'Mapping Prob-Root'!O57</f>
        <v/>
      </c>
      <c r="C73" s="236" t="inlineStr">
        <is>
          <t>medium</t>
        </is>
      </c>
      <c r="D73" s="303" t="inlineStr">
        <is>
          <t>Timeliness (All)</t>
        </is>
      </c>
      <c r="E73" s="428" t="n"/>
      <c r="F73" s="429" t="n"/>
      <c r="G73" s="234">
        <f>'SC3 Data'!G11</f>
        <v/>
      </c>
      <c r="H73" s="234">
        <f>'SC3 Data'!L11</f>
        <v/>
      </c>
      <c r="I73" s="234">
        <f>'SC3 Data'!Q11</f>
        <v/>
      </c>
      <c r="J73" s="234">
        <f>'SC3 Data'!V11</f>
        <v/>
      </c>
      <c r="K73" s="234">
        <f>'SC3 Data'!AA11</f>
        <v/>
      </c>
      <c r="L73" s="234">
        <f>'SC3 Data'!AF11</f>
        <v/>
      </c>
      <c r="M73" s="248">
        <f>'SC3 Data'!AK11</f>
        <v/>
      </c>
      <c r="N73" s="277">
        <f>(AVERAGE(IF((M73-L73)&lt;0,-(M73-L73),(M73-L73)),IF((L73-K73)&lt;0,-(L73-K73),(L73-K73)),IF((K73-J73)&lt;0,-(K73-J73),(K73-J73)))*$T73)+M73</f>
        <v/>
      </c>
      <c r="O73" s="277">
        <f>(AVERAGE(IF((N73-M73)&lt;0,-(N73-M73),(N73-M73)),IF((M73-L73)&lt;0,-(M73-L73),(M73-L73)),IF((L73-K73)&lt;0,-(L73-K73),(L73-K73)))*$T73)+N73</f>
        <v/>
      </c>
      <c r="P73" s="277">
        <f>(AVERAGE(IF((O73-N73)&lt;0,-(O73-N73),(O73-N73)),IF((N73-M73)&lt;0,-(N73-M73),(N73-M73)),IF((M73-L73)&lt;0,-(M73-L73),(M73-L73)))*$T73)+O73</f>
        <v/>
      </c>
      <c r="Q73" s="277">
        <f>(AVERAGE(IF((P73-O73)&lt;0,-(P73-O73),(P73-O73)),IF((O73-N73)&lt;0,-(O73-N73),(O73-N73)),IF((N73-M73)&lt;0,-(N73-M73),(N73-M73)))*$T73)+P73</f>
        <v/>
      </c>
      <c r="R73" s="277">
        <f>(AVERAGE(IF((Q73-P73)&lt;0,-(Q73-P73),(Q73-P73)),IF((P73-O73)&lt;0,-(P73-O73),(P73-O73)),IF((O73-N73)&lt;0,-(O73-N73),(O73-N73)))*$T73)+Q73</f>
        <v/>
      </c>
      <c r="S73" s="235">
        <f>AVERAGE(G73:R73)</f>
        <v/>
      </c>
      <c r="T73" s="278" t="n">
        <v>0.6</v>
      </c>
      <c r="U73" s="30" t="n"/>
      <c r="V73" s="30" t="n"/>
    </row>
    <row r="74" ht="17.25" customHeight="1" s="340">
      <c r="A74" s="232">
        <f>'Mapping Prob-Root'!A58</f>
        <v/>
      </c>
      <c r="B74" s="233">
        <f>'Mapping Prob-Root'!O58</f>
        <v/>
      </c>
      <c r="C74" s="236" t="inlineStr">
        <is>
          <t>high</t>
        </is>
      </c>
      <c r="D74" s="303" t="inlineStr">
        <is>
          <t>Completeness (Critical)</t>
        </is>
      </c>
      <c r="E74" s="428" t="n"/>
      <c r="F74" s="429" t="n"/>
      <c r="G74" s="234">
        <f>'SC3 Data'!F12</f>
        <v/>
      </c>
      <c r="H74" s="234">
        <f>'SC3 Data'!K12</f>
        <v/>
      </c>
      <c r="I74" s="234">
        <f>'SC3 Data'!P12</f>
        <v/>
      </c>
      <c r="J74" s="234">
        <f>'SC3 Data'!U12</f>
        <v/>
      </c>
      <c r="K74" s="234">
        <f>'SC3 Data'!Z12</f>
        <v/>
      </c>
      <c r="L74" s="234">
        <f>'SC3 Data'!AE12</f>
        <v/>
      </c>
      <c r="M74" s="248">
        <f>'SC3 Data'!AJ12</f>
        <v/>
      </c>
      <c r="N74" s="277">
        <f>(AVERAGE(IF((M74-L74)&lt;0,-(M74-L74),(M74-L74)),IF((L74-K74)&lt;0,-(L74-K74),(L74-K74)),IF((K74-J74)&lt;0,-(K74-J74),(K74-J74)))*$T74)+M74</f>
        <v/>
      </c>
      <c r="O74" s="277">
        <f>(AVERAGE(IF((N74-M74)&lt;0,-(N74-M74),(N74-M74)),IF((M74-L74)&lt;0,-(M74-L74),(M74-L74)),IF((L74-K74)&lt;0,-(L74-K74),(L74-K74)))*$T74)+N74</f>
        <v/>
      </c>
      <c r="P74" s="277">
        <f>(AVERAGE(IF((O74-N74)&lt;0,-(O74-N74),(O74-N74)),IF((N74-M74)&lt;0,-(N74-M74),(N74-M74)),IF((M74-L74)&lt;0,-(M74-L74),(M74-L74)))*$T74)+O74</f>
        <v/>
      </c>
      <c r="Q74" s="277">
        <f>(AVERAGE(IF((P74-O74)&lt;0,-(P74-O74),(P74-O74)),IF((O74-N74)&lt;0,-(O74-N74),(O74-N74)),IF((N74-M74)&lt;0,-(N74-M74),(N74-M74)))*$T74)+P74</f>
        <v/>
      </c>
      <c r="R74" s="277">
        <f>(AVERAGE(IF((Q74-P74)&lt;0,-(Q74-P74),(Q74-P74)),IF((P74-O74)&lt;0,-(P74-O74),(P74-O74)),IF((O74-N74)&lt;0,-(O74-N74),(O74-N74)))*$T74)+Q74</f>
        <v/>
      </c>
      <c r="S74" s="235">
        <f>AVERAGE(G74:R74)</f>
        <v/>
      </c>
      <c r="T74" s="278" t="n">
        <v>0.7</v>
      </c>
      <c r="U74" s="276" t="n"/>
      <c r="V74" s="30" t="n"/>
    </row>
    <row r="75" ht="17.25" customHeight="1" s="340">
      <c r="A75" s="232">
        <f>'Mapping Prob-Root'!A59</f>
        <v/>
      </c>
      <c r="B75" s="233">
        <f>'Mapping Prob-Root'!O59</f>
        <v/>
      </c>
      <c r="C75" s="236" t="inlineStr">
        <is>
          <t>high</t>
        </is>
      </c>
      <c r="D75" s="303" t="inlineStr">
        <is>
          <t>Timeliness (Critical)</t>
        </is>
      </c>
      <c r="E75" s="428" t="n"/>
      <c r="F75" s="429" t="n"/>
      <c r="G75" s="234">
        <f>'SC3 Data'!G12</f>
        <v/>
      </c>
      <c r="H75" s="234">
        <f>'SC3 Data'!L12</f>
        <v/>
      </c>
      <c r="I75" s="234">
        <f>'SC3 Data'!Q12</f>
        <v/>
      </c>
      <c r="J75" s="234">
        <f>'SC3 Data'!V12</f>
        <v/>
      </c>
      <c r="K75" s="234">
        <f>'SC3 Data'!AA12</f>
        <v/>
      </c>
      <c r="L75" s="234">
        <f>'SC3 Data'!AF12</f>
        <v/>
      </c>
      <c r="M75" s="248">
        <f>'SC3 Data'!AK12</f>
        <v/>
      </c>
      <c r="N75" s="277">
        <f>(AVERAGE(IF((M75-L75)&lt;0,-(M75-L75),(M75-L75)),IF((L75-K75)&lt;0,-(L75-K75),(L75-K75)),IF((K75-J75)&lt;0,-(K75-J75),(K75-J75)))*$T75)+M75</f>
        <v/>
      </c>
      <c r="O75" s="277">
        <f>(AVERAGE(IF((N75-M75)&lt;0,-(N75-M75),(N75-M75)),IF((M75-L75)&lt;0,-(M75-L75),(M75-L75)),IF((L75-K75)&lt;0,-(L75-K75),(L75-K75)))*$T75)+N75</f>
        <v/>
      </c>
      <c r="P75" s="277">
        <f>(AVERAGE(IF((O75-N75)&lt;0,-(O75-N75),(O75-N75)),IF((N75-M75)&lt;0,-(N75-M75),(N75-M75)),IF((M75-L75)&lt;0,-(M75-L75),(M75-L75)))*$T75)+O75</f>
        <v/>
      </c>
      <c r="Q75" s="277">
        <f>(AVERAGE(IF((P75-O75)&lt;0,-(P75-O75),(P75-O75)),IF((O75-N75)&lt;0,-(O75-N75),(O75-N75)),IF((N75-M75)&lt;0,-(N75-M75),(N75-M75)))*$T75)+P75</f>
        <v/>
      </c>
      <c r="R75" s="277">
        <f>(AVERAGE(IF((Q75-P75)&lt;0,-(Q75-P75),(Q75-P75)),IF((P75-O75)&lt;0,-(P75-O75),(P75-O75)),IF((O75-N75)&lt;0,-(O75-N75),(O75-N75)))*$T75)+Q75</f>
        <v/>
      </c>
      <c r="S75" s="235">
        <f>AVERAGE(G75:R75)</f>
        <v/>
      </c>
      <c r="T75" s="278" t="n">
        <v>0.2</v>
      </c>
      <c r="U75" s="30" t="n"/>
      <c r="V75" s="30" t="n"/>
    </row>
    <row r="76" ht="17.25" customHeight="1" s="340">
      <c r="A76" s="232">
        <f>'Mapping Prob-Root'!A60</f>
        <v/>
      </c>
      <c r="B76" s="233">
        <f>'Mapping Prob-Root'!O60</f>
        <v/>
      </c>
      <c r="C76" s="236" t="inlineStr">
        <is>
          <t>high</t>
        </is>
      </c>
      <c r="D76" s="303" t="inlineStr">
        <is>
          <t>Completeness (Critical)</t>
        </is>
      </c>
      <c r="E76" s="428" t="n"/>
      <c r="F76" s="429" t="n"/>
      <c r="G76" s="234">
        <f>'SC3 Data'!F13</f>
        <v/>
      </c>
      <c r="H76" s="234">
        <f>'SC3 Data'!K13</f>
        <v/>
      </c>
      <c r="I76" s="234">
        <f>'SC3 Data'!P13</f>
        <v/>
      </c>
      <c r="J76" s="234">
        <f>'SC3 Data'!U13</f>
        <v/>
      </c>
      <c r="K76" s="234">
        <f>'SC3 Data'!Z13</f>
        <v/>
      </c>
      <c r="L76" s="234">
        <f>'SC3 Data'!AE13</f>
        <v/>
      </c>
      <c r="M76" s="248">
        <f>'SC3 Data'!AJ13</f>
        <v/>
      </c>
      <c r="N76" s="277">
        <f>(AVERAGE(IF((M76-L76)&lt;0,-(M76-L76),(M76-L76)),IF((L76-K76)&lt;0,-(L76-K76),(L76-K76)),IF((K76-J76)&lt;0,-(K76-J76),(K76-J76)))*$T76)+M76</f>
        <v/>
      </c>
      <c r="O76" s="277">
        <f>(AVERAGE(IF((N76-M76)&lt;0,-(N76-M76),(N76-M76)),IF((M76-L76)&lt;0,-(M76-L76),(M76-L76)),IF((L76-K76)&lt;0,-(L76-K76),(L76-K76)))*$T76)+N76</f>
        <v/>
      </c>
      <c r="P76" s="277">
        <f>(AVERAGE(IF((O76-N76)&lt;0,-(O76-N76),(O76-N76)),IF((N76-M76)&lt;0,-(N76-M76),(N76-M76)),IF((M76-L76)&lt;0,-(M76-L76),(M76-L76)))*$T76)+O76</f>
        <v/>
      </c>
      <c r="Q76" s="277">
        <f>(AVERAGE(IF((P76-O76)&lt;0,-(P76-O76),(P76-O76)),IF((O76-N76)&lt;0,-(O76-N76),(O76-N76)),IF((N76-M76)&lt;0,-(N76-M76),(N76-M76)))*$T76)+P76</f>
        <v/>
      </c>
      <c r="R76" s="277">
        <f>(AVERAGE(IF((Q76-P76)&lt;0,-(Q76-P76),(Q76-P76)),IF((P76-O76)&lt;0,-(P76-O76),(P76-O76)),IF((O76-N76)&lt;0,-(O76-N76),(O76-N76)))*$T76)+Q76</f>
        <v/>
      </c>
      <c r="S76" s="235">
        <f>AVERAGE(G76:R76)</f>
        <v/>
      </c>
      <c r="T76" s="278" t="n">
        <v>0.7</v>
      </c>
      <c r="U76" s="276" t="n"/>
      <c r="V76" s="30" t="n"/>
    </row>
    <row r="77" ht="17.25" customHeight="1" s="340">
      <c r="A77" s="232">
        <f>'Mapping Prob-Root'!A61</f>
        <v/>
      </c>
      <c r="B77" s="233">
        <f>'Mapping Prob-Root'!O61</f>
        <v/>
      </c>
      <c r="C77" s="236" t="inlineStr">
        <is>
          <t>high</t>
        </is>
      </c>
      <c r="D77" s="303" t="inlineStr">
        <is>
          <t>Timeliness (Critical)</t>
        </is>
      </c>
      <c r="E77" s="428" t="n"/>
      <c r="F77" s="429" t="n"/>
      <c r="G77" s="234">
        <f>'SC3 Data'!G13</f>
        <v/>
      </c>
      <c r="H77" s="234">
        <f>'SC3 Data'!L13</f>
        <v/>
      </c>
      <c r="I77" s="234">
        <f>'SC3 Data'!Q13</f>
        <v/>
      </c>
      <c r="J77" s="234">
        <f>'SC3 Data'!V13</f>
        <v/>
      </c>
      <c r="K77" s="234">
        <f>'SC3 Data'!AA13</f>
        <v/>
      </c>
      <c r="L77" s="234">
        <f>'SC3 Data'!AF13</f>
        <v/>
      </c>
      <c r="M77" s="248">
        <f>'SC3 Data'!AK13</f>
        <v/>
      </c>
      <c r="N77" s="277">
        <f>(AVERAGE(IF((M77-L77)&lt;0,-(M77-L77),(M77-L77)),IF((L77-K77)&lt;0,-(L77-K77),(L77-K77)),IF((K77-J77)&lt;0,-(K77-J77),(K77-J77)))*$T77)+M77</f>
        <v/>
      </c>
      <c r="O77" s="277">
        <f>(AVERAGE(IF((N77-M77)&lt;0,-(N77-M77),(N77-M77)),IF((M77-L77)&lt;0,-(M77-L77),(M77-L77)),IF((L77-K77)&lt;0,-(L77-K77),(L77-K77)))*$T77)+N77</f>
        <v/>
      </c>
      <c r="P77" s="277">
        <f>(AVERAGE(IF((O77-N77)&lt;0,-(O77-N77),(O77-N77)),IF((N77-M77)&lt;0,-(N77-M77),(N77-M77)),IF((M77-L77)&lt;0,-(M77-L77),(M77-L77)))*$T77)+O77</f>
        <v/>
      </c>
      <c r="Q77" s="277">
        <f>(AVERAGE(IF((P77-O77)&lt;0,-(P77-O77),(P77-O77)),IF((O77-N77)&lt;0,-(O77-N77),(O77-N77)),IF((N77-M77)&lt;0,-(N77-M77),(N77-M77)))*$T77)+P77</f>
        <v/>
      </c>
      <c r="R77" s="277">
        <f>(AVERAGE(IF((Q77-P77)&lt;0,-(Q77-P77),(Q77-P77)),IF((P77-O77)&lt;0,-(P77-O77),(P77-O77)),IF((O77-N77)&lt;0,-(O77-N77),(O77-N77)))*$T77)+Q77</f>
        <v/>
      </c>
      <c r="S77" s="235">
        <f>AVERAGE(G77:R77)</f>
        <v/>
      </c>
      <c r="T77" s="278" t="n">
        <v>0.2</v>
      </c>
      <c r="U77" s="30" t="n"/>
      <c r="V77" s="30" t="n"/>
    </row>
    <row r="78" ht="17.25" customHeight="1" s="340">
      <c r="A78" s="232">
        <f>'Mapping Prob-Root'!A62</f>
        <v/>
      </c>
      <c r="B78" s="233">
        <f>'Mapping Prob-Root'!O62</f>
        <v/>
      </c>
      <c r="C78" s="236" t="inlineStr">
        <is>
          <t>high</t>
        </is>
      </c>
      <c r="D78" s="303" t="inlineStr">
        <is>
          <t>Completeness (Critical)</t>
        </is>
      </c>
      <c r="E78" s="428" t="n"/>
      <c r="F78" s="429" t="n"/>
      <c r="G78" s="234">
        <f>'SC3 Data'!F14</f>
        <v/>
      </c>
      <c r="H78" s="234">
        <f>'SC3 Data'!K14</f>
        <v/>
      </c>
      <c r="I78" s="234">
        <f>'SC3 Data'!P14</f>
        <v/>
      </c>
      <c r="J78" s="234">
        <f>'SC3 Data'!U14</f>
        <v/>
      </c>
      <c r="K78" s="234">
        <f>'SC3 Data'!Z14</f>
        <v/>
      </c>
      <c r="L78" s="234">
        <f>'SC3 Data'!AE14</f>
        <v/>
      </c>
      <c r="M78" s="248">
        <f>'SC3 Data'!AJ14</f>
        <v/>
      </c>
      <c r="N78" s="277">
        <f>(AVERAGE(IF((M78-L78)&lt;0,-(M78-L78),(M78-L78)),IF((L78-K78)&lt;0,-(L78-K78),(L78-K78)),IF((K78-J78)&lt;0,-(K78-J78),(K78-J78)))*$T78)+M78</f>
        <v/>
      </c>
      <c r="O78" s="277">
        <f>(AVERAGE(IF((N78-M78)&lt;0,-(N78-M78),(N78-M78)),IF((M78-L78)&lt;0,-(M78-L78),(M78-L78)),IF((L78-K78)&lt;0,-(L78-K78),(L78-K78)))*$T78)+N78</f>
        <v/>
      </c>
      <c r="P78" s="277">
        <f>(AVERAGE(IF((O78-N78)&lt;0,-(O78-N78),(O78-N78)),IF((N78-M78)&lt;0,-(N78-M78),(N78-M78)),IF((M78-L78)&lt;0,-(M78-L78),(M78-L78)))*$T78)+O78</f>
        <v/>
      </c>
      <c r="Q78" s="277">
        <f>(AVERAGE(IF((P78-O78)&lt;0,-(P78-O78),(P78-O78)),IF((O78-N78)&lt;0,-(O78-N78),(O78-N78)),IF((N78-M78)&lt;0,-(N78-M78),(N78-M78)))*$T78)+P78</f>
        <v/>
      </c>
      <c r="R78" s="277">
        <f>(AVERAGE(IF((Q78-P78)&lt;0,-(Q78-P78),(Q78-P78)),IF((P78-O78)&lt;0,-(P78-O78),(P78-O78)),IF((O78-N78)&lt;0,-(O78-N78),(O78-N78)))*$T78)+Q78</f>
        <v/>
      </c>
      <c r="S78" s="235">
        <f>AVERAGE(G78:R78)</f>
        <v/>
      </c>
      <c r="T78" s="278" t="n">
        <v>0.6</v>
      </c>
      <c r="U78" s="276" t="n"/>
      <c r="V78" s="30" t="n"/>
    </row>
    <row r="79" ht="17.25" customHeight="1" s="340">
      <c r="A79" s="232">
        <f>'Mapping Prob-Root'!A63</f>
        <v/>
      </c>
      <c r="B79" s="233">
        <f>'Mapping Prob-Root'!O63</f>
        <v/>
      </c>
      <c r="C79" s="236" t="inlineStr">
        <is>
          <t>high</t>
        </is>
      </c>
      <c r="D79" s="303" t="inlineStr">
        <is>
          <t>Timeliness (Critical)</t>
        </is>
      </c>
      <c r="E79" s="428" t="n"/>
      <c r="F79" s="429" t="n"/>
      <c r="G79" s="234">
        <f>'SC3 Data'!G14</f>
        <v/>
      </c>
      <c r="H79" s="234">
        <f>'SC3 Data'!L14</f>
        <v/>
      </c>
      <c r="I79" s="234">
        <f>'SC3 Data'!Q14</f>
        <v/>
      </c>
      <c r="J79" s="234">
        <f>'SC3 Data'!V14</f>
        <v/>
      </c>
      <c r="K79" s="234">
        <f>'SC3 Data'!AA14</f>
        <v/>
      </c>
      <c r="L79" s="234">
        <f>'SC3 Data'!AF14</f>
        <v/>
      </c>
      <c r="M79" s="248">
        <f>'SC3 Data'!AK14</f>
        <v/>
      </c>
      <c r="N79" s="277">
        <f>(AVERAGE(IF((M79-L79)&lt;0,-(M79-L79),(M79-L79)),IF((L79-K79)&lt;0,-(L79-K79),(L79-K79)),IF((K79-J79)&lt;0,-(K79-J79),(K79-J79)))*$T79)+M79</f>
        <v/>
      </c>
      <c r="O79" s="277">
        <f>(AVERAGE(IF((N79-M79)&lt;0,-(N79-M79),(N79-M79)),IF((M79-L79)&lt;0,-(M79-L79),(M79-L79)),IF((L79-K79)&lt;0,-(L79-K79),(L79-K79)))*$T79)+N79</f>
        <v/>
      </c>
      <c r="P79" s="277">
        <f>(AVERAGE(IF((O79-N79)&lt;0,-(O79-N79),(O79-N79)),IF((N79-M79)&lt;0,-(N79-M79),(N79-M79)),IF((M79-L79)&lt;0,-(M79-L79),(M79-L79)))*$T79)+O79</f>
        <v/>
      </c>
      <c r="Q79" s="277">
        <f>(AVERAGE(IF((P79-O79)&lt;0,-(P79-O79),(P79-O79)),IF((O79-N79)&lt;0,-(O79-N79),(O79-N79)),IF((N79-M79)&lt;0,-(N79-M79),(N79-M79)))*$T79)+P79</f>
        <v/>
      </c>
      <c r="R79" s="277">
        <f>(AVERAGE(IF((Q79-P79)&lt;0,-(Q79-P79),(Q79-P79)),IF((P79-O79)&lt;0,-(P79-O79),(P79-O79)),IF((O79-N79)&lt;0,-(O79-N79),(O79-N79)))*$T79)+Q79</f>
        <v/>
      </c>
      <c r="S79" s="235">
        <f>AVERAGE(G79:R79)</f>
        <v/>
      </c>
      <c r="T79" s="278" t="n">
        <v>0.1</v>
      </c>
      <c r="U79" s="30" t="n"/>
      <c r="V79" s="30" t="n"/>
    </row>
    <row r="80" ht="17.25" customHeight="1" s="340">
      <c r="A80" s="232">
        <f>'Mapping Prob-Root'!A64</f>
        <v/>
      </c>
      <c r="B80" s="233">
        <f>'Mapping Prob-Root'!O64</f>
        <v/>
      </c>
      <c r="C80" s="236" t="inlineStr">
        <is>
          <t>high</t>
        </is>
      </c>
      <c r="D80" s="303" t="inlineStr">
        <is>
          <t>Completeness (Critical)</t>
        </is>
      </c>
      <c r="E80" s="428" t="n"/>
      <c r="F80" s="429" t="n"/>
      <c r="G80" s="234">
        <f>'SC3 Data'!F15</f>
        <v/>
      </c>
      <c r="H80" s="234">
        <f>'SC3 Data'!K15</f>
        <v/>
      </c>
      <c r="I80" s="234">
        <f>'SC3 Data'!P15</f>
        <v/>
      </c>
      <c r="J80" s="234">
        <f>'SC3 Data'!U15</f>
        <v/>
      </c>
      <c r="K80" s="234">
        <f>'SC3 Data'!Z15</f>
        <v/>
      </c>
      <c r="L80" s="234">
        <f>'SC3 Data'!AE15</f>
        <v/>
      </c>
      <c r="M80" s="248">
        <f>'SC3 Data'!AJ15</f>
        <v/>
      </c>
      <c r="N80" s="277">
        <f>(AVERAGE(IF((M80-L80)&lt;0,-(M80-L80),(M80-L80)),IF((L80-K80)&lt;0,-(L80-K80),(L80-K80)),IF((K80-J80)&lt;0,-(K80-J80),(K80-J80)))*$T80)+M80</f>
        <v/>
      </c>
      <c r="O80" s="277">
        <f>(AVERAGE(IF((N80-M80)&lt;0,-(N80-M80),(N80-M80)),IF((M80-L80)&lt;0,-(M80-L80),(M80-L80)),IF((L80-K80)&lt;0,-(L80-K80),(L80-K80)))*$T80)+N80</f>
        <v/>
      </c>
      <c r="P80" s="277">
        <f>(AVERAGE(IF((O80-N80)&lt;0,-(O80-N80),(O80-N80)),IF((N80-M80)&lt;0,-(N80-M80),(N80-M80)),IF((M80-L80)&lt;0,-(M80-L80),(M80-L80)))*$T80)+O80</f>
        <v/>
      </c>
      <c r="Q80" s="277">
        <f>(AVERAGE(IF((P80-O80)&lt;0,-(P80-O80),(P80-O80)),IF((O80-N80)&lt;0,-(O80-N80),(O80-N80)),IF((N80-M80)&lt;0,-(N80-M80),(N80-M80)))*$T80)+P80</f>
        <v/>
      </c>
      <c r="R80" s="277">
        <f>(AVERAGE(IF((Q80-P80)&lt;0,-(Q80-P80),(Q80-P80)),IF((P80-O80)&lt;0,-(P80-O80),(P80-O80)),IF((O80-N80)&lt;0,-(O80-N80),(O80-N80)))*$T80)+Q80</f>
        <v/>
      </c>
      <c r="S80" s="235">
        <f>AVERAGE(G80:R80)</f>
        <v/>
      </c>
      <c r="T80" s="278" t="n">
        <v>0.6</v>
      </c>
      <c r="U80" s="276" t="n"/>
      <c r="V80" s="30" t="n"/>
    </row>
    <row r="81" ht="17.25" customHeight="1" s="340">
      <c r="A81" s="232">
        <f>'Mapping Prob-Root'!A65</f>
        <v/>
      </c>
      <c r="B81" s="233">
        <f>'Mapping Prob-Root'!O65</f>
        <v/>
      </c>
      <c r="C81" s="236" t="inlineStr">
        <is>
          <t>high</t>
        </is>
      </c>
      <c r="D81" s="303" t="inlineStr">
        <is>
          <t>Timeliness (Critical)</t>
        </is>
      </c>
      <c r="E81" s="428" t="n"/>
      <c r="F81" s="429" t="n"/>
      <c r="G81" s="234">
        <f>'SC3 Data'!G15</f>
        <v/>
      </c>
      <c r="H81" s="234">
        <f>'SC3 Data'!L15</f>
        <v/>
      </c>
      <c r="I81" s="234">
        <f>'SC3 Data'!Q15</f>
        <v/>
      </c>
      <c r="J81" s="234">
        <f>'SC3 Data'!V15</f>
        <v/>
      </c>
      <c r="K81" s="234">
        <f>'SC3 Data'!AA15</f>
        <v/>
      </c>
      <c r="L81" s="234">
        <f>'SC3 Data'!AF15</f>
        <v/>
      </c>
      <c r="M81" s="248">
        <f>'SC3 Data'!AK15</f>
        <v/>
      </c>
      <c r="N81" s="277">
        <f>(AVERAGE(IF((M81-L81)&lt;0,-(M81-L81),(M81-L81)),IF((L81-K81)&lt;0,-(L81-K81),(L81-K81)),IF((K81-J81)&lt;0,-(K81-J81),(K81-J81)))*$T81)+M81</f>
        <v/>
      </c>
      <c r="O81" s="277">
        <f>(AVERAGE(IF((N81-M81)&lt;0,-(N81-M81),(N81-M81)),IF((M81-L81)&lt;0,-(M81-L81),(M81-L81)),IF((L81-K81)&lt;0,-(L81-K81),(L81-K81)))*$T81)+N81</f>
        <v/>
      </c>
      <c r="P81" s="277">
        <f>(AVERAGE(IF((O81-N81)&lt;0,-(O81-N81),(O81-N81)),IF((N81-M81)&lt;0,-(N81-M81),(N81-M81)),IF((M81-L81)&lt;0,-(M81-L81),(M81-L81)))*$T81)+O81</f>
        <v/>
      </c>
      <c r="Q81" s="277">
        <f>(AVERAGE(IF((P81-O81)&lt;0,-(P81-O81),(P81-O81)),IF((O81-N81)&lt;0,-(O81-N81),(O81-N81)),IF((N81-M81)&lt;0,-(N81-M81),(N81-M81)))*$T81)+P81</f>
        <v/>
      </c>
      <c r="R81" s="277">
        <f>(AVERAGE(IF((Q81-P81)&lt;0,-(Q81-P81),(Q81-P81)),IF((P81-O81)&lt;0,-(P81-O81),(P81-O81)),IF((O81-N81)&lt;0,-(O81-N81),(O81-N81)))*$T81)+Q81</f>
        <v/>
      </c>
      <c r="S81" s="235">
        <f>AVERAGE(G81:R81)</f>
        <v/>
      </c>
      <c r="T81" s="278" t="n">
        <v>0.2</v>
      </c>
      <c r="U81" s="30" t="n"/>
      <c r="V81" s="30" t="n"/>
    </row>
    <row r="82" ht="17.25" customHeight="1" s="340">
      <c r="A82" s="232">
        <f>'Mapping Prob-Root'!A66</f>
        <v/>
      </c>
      <c r="B82" s="233">
        <f>'Mapping Prob-Root'!O66</f>
        <v/>
      </c>
      <c r="C82" s="236" t="inlineStr">
        <is>
          <t>medium</t>
        </is>
      </c>
      <c r="D82" s="303" t="inlineStr">
        <is>
          <t>Completeness (All)</t>
        </is>
      </c>
      <c r="E82" s="428" t="n"/>
      <c r="F82" s="429" t="n"/>
      <c r="G82" s="234">
        <f>'SC3 Data'!F16</f>
        <v/>
      </c>
      <c r="H82" s="234">
        <f>'SC3 Data'!K16</f>
        <v/>
      </c>
      <c r="I82" s="234">
        <f>'SC3 Data'!P16</f>
        <v/>
      </c>
      <c r="J82" s="234">
        <f>'SC3 Data'!U16</f>
        <v/>
      </c>
      <c r="K82" s="234">
        <f>'SC3 Data'!Z16</f>
        <v/>
      </c>
      <c r="L82" s="234">
        <f>'SC3 Data'!AE16</f>
        <v/>
      </c>
      <c r="M82" s="248">
        <f>'SC3 Data'!AJ16</f>
        <v/>
      </c>
      <c r="N82" s="277">
        <f>(AVERAGE(IF((M82-L82)&lt;0,-(M82-L82),(M82-L82)),IF((L82-K82)&lt;0,-(L82-K82),(L82-K82)),IF((K82-J82)&lt;0,-(K82-J82),(K82-J82)))*$T82)+M82</f>
        <v/>
      </c>
      <c r="O82" s="277">
        <f>(AVERAGE(IF((N82-M82)&lt;0,-(N82-M82),(N82-M82)),IF((M82-L82)&lt;0,-(M82-L82),(M82-L82)),IF((L82-K82)&lt;0,-(L82-K82),(L82-K82)))*$T82)+N82</f>
        <v/>
      </c>
      <c r="P82" s="277">
        <f>(AVERAGE(IF((O82-N82)&lt;0,-(O82-N82),(O82-N82)),IF((N82-M82)&lt;0,-(N82-M82),(N82-M82)),IF((M82-L82)&lt;0,-(M82-L82),(M82-L82)))*$T82)+O82</f>
        <v/>
      </c>
      <c r="Q82" s="277">
        <f>(AVERAGE(IF((P82-O82)&lt;0,-(P82-O82),(P82-O82)),IF((O82-N82)&lt;0,-(O82-N82),(O82-N82)),IF((N82-M82)&lt;0,-(N82-M82),(N82-M82)))*$T82)+P82</f>
        <v/>
      </c>
      <c r="R82" s="277">
        <f>(AVERAGE(IF((Q82-P82)&lt;0,-(Q82-P82),(Q82-P82)),IF((P82-O82)&lt;0,-(P82-O82),(P82-O82)),IF((O82-N82)&lt;0,-(O82-N82),(O82-N82)))*$T82)+Q82</f>
        <v/>
      </c>
      <c r="S82" s="235">
        <f>AVERAGE(G82:R82)</f>
        <v/>
      </c>
      <c r="T82" s="278" t="n">
        <v>1.6</v>
      </c>
      <c r="U82" s="30" t="n"/>
      <c r="V82" s="30" t="n"/>
    </row>
    <row r="83" ht="17.25" customHeight="1" s="340">
      <c r="A83" s="232">
        <f>'Mapping Prob-Root'!A67</f>
        <v/>
      </c>
      <c r="B83" s="233">
        <f>'Mapping Prob-Root'!O67</f>
        <v/>
      </c>
      <c r="C83" s="236" t="inlineStr">
        <is>
          <t>medium</t>
        </is>
      </c>
      <c r="D83" s="303" t="inlineStr">
        <is>
          <t>Timeliness (All)</t>
        </is>
      </c>
      <c r="E83" s="428" t="n"/>
      <c r="F83" s="429" t="n"/>
      <c r="G83" s="234">
        <f>'SC3 Data'!G16</f>
        <v/>
      </c>
      <c r="H83" s="234">
        <f>'SC3 Data'!L16</f>
        <v/>
      </c>
      <c r="I83" s="234">
        <f>'SC3 Data'!Q16</f>
        <v/>
      </c>
      <c r="J83" s="234">
        <f>'SC3 Data'!V16</f>
        <v/>
      </c>
      <c r="K83" s="234">
        <f>'SC3 Data'!AA16</f>
        <v/>
      </c>
      <c r="L83" s="234">
        <f>'SC3 Data'!AF16</f>
        <v/>
      </c>
      <c r="M83" s="248">
        <f>'SC3 Data'!AK16</f>
        <v/>
      </c>
      <c r="N83" s="277">
        <f>(AVERAGE(IF((M83-L83)&lt;0,-(M83-L83),(M83-L83)),IF((L83-K83)&lt;0,-(L83-K83),(L83-K83)),IF((K83-J83)&lt;0,-(K83-J83),(K83-J83)))*$T83)+M83</f>
        <v/>
      </c>
      <c r="O83" s="277">
        <f>(AVERAGE(IF((N83-M83)&lt;0,-(N83-M83),(N83-M83)),IF((M83-L83)&lt;0,-(M83-L83),(M83-L83)),IF((L83-K83)&lt;0,-(L83-K83),(L83-K83)))*$T83)+N83</f>
        <v/>
      </c>
      <c r="P83" s="277">
        <f>(AVERAGE(IF((O83-N83)&lt;0,-(O83-N83),(O83-N83)),IF((N83-M83)&lt;0,-(N83-M83),(N83-M83)),IF((M83-L83)&lt;0,-(M83-L83),(M83-L83)))*$T83)+O83</f>
        <v/>
      </c>
      <c r="Q83" s="277">
        <f>(AVERAGE(IF((P83-O83)&lt;0,-(P83-O83),(P83-O83)),IF((O83-N83)&lt;0,-(O83-N83),(O83-N83)),IF((N83-M83)&lt;0,-(N83-M83),(N83-M83)))*$T83)+P83</f>
        <v/>
      </c>
      <c r="R83" s="277">
        <f>(AVERAGE(IF((Q83-P83)&lt;0,-(Q83-P83),(Q83-P83)),IF((P83-O83)&lt;0,-(P83-O83),(P83-O83)),IF((O83-N83)&lt;0,-(O83-N83),(O83-N83)))*$T83)+Q83</f>
        <v/>
      </c>
      <c r="S83" s="235">
        <f>AVERAGE(G83:R83)</f>
        <v/>
      </c>
      <c r="T83" s="278" t="n">
        <v>1.9</v>
      </c>
      <c r="U83" s="30" t="n"/>
      <c r="V83" s="30" t="n"/>
    </row>
    <row r="84" ht="17.25" customHeight="1" s="340">
      <c r="A84" s="232">
        <f>'Mapping Prob-Root'!A68</f>
        <v/>
      </c>
      <c r="B84" s="233">
        <f>'Mapping Prob-Root'!O68</f>
        <v/>
      </c>
      <c r="C84" s="236" t="inlineStr">
        <is>
          <t>medium</t>
        </is>
      </c>
      <c r="D84" s="303" t="inlineStr">
        <is>
          <t>Completeness (All)</t>
        </is>
      </c>
      <c r="E84" s="428" t="n"/>
      <c r="F84" s="429" t="n"/>
      <c r="G84" s="234">
        <f>'SC3 Data'!F17</f>
        <v/>
      </c>
      <c r="H84" s="234">
        <f>'SC3 Data'!K17</f>
        <v/>
      </c>
      <c r="I84" s="234">
        <f>'SC3 Data'!P17</f>
        <v/>
      </c>
      <c r="J84" s="234">
        <f>'SC3 Data'!U17</f>
        <v/>
      </c>
      <c r="K84" s="234">
        <f>'SC3 Data'!Z17</f>
        <v/>
      </c>
      <c r="L84" s="234">
        <f>'SC3 Data'!AE17</f>
        <v/>
      </c>
      <c r="M84" s="248">
        <f>'SC3 Data'!AJ17</f>
        <v/>
      </c>
      <c r="N84" s="277">
        <f>(AVERAGE(IF((M84-L84)&lt;0,-(M84-L84),(M84-L84)),IF((L84-K84)&lt;0,-(L84-K84),(L84-K84)),IF((K84-J84)&lt;0,-(K84-J84),(K84-J84)))*$T84)+M84</f>
        <v/>
      </c>
      <c r="O84" s="277">
        <f>(AVERAGE(IF((N84-M84)&lt;0,-(N84-M84),(N84-M84)),IF((M84-L84)&lt;0,-(M84-L84),(M84-L84)),IF((L84-K84)&lt;0,-(L84-K84),(L84-K84)))*$T84)+N84</f>
        <v/>
      </c>
      <c r="P84" s="277">
        <f>(AVERAGE(IF((O84-N84)&lt;0,-(O84-N84),(O84-N84)),IF((N84-M84)&lt;0,-(N84-M84),(N84-M84)),IF((M84-L84)&lt;0,-(M84-L84),(M84-L84)))*$T84)+O84</f>
        <v/>
      </c>
      <c r="Q84" s="277">
        <f>(AVERAGE(IF((P84-O84)&lt;0,-(P84-O84),(P84-O84)),IF((O84-N84)&lt;0,-(O84-N84),(O84-N84)),IF((N84-M84)&lt;0,-(N84-M84),(N84-M84)))*$T84)+P84</f>
        <v/>
      </c>
      <c r="R84" s="277">
        <f>(AVERAGE(IF((Q84-P84)&lt;0,-(Q84-P84),(Q84-P84)),IF((P84-O84)&lt;0,-(P84-O84),(P84-O84)),IF((O84-N84)&lt;0,-(O84-N84),(O84-N84)))*$T84)+Q84</f>
        <v/>
      </c>
      <c r="S84" s="235">
        <f>AVERAGE(G84:R84)</f>
        <v/>
      </c>
      <c r="T84" s="281" t="n">
        <v>1.3</v>
      </c>
      <c r="U84" s="30" t="n"/>
      <c r="V84" s="30" t="n"/>
    </row>
    <row r="85" ht="17.25" customHeight="1" s="340">
      <c r="A85" s="232">
        <f>'Mapping Prob-Root'!A69</f>
        <v/>
      </c>
      <c r="B85" s="233">
        <f>'Mapping Prob-Root'!O69</f>
        <v/>
      </c>
      <c r="C85" s="236" t="inlineStr">
        <is>
          <t>medium</t>
        </is>
      </c>
      <c r="D85" s="303" t="inlineStr">
        <is>
          <t>Timeliness (All)</t>
        </is>
      </c>
      <c r="E85" s="428" t="n"/>
      <c r="F85" s="429" t="n"/>
      <c r="G85" s="234">
        <f>'SC3 Data'!G17</f>
        <v/>
      </c>
      <c r="H85" s="234">
        <f>'SC3 Data'!L17</f>
        <v/>
      </c>
      <c r="I85" s="234">
        <f>'SC3 Data'!Q17</f>
        <v/>
      </c>
      <c r="J85" s="234">
        <f>'SC3 Data'!V17</f>
        <v/>
      </c>
      <c r="K85" s="234">
        <f>'SC3 Data'!AA17</f>
        <v/>
      </c>
      <c r="L85" s="234">
        <f>'SC3 Data'!AF17</f>
        <v/>
      </c>
      <c r="M85" s="248">
        <f>'SC3 Data'!AK17</f>
        <v/>
      </c>
      <c r="N85" s="277">
        <f>(AVERAGE(IF((M85-L85)&lt;0,-(M85-L85),(M85-L85)),IF((L85-K85)&lt;0,-(L85-K85),(L85-K85)),IF((K85-J85)&lt;0,-(K85-J85),(K85-J85)))*$T85)+M85</f>
        <v/>
      </c>
      <c r="O85" s="277">
        <f>(AVERAGE(IF((N85-M85)&lt;0,-(N85-M85),(N85-M85)),IF((M85-L85)&lt;0,-(M85-L85),(M85-L85)),IF((L85-K85)&lt;0,-(L85-K85),(L85-K85)))*$T85)+N85</f>
        <v/>
      </c>
      <c r="P85" s="277">
        <f>(AVERAGE(IF((O85-N85)&lt;0,-(O85-N85),(O85-N85)),IF((N85-M85)&lt;0,-(N85-M85),(N85-M85)),IF((M85-L85)&lt;0,-(M85-L85),(M85-L85)))*$T85)+O85</f>
        <v/>
      </c>
      <c r="Q85" s="277">
        <f>(AVERAGE(IF((P85-O85)&lt;0,-(P85-O85),(P85-O85)),IF((O85-N85)&lt;0,-(O85-N85),(O85-N85)),IF((N85-M85)&lt;0,-(N85-M85),(N85-M85)))*$T85)+P85</f>
        <v/>
      </c>
      <c r="R85" s="277">
        <f>(AVERAGE(IF((Q85-P85)&lt;0,-(Q85-P85),(Q85-P85)),IF((P85-O85)&lt;0,-(P85-O85),(P85-O85)),IF((O85-N85)&lt;0,-(O85-N85),(O85-N85)))*$T85)+Q85</f>
        <v/>
      </c>
      <c r="S85" s="235">
        <f>AVERAGE(G85:R85)</f>
        <v/>
      </c>
      <c r="T85" s="278" t="n">
        <v>1.1</v>
      </c>
      <c r="U85" s="30" t="n"/>
      <c r="V85" s="30" t="n"/>
    </row>
    <row r="86" ht="17.25" customHeight="1" s="340">
      <c r="A86" s="232">
        <f>'Mapping Prob-Root'!A70</f>
        <v/>
      </c>
      <c r="B86" s="233">
        <f>'Mapping Prob-Root'!O70</f>
        <v/>
      </c>
      <c r="C86" s="236" t="inlineStr">
        <is>
          <t>medium</t>
        </is>
      </c>
      <c r="D86" s="303" t="inlineStr">
        <is>
          <t>Completeness (All)</t>
        </is>
      </c>
      <c r="E86" s="428" t="n"/>
      <c r="F86" s="429" t="n"/>
      <c r="G86" s="234">
        <f>'SC3 Data'!F18</f>
        <v/>
      </c>
      <c r="H86" s="234">
        <f>'SC3 Data'!K18</f>
        <v/>
      </c>
      <c r="I86" s="234">
        <f>'SC3 Data'!P18</f>
        <v/>
      </c>
      <c r="J86" s="234">
        <f>'SC3 Data'!U18</f>
        <v/>
      </c>
      <c r="K86" s="234">
        <f>'SC3 Data'!Z18</f>
        <v/>
      </c>
      <c r="L86" s="234">
        <f>'SC3 Data'!AE18</f>
        <v/>
      </c>
      <c r="M86" s="248">
        <f>'SC3 Data'!AJ18</f>
        <v/>
      </c>
      <c r="N86" s="277">
        <f>(AVERAGE(IF((M86-L86)&lt;0,-(M86-L86),(M86-L86)),IF((L86-K86)&lt;0,-(L86-K86),(L86-K86)),IF((K86-J86)&lt;0,-(K86-J86),(K86-J86)))*$T86)+M86</f>
        <v/>
      </c>
      <c r="O86" s="277">
        <f>(AVERAGE(IF((N86-M86)&lt;0,-(N86-M86),(N86-M86)),IF((M86-L86)&lt;0,-(M86-L86),(M86-L86)),IF((L86-K86)&lt;0,-(L86-K86),(L86-K86)))*$T86)+N86</f>
        <v/>
      </c>
      <c r="P86" s="277">
        <f>(AVERAGE(IF((O86-N86)&lt;0,-(O86-N86),(O86-N86)),IF((N86-M86)&lt;0,-(N86-M86),(N86-M86)),IF((M86-L86)&lt;0,-(M86-L86),(M86-L86)))*$T86)+O86</f>
        <v/>
      </c>
      <c r="Q86" s="277">
        <f>(AVERAGE(IF((P86-O86)&lt;0,-(P86-O86),(P86-O86)),IF((O86-N86)&lt;0,-(O86-N86),(O86-N86)),IF((N86-M86)&lt;0,-(N86-M86),(N86-M86)))*$T86)+P86</f>
        <v/>
      </c>
      <c r="R86" s="277">
        <f>(AVERAGE(IF((Q86-P86)&lt;0,-(Q86-P86),(Q86-P86)),IF((P86-O86)&lt;0,-(P86-O86),(P86-O86)),IF((O86-N86)&lt;0,-(O86-N86),(O86-N86)))*$T86)+Q86</f>
        <v/>
      </c>
      <c r="S86" s="235">
        <f>AVERAGE(G86:R86)</f>
        <v/>
      </c>
      <c r="T86" s="278" t="n">
        <v>0.2</v>
      </c>
      <c r="U86" s="30" t="n"/>
      <c r="V86" s="30" t="n"/>
    </row>
    <row r="87" ht="17.25" customHeight="1" s="340">
      <c r="A87" s="232">
        <f>'Mapping Prob-Root'!A71</f>
        <v/>
      </c>
      <c r="B87" s="233">
        <f>'Mapping Prob-Root'!O71</f>
        <v/>
      </c>
      <c r="C87" s="236" t="inlineStr">
        <is>
          <t>medium</t>
        </is>
      </c>
      <c r="D87" s="303" t="inlineStr">
        <is>
          <t>Timeliness (All)</t>
        </is>
      </c>
      <c r="E87" s="428" t="n"/>
      <c r="F87" s="429" t="n"/>
      <c r="G87" s="234">
        <f>'SC3 Data'!G18</f>
        <v/>
      </c>
      <c r="H87" s="234">
        <f>'SC3 Data'!L18</f>
        <v/>
      </c>
      <c r="I87" s="234">
        <f>'SC3 Data'!Q18</f>
        <v/>
      </c>
      <c r="J87" s="234">
        <f>'SC3 Data'!V18</f>
        <v/>
      </c>
      <c r="K87" s="234">
        <f>'SC3 Data'!AA18</f>
        <v/>
      </c>
      <c r="L87" s="234">
        <f>'SC3 Data'!AF18</f>
        <v/>
      </c>
      <c r="M87" s="248">
        <f>'SC3 Data'!AK18</f>
        <v/>
      </c>
      <c r="N87" s="277">
        <f>(AVERAGE(IF((M87-L87)&lt;0,-(M87-L87),(M87-L87)),IF((L87-K87)&lt;0,-(L87-K87),(L87-K87)),IF((K87-J87)&lt;0,-(K87-J87),(K87-J87)))*$T87)+M87</f>
        <v/>
      </c>
      <c r="O87" s="277">
        <f>(AVERAGE(IF((N87-M87)&lt;0,-(N87-M87),(N87-M87)),IF((M87-L87)&lt;0,-(M87-L87),(M87-L87)),IF((L87-K87)&lt;0,-(L87-K87),(L87-K87)))*$T87)+N87</f>
        <v/>
      </c>
      <c r="P87" s="277">
        <f>(AVERAGE(IF((O87-N87)&lt;0,-(O87-N87),(O87-N87)),IF((N87-M87)&lt;0,-(N87-M87),(N87-M87)),IF((M87-L87)&lt;0,-(M87-L87),(M87-L87)))*$T87)+O87</f>
        <v/>
      </c>
      <c r="Q87" s="277">
        <f>(AVERAGE(IF((P87-O87)&lt;0,-(P87-O87),(P87-O87)),IF((O87-N87)&lt;0,-(O87-N87),(O87-N87)),IF((N87-M87)&lt;0,-(N87-M87),(N87-M87)))*$T87)+P87</f>
        <v/>
      </c>
      <c r="R87" s="277">
        <f>(AVERAGE(IF((Q87-P87)&lt;0,-(Q87-P87),(Q87-P87)),IF((P87-O87)&lt;0,-(P87-O87),(P87-O87)),IF((O87-N87)&lt;0,-(O87-N87),(O87-N87)))*$T87)+Q87</f>
        <v/>
      </c>
      <c r="S87" s="235">
        <f>AVERAGE(G87:R87)</f>
        <v/>
      </c>
      <c r="T87" s="278" t="n">
        <v>0.1</v>
      </c>
      <c r="U87" s="30" t="n"/>
      <c r="V87" s="30" t="n"/>
    </row>
    <row r="88" ht="17.25" customHeight="1" s="340">
      <c r="A88" s="232">
        <f>'Mapping Prob-Root'!A72</f>
        <v/>
      </c>
      <c r="B88" s="233">
        <f>'Mapping Prob-Root'!O72</f>
        <v/>
      </c>
      <c r="C88" s="236" t="inlineStr">
        <is>
          <t>high</t>
        </is>
      </c>
      <c r="D88" s="303" t="inlineStr">
        <is>
          <t>Completeness (Critical)</t>
        </is>
      </c>
      <c r="E88" s="428" t="n"/>
      <c r="F88" s="429" t="n"/>
      <c r="G88" s="234">
        <f>'SC3 Data'!F19</f>
        <v/>
      </c>
      <c r="H88" s="234">
        <f>'SC3 Data'!K19</f>
        <v/>
      </c>
      <c r="I88" s="234">
        <f>'SC3 Data'!P19</f>
        <v/>
      </c>
      <c r="J88" s="234">
        <f>'SC3 Data'!U19</f>
        <v/>
      </c>
      <c r="K88" s="234">
        <f>'SC3 Data'!Z19</f>
        <v/>
      </c>
      <c r="L88" s="234">
        <f>'SC3 Data'!AE19</f>
        <v/>
      </c>
      <c r="M88" s="248">
        <f>'SC3 Data'!AJ19</f>
        <v/>
      </c>
      <c r="N88" s="277">
        <f>(AVERAGE(IF((M88-L88)&lt;0,-(M88-L88),(M88-L88)),IF((L88-K88)&lt;0,-(L88-K88),(L88-K88)),IF((K88-J88)&lt;0,-(K88-J88),(K88-J88)))*$T88)+M88</f>
        <v/>
      </c>
      <c r="O88" s="277">
        <f>(AVERAGE(IF((N88-M88)&lt;0,-(N88-M88),(N88-M88)),IF((M88-L88)&lt;0,-(M88-L88),(M88-L88)),IF((L88-K88)&lt;0,-(L88-K88),(L88-K88)))*$T88)+N88</f>
        <v/>
      </c>
      <c r="P88" s="277">
        <f>(AVERAGE(IF((O88-N88)&lt;0,-(O88-N88),(O88-N88)),IF((N88-M88)&lt;0,-(N88-M88),(N88-M88)),IF((M88-L88)&lt;0,-(M88-L88),(M88-L88)))*$T88)+O88</f>
        <v/>
      </c>
      <c r="Q88" s="277">
        <f>(AVERAGE(IF((P88-O88)&lt;0,-(P88-O88),(P88-O88)),IF((O88-N88)&lt;0,-(O88-N88),(O88-N88)),IF((N88-M88)&lt;0,-(N88-M88),(N88-M88)))*$T88)+P88</f>
        <v/>
      </c>
      <c r="R88" s="277">
        <f>(AVERAGE(IF((Q88-P88)&lt;0,-(Q88-P88),(Q88-P88)),IF((P88-O88)&lt;0,-(P88-O88),(P88-O88)),IF((O88-N88)&lt;0,-(O88-N88),(O88-N88)))*$T88)+Q88</f>
        <v/>
      </c>
      <c r="S88" s="235">
        <f>AVERAGE(G88:R88)</f>
        <v/>
      </c>
      <c r="T88" s="278" t="n">
        <v>1.8</v>
      </c>
      <c r="U88" s="276" t="n"/>
      <c r="V88" s="30" t="n"/>
    </row>
    <row r="89" ht="17.25" customHeight="1" s="340">
      <c r="A89" s="232">
        <f>'Mapping Prob-Root'!A73</f>
        <v/>
      </c>
      <c r="B89" s="233">
        <f>'Mapping Prob-Root'!O73</f>
        <v/>
      </c>
      <c r="C89" s="236" t="inlineStr">
        <is>
          <t>high</t>
        </is>
      </c>
      <c r="D89" s="303" t="inlineStr">
        <is>
          <t>Timeliness (Critical)</t>
        </is>
      </c>
      <c r="E89" s="428" t="n"/>
      <c r="F89" s="429" t="n"/>
      <c r="G89" s="234">
        <f>'SC3 Data'!G19</f>
        <v/>
      </c>
      <c r="H89" s="234">
        <f>'SC3 Data'!L19</f>
        <v/>
      </c>
      <c r="I89" s="234">
        <f>'SC3 Data'!Q19</f>
        <v/>
      </c>
      <c r="J89" s="234">
        <f>'SC3 Data'!V19</f>
        <v/>
      </c>
      <c r="K89" s="234">
        <f>'SC3 Data'!AA19</f>
        <v/>
      </c>
      <c r="L89" s="234">
        <f>'SC3 Data'!AF19</f>
        <v/>
      </c>
      <c r="M89" s="248">
        <f>'SC3 Data'!AK19</f>
        <v/>
      </c>
      <c r="N89" s="277">
        <f>(AVERAGE(IF((M89-L89)&lt;0,-(M89-L89),(M89-L89)),IF((L89-K89)&lt;0,-(L89-K89),(L89-K89)),IF((K89-J89)&lt;0,-(K89-J89),(K89-J89)))*$T89)+M89</f>
        <v/>
      </c>
      <c r="O89" s="277">
        <f>(AVERAGE(IF((N89-M89)&lt;0,-(N89-M89),(N89-M89)),IF((M89-L89)&lt;0,-(M89-L89),(M89-L89)),IF((L89-K89)&lt;0,-(L89-K89),(L89-K89)))*$T89)+N89</f>
        <v/>
      </c>
      <c r="P89" s="277">
        <f>(AVERAGE(IF((O89-N89)&lt;0,-(O89-N89),(O89-N89)),IF((N89-M89)&lt;0,-(N89-M89),(N89-M89)),IF((M89-L89)&lt;0,-(M89-L89),(M89-L89)))*$T89)+O89</f>
        <v/>
      </c>
      <c r="Q89" s="277">
        <f>(AVERAGE(IF((P89-O89)&lt;0,-(P89-O89),(P89-O89)),IF((O89-N89)&lt;0,-(O89-N89),(O89-N89)),IF((N89-M89)&lt;0,-(N89-M89),(N89-M89)))*$T89)+P89</f>
        <v/>
      </c>
      <c r="R89" s="277">
        <f>(AVERAGE(IF((Q89-P89)&lt;0,-(Q89-P89),(Q89-P89)),IF((P89-O89)&lt;0,-(P89-O89),(P89-O89)),IF((O89-N89)&lt;0,-(O89-N89),(O89-N89)))*$T89)+Q89</f>
        <v/>
      </c>
      <c r="S89" s="235">
        <f>AVERAGE(G89:R89)</f>
        <v/>
      </c>
      <c r="T89" s="278" t="n">
        <v>1.5</v>
      </c>
      <c r="U89" s="30" t="n"/>
      <c r="V89" s="30" t="n"/>
    </row>
    <row r="90" ht="17.25" customHeight="1" s="340">
      <c r="A90" s="232">
        <f>'Mapping Prob-Root'!A74</f>
        <v/>
      </c>
      <c r="B90" s="233">
        <f>'Mapping Prob-Root'!O74</f>
        <v/>
      </c>
      <c r="C90" s="236" t="inlineStr">
        <is>
          <t>high</t>
        </is>
      </c>
      <c r="D90" s="303" t="inlineStr">
        <is>
          <t>Completeness (Critical)</t>
        </is>
      </c>
      <c r="E90" s="428" t="n"/>
      <c r="F90" s="429" t="n"/>
      <c r="G90" s="234">
        <f>'SC3 Data'!F20</f>
        <v/>
      </c>
      <c r="H90" s="234">
        <f>'SC3 Data'!K20</f>
        <v/>
      </c>
      <c r="I90" s="234">
        <f>'SC3 Data'!P20</f>
        <v/>
      </c>
      <c r="J90" s="234">
        <f>'SC3 Data'!U20</f>
        <v/>
      </c>
      <c r="K90" s="234">
        <f>'SC3 Data'!Z20</f>
        <v/>
      </c>
      <c r="L90" s="234">
        <f>'SC3 Data'!AE20</f>
        <v/>
      </c>
      <c r="M90" s="248">
        <f>'SC3 Data'!AJ20</f>
        <v/>
      </c>
      <c r="N90" s="277">
        <f>(AVERAGE(IF((M90-L90)&lt;0,-(M90-L90),(M90-L90)),IF((L90-K90)&lt;0,-(L90-K90),(L90-K90)),IF((K90-J90)&lt;0,-(K90-J90),(K90-J90)))*$T90)+M90</f>
        <v/>
      </c>
      <c r="O90" s="277">
        <f>(AVERAGE(IF((N90-M90)&lt;0,-(N90-M90),(N90-M90)),IF((M90-L90)&lt;0,-(M90-L90),(M90-L90)),IF((L90-K90)&lt;0,-(L90-K90),(L90-K90)))*$T90)+N90</f>
        <v/>
      </c>
      <c r="P90" s="277">
        <f>(AVERAGE(IF((O90-N90)&lt;0,-(O90-N90),(O90-N90)),IF((N90-M90)&lt;0,-(N90-M90),(N90-M90)),IF((M90-L90)&lt;0,-(M90-L90),(M90-L90)))*$T90)+O90</f>
        <v/>
      </c>
      <c r="Q90" s="277">
        <f>(AVERAGE(IF((P90-O90)&lt;0,-(P90-O90),(P90-O90)),IF((O90-N90)&lt;0,-(O90-N90),(O90-N90)),IF((N90-M90)&lt;0,-(N90-M90),(N90-M90)))*$T90)+P90</f>
        <v/>
      </c>
      <c r="R90" s="277">
        <f>(AVERAGE(IF((Q90-P90)&lt;0,-(Q90-P90),(Q90-P90)),IF((P90-O90)&lt;0,-(P90-O90),(P90-O90)),IF((O90-N90)&lt;0,-(O90-N90),(O90-N90)))*$T90)+Q90</f>
        <v/>
      </c>
      <c r="S90" s="235">
        <f>AVERAGE(G90:R90)</f>
        <v/>
      </c>
      <c r="T90" s="278" t="n">
        <v>0.9</v>
      </c>
      <c r="U90" s="276" t="n"/>
      <c r="V90" s="30" t="n"/>
    </row>
    <row r="91" ht="17.25" customHeight="1" s="340">
      <c r="A91" s="232">
        <f>'Mapping Prob-Root'!A75</f>
        <v/>
      </c>
      <c r="B91" s="233">
        <f>'Mapping Prob-Root'!O75</f>
        <v/>
      </c>
      <c r="C91" s="236" t="inlineStr">
        <is>
          <t>high</t>
        </is>
      </c>
      <c r="D91" s="303" t="inlineStr">
        <is>
          <t>Timeliness (Critical)</t>
        </is>
      </c>
      <c r="E91" s="428" t="n"/>
      <c r="F91" s="429" t="n"/>
      <c r="G91" s="234">
        <f>'SC3 Data'!G20</f>
        <v/>
      </c>
      <c r="H91" s="234">
        <f>'SC3 Data'!L20</f>
        <v/>
      </c>
      <c r="I91" s="234">
        <f>'SC3 Data'!Q20</f>
        <v/>
      </c>
      <c r="J91" s="234">
        <f>'SC3 Data'!V20</f>
        <v/>
      </c>
      <c r="K91" s="234">
        <f>'SC3 Data'!AA20</f>
        <v/>
      </c>
      <c r="L91" s="234">
        <f>'SC3 Data'!AF20</f>
        <v/>
      </c>
      <c r="M91" s="248">
        <f>'SC3 Data'!AK20</f>
        <v/>
      </c>
      <c r="N91" s="277">
        <f>(AVERAGE(IF((M91-L91)&lt;0,-(M91-L91),(M91-L91)),IF((L91-K91)&lt;0,-(L91-K91),(L91-K91)),IF((K91-J91)&lt;0,-(K91-J91),(K91-J91)))*$T91)+M91</f>
        <v/>
      </c>
      <c r="O91" s="277">
        <f>(AVERAGE(IF((N91-M91)&lt;0,-(N91-M91),(N91-M91)),IF((M91-L91)&lt;0,-(M91-L91),(M91-L91)),IF((L91-K91)&lt;0,-(L91-K91),(L91-K91)))*$T91)+N91</f>
        <v/>
      </c>
      <c r="P91" s="277">
        <f>(AVERAGE(IF((O91-N91)&lt;0,-(O91-N91),(O91-N91)),IF((N91-M91)&lt;0,-(N91-M91),(N91-M91)),IF((M91-L91)&lt;0,-(M91-L91),(M91-L91)))*$T91)+O91</f>
        <v/>
      </c>
      <c r="Q91" s="277">
        <f>(AVERAGE(IF((P91-O91)&lt;0,-(P91-O91),(P91-O91)),IF((O91-N91)&lt;0,-(O91-N91),(O91-N91)),IF((N91-M91)&lt;0,-(N91-M91),(N91-M91)))*$T91)+P91</f>
        <v/>
      </c>
      <c r="R91" s="277">
        <f>(AVERAGE(IF((Q91-P91)&lt;0,-(Q91-P91),(Q91-P91)),IF((P91-O91)&lt;0,-(P91-O91),(P91-O91)),IF((O91-N91)&lt;0,-(O91-N91),(O91-N91)))*$T91)+Q91</f>
        <v/>
      </c>
      <c r="S91" s="235">
        <f>AVERAGE(G91:R91)</f>
        <v/>
      </c>
      <c r="T91" s="278" t="n">
        <v>0.8</v>
      </c>
      <c r="U91" s="30" t="n"/>
      <c r="V91" s="30" t="n"/>
    </row>
    <row r="92" ht="17.25" customHeight="1" s="340">
      <c r="A92" s="232">
        <f>'Mapping Prob-Root'!A76</f>
        <v/>
      </c>
      <c r="B92" s="233">
        <f>'Mapping Prob-Root'!O76</f>
        <v/>
      </c>
      <c r="C92" s="236" t="inlineStr">
        <is>
          <t>medium</t>
        </is>
      </c>
      <c r="D92" s="303" t="inlineStr">
        <is>
          <t>Completeness (All)</t>
        </is>
      </c>
      <c r="E92" s="428" t="n"/>
      <c r="F92" s="429" t="n"/>
      <c r="G92" s="234">
        <f>'SC3 Data'!F21</f>
        <v/>
      </c>
      <c r="H92" s="234">
        <f>'SC3 Data'!K21</f>
        <v/>
      </c>
      <c r="I92" s="234">
        <f>'SC3 Data'!P21</f>
        <v/>
      </c>
      <c r="J92" s="234">
        <f>'SC3 Data'!U21</f>
        <v/>
      </c>
      <c r="K92" s="234">
        <f>'SC3 Data'!Z21</f>
        <v/>
      </c>
      <c r="L92" s="234">
        <f>'SC3 Data'!AE21</f>
        <v/>
      </c>
      <c r="M92" s="248">
        <f>'SC3 Data'!AJ21</f>
        <v/>
      </c>
      <c r="N92" s="277">
        <f>(AVERAGE(IF((M92-L92)&lt;0,-(M92-L92),(M92-L92)),IF((L92-K92)&lt;0,-(L92-K92),(L92-K92)),IF((K92-J92)&lt;0,-(K92-J92),(K92-J92)))*$T92)+M92</f>
        <v/>
      </c>
      <c r="O92" s="277">
        <f>(AVERAGE(IF((N92-M92)&lt;0,-(N92-M92),(N92-M92)),IF((M92-L92)&lt;0,-(M92-L92),(M92-L92)),IF((L92-K92)&lt;0,-(L92-K92),(L92-K92)))*$T92)+N92</f>
        <v/>
      </c>
      <c r="P92" s="277">
        <f>(AVERAGE(IF((O92-N92)&lt;0,-(O92-N92),(O92-N92)),IF((N92-M92)&lt;0,-(N92-M92),(N92-M92)),IF((M92-L92)&lt;0,-(M92-L92),(M92-L92)))*$T92)+O92</f>
        <v/>
      </c>
      <c r="Q92" s="277">
        <f>(AVERAGE(IF((P92-O92)&lt;0,-(P92-O92),(P92-O92)),IF((O92-N92)&lt;0,-(O92-N92),(O92-N92)),IF((N92-M92)&lt;0,-(N92-M92),(N92-M92)))*$T92)+P92</f>
        <v/>
      </c>
      <c r="R92" s="277">
        <f>(AVERAGE(IF((Q92-P92)&lt;0,-(Q92-P92),(Q92-P92)),IF((P92-O92)&lt;0,-(P92-O92),(P92-O92)),IF((O92-N92)&lt;0,-(O92-N92),(O92-N92)))*$T92)+Q92</f>
        <v/>
      </c>
      <c r="S92" s="235">
        <f>AVERAGE(G92:R92)</f>
        <v/>
      </c>
      <c r="T92" s="278" t="n">
        <v>1.1</v>
      </c>
      <c r="U92" s="30" t="n"/>
      <c r="V92" s="30" t="n"/>
    </row>
    <row r="93" ht="17.25" customHeight="1" s="340">
      <c r="A93" s="232">
        <f>'Mapping Prob-Root'!A77</f>
        <v/>
      </c>
      <c r="B93" s="233">
        <f>'Mapping Prob-Root'!O77</f>
        <v/>
      </c>
      <c r="C93" s="236" t="inlineStr">
        <is>
          <t>medium</t>
        </is>
      </c>
      <c r="D93" s="303" t="inlineStr">
        <is>
          <t>Timeliness (All)</t>
        </is>
      </c>
      <c r="E93" s="428" t="n"/>
      <c r="F93" s="429" t="n"/>
      <c r="G93" s="234">
        <f>'SC3 Data'!G21</f>
        <v/>
      </c>
      <c r="H93" s="234">
        <f>'SC3 Data'!L21</f>
        <v/>
      </c>
      <c r="I93" s="234">
        <f>'SC3 Data'!Q21</f>
        <v/>
      </c>
      <c r="J93" s="234">
        <f>'SC3 Data'!V21</f>
        <v/>
      </c>
      <c r="K93" s="234">
        <f>'SC3 Data'!AA21</f>
        <v/>
      </c>
      <c r="L93" s="234">
        <f>'SC3 Data'!AF21</f>
        <v/>
      </c>
      <c r="M93" s="248">
        <f>'SC3 Data'!AK21</f>
        <v/>
      </c>
      <c r="N93" s="277">
        <f>(AVERAGE(IF((M93-L93)&lt;0,-(M93-L93),(M93-L93)),IF((L93-K93)&lt;0,-(L93-K93),(L93-K93)),IF((K93-J93)&lt;0,-(K93-J93),(K93-J93)))*$T93)+M93</f>
        <v/>
      </c>
      <c r="O93" s="277">
        <f>(AVERAGE(IF((N93-M93)&lt;0,-(N93-M93),(N93-M93)),IF((M93-L93)&lt;0,-(M93-L93),(M93-L93)),IF((L93-K93)&lt;0,-(L93-K93),(L93-K93)))*$T93)+N93</f>
        <v/>
      </c>
      <c r="P93" s="277">
        <f>(AVERAGE(IF((O93-N93)&lt;0,-(O93-N93),(O93-N93)),IF((N93-M93)&lt;0,-(N93-M93),(N93-M93)),IF((M93-L93)&lt;0,-(M93-L93),(M93-L93)))*$T93)+O93</f>
        <v/>
      </c>
      <c r="Q93" s="277">
        <f>(AVERAGE(IF((P93-O93)&lt;0,-(P93-O93),(P93-O93)),IF((O93-N93)&lt;0,-(O93-N93),(O93-N93)),IF((N93-M93)&lt;0,-(N93-M93),(N93-M93)))*$T93)+P93</f>
        <v/>
      </c>
      <c r="R93" s="277">
        <f>(AVERAGE(IF((Q93-P93)&lt;0,-(Q93-P93),(Q93-P93)),IF((P93-O93)&lt;0,-(P93-O93),(P93-O93)),IF((O93-N93)&lt;0,-(O93-N93),(O93-N93)))*$T93)+Q93</f>
        <v/>
      </c>
      <c r="S93" s="235">
        <f>AVERAGE(G93:R93)</f>
        <v/>
      </c>
      <c r="T93" s="278" t="n">
        <v>0.7</v>
      </c>
      <c r="U93" s="30" t="n"/>
      <c r="V93" s="30" t="n"/>
    </row>
    <row r="94" ht="17.25" customHeight="1" s="340">
      <c r="A94" s="232">
        <f>'Mapping Prob-Root'!A78</f>
        <v/>
      </c>
      <c r="B94" s="233">
        <f>'Mapping Prob-Root'!O78</f>
        <v/>
      </c>
      <c r="C94" s="236" t="inlineStr">
        <is>
          <t>high</t>
        </is>
      </c>
      <c r="D94" s="303" t="inlineStr">
        <is>
          <t>Completeness (Critical)</t>
        </is>
      </c>
      <c r="E94" s="428" t="n"/>
      <c r="F94" s="429" t="n"/>
      <c r="G94" s="234">
        <f>'SC3 Data'!F22</f>
        <v/>
      </c>
      <c r="H94" s="234">
        <f>'SC3 Data'!K22</f>
        <v/>
      </c>
      <c r="I94" s="234">
        <f>'SC3 Data'!P22</f>
        <v/>
      </c>
      <c r="J94" s="234">
        <f>'SC3 Data'!U22</f>
        <v/>
      </c>
      <c r="K94" s="234">
        <f>'SC3 Data'!Z22</f>
        <v/>
      </c>
      <c r="L94" s="234">
        <f>'SC3 Data'!AE22</f>
        <v/>
      </c>
      <c r="M94" s="248">
        <f>'SC3 Data'!AJ22</f>
        <v/>
      </c>
      <c r="N94" s="277">
        <f>(AVERAGE(IF((M94-L94)&lt;0,-(M94-L94),(M94-L94)),IF((L94-K94)&lt;0,-(L94-K94),(L94-K94)),IF((K94-J94)&lt;0,-(K94-J94),(K94-J94)))*$T94)+M94</f>
        <v/>
      </c>
      <c r="O94" s="277">
        <f>(AVERAGE(IF((N94-M94)&lt;0,-(N94-M94),(N94-M94)),IF((M94-L94)&lt;0,-(M94-L94),(M94-L94)),IF((L94-K94)&lt;0,-(L94-K94),(L94-K94)))*$T94)+N94</f>
        <v/>
      </c>
      <c r="P94" s="277">
        <f>(AVERAGE(IF((O94-N94)&lt;0,-(O94-N94),(O94-N94)),IF((N94-M94)&lt;0,-(N94-M94),(N94-M94)),IF((M94-L94)&lt;0,-(M94-L94),(M94-L94)))*$T94)+O94</f>
        <v/>
      </c>
      <c r="Q94" s="277">
        <f>(AVERAGE(IF((P94-O94)&lt;0,-(P94-O94),(P94-O94)),IF((O94-N94)&lt;0,-(O94-N94),(O94-N94)),IF((N94-M94)&lt;0,-(N94-M94),(N94-M94)))*$T94)+P94</f>
        <v/>
      </c>
      <c r="R94" s="277">
        <f>(AVERAGE(IF((Q94-P94)&lt;0,-(Q94-P94),(Q94-P94)),IF((P94-O94)&lt;0,-(P94-O94),(P94-O94)),IF((O94-N94)&lt;0,-(O94-N94),(O94-N94)))*$T94)+Q94</f>
        <v/>
      </c>
      <c r="S94" s="235">
        <f>AVERAGE(G94:R94)</f>
        <v/>
      </c>
      <c r="T94" s="278" t="n">
        <v>1.8</v>
      </c>
      <c r="U94" s="276" t="n"/>
      <c r="V94" s="30" t="n"/>
    </row>
    <row r="95" ht="17.25" customHeight="1" s="340">
      <c r="A95" s="232">
        <f>'Mapping Prob-Root'!A79</f>
        <v/>
      </c>
      <c r="B95" s="233">
        <f>'Mapping Prob-Root'!O79</f>
        <v/>
      </c>
      <c r="C95" s="236" t="inlineStr">
        <is>
          <t>high</t>
        </is>
      </c>
      <c r="D95" s="303" t="inlineStr">
        <is>
          <t>Timeliness (Critical)</t>
        </is>
      </c>
      <c r="E95" s="428" t="n"/>
      <c r="F95" s="429" t="n"/>
      <c r="G95" s="234">
        <f>'SC3 Data'!G22</f>
        <v/>
      </c>
      <c r="H95" s="234">
        <f>'SC3 Data'!L22</f>
        <v/>
      </c>
      <c r="I95" s="234">
        <f>'SC3 Data'!Q22</f>
        <v/>
      </c>
      <c r="J95" s="234">
        <f>'SC3 Data'!V22</f>
        <v/>
      </c>
      <c r="K95" s="234">
        <f>'SC3 Data'!AA22</f>
        <v/>
      </c>
      <c r="L95" s="234">
        <f>'SC3 Data'!AF22</f>
        <v/>
      </c>
      <c r="M95" s="248">
        <f>'SC3 Data'!AK22</f>
        <v/>
      </c>
      <c r="N95" s="277">
        <f>(AVERAGE(IF((M95-L95)&lt;0,-(M95-L95),(M95-L95)),IF((L95-K95)&lt;0,-(L95-K95),(L95-K95)),IF((K95-J95)&lt;0,-(K95-J95),(K95-J95)))*$T95)+M95</f>
        <v/>
      </c>
      <c r="O95" s="277">
        <f>(AVERAGE(IF((N95-M95)&lt;0,-(N95-M95),(N95-M95)),IF((M95-L95)&lt;0,-(M95-L95),(M95-L95)),IF((L95-K95)&lt;0,-(L95-K95),(L95-K95)))*$T95)+N95</f>
        <v/>
      </c>
      <c r="P95" s="277">
        <f>(AVERAGE(IF((O95-N95)&lt;0,-(O95-N95),(O95-N95)),IF((N95-M95)&lt;0,-(N95-M95),(N95-M95)),IF((M95-L95)&lt;0,-(M95-L95),(M95-L95)))*$T95)+O95</f>
        <v/>
      </c>
      <c r="Q95" s="277">
        <f>(AVERAGE(IF((P95-O95)&lt;0,-(P95-O95),(P95-O95)),IF((O95-N95)&lt;0,-(O95-N95),(O95-N95)),IF((N95-M95)&lt;0,-(N95-M95),(N95-M95)))*$T95)+P95</f>
        <v/>
      </c>
      <c r="R95" s="277">
        <f>(AVERAGE(IF((Q95-P95)&lt;0,-(Q95-P95),(Q95-P95)),IF((P95-O95)&lt;0,-(P95-O95),(P95-O95)),IF((O95-N95)&lt;0,-(O95-N95),(O95-N95)))*$T95)+Q95</f>
        <v/>
      </c>
      <c r="S95" s="235">
        <f>AVERAGE(G95:R95)</f>
        <v/>
      </c>
      <c r="T95" s="278" t="n">
        <v>1.5</v>
      </c>
      <c r="U95" s="30" t="n"/>
      <c r="V95" s="30" t="n"/>
    </row>
    <row r="96" ht="17.25" customHeight="1" s="340">
      <c r="A96" s="232">
        <f>'Mapping Prob-Root'!A80</f>
        <v/>
      </c>
      <c r="B96" s="233">
        <f>'Mapping Prob-Root'!O80</f>
        <v/>
      </c>
      <c r="C96" s="236" t="inlineStr">
        <is>
          <t>high</t>
        </is>
      </c>
      <c r="D96" s="303" t="inlineStr">
        <is>
          <t>Completeness (Critical)</t>
        </is>
      </c>
      <c r="E96" s="428" t="n"/>
      <c r="F96" s="429" t="n"/>
      <c r="G96" s="234">
        <f>'SC3 Data'!F23</f>
        <v/>
      </c>
      <c r="H96" s="234">
        <f>'SC3 Data'!K23</f>
        <v/>
      </c>
      <c r="I96" s="234">
        <f>'SC3 Data'!P23</f>
        <v/>
      </c>
      <c r="J96" s="234">
        <f>'SC3 Data'!U23</f>
        <v/>
      </c>
      <c r="K96" s="234">
        <f>'SC3 Data'!Z23</f>
        <v/>
      </c>
      <c r="L96" s="234">
        <f>'SC3 Data'!AE23</f>
        <v/>
      </c>
      <c r="M96" s="248">
        <f>'SC3 Data'!AJ23</f>
        <v/>
      </c>
      <c r="N96" s="277">
        <f>(AVERAGE(IF((M96-L96)&lt;0,-(M96-L96),(M96-L96)),IF((L96-K96)&lt;0,-(L96-K96),(L96-K96)),IF((K96-J96)&lt;0,-(K96-J96),(K96-J96)))*$T96)+M96</f>
        <v/>
      </c>
      <c r="O96" s="277">
        <f>(AVERAGE(IF((N96-M96)&lt;0,-(N96-M96),(N96-M96)),IF((M96-L96)&lt;0,-(M96-L96),(M96-L96)),IF((L96-K96)&lt;0,-(L96-K96),(L96-K96)))*$T96)+N96</f>
        <v/>
      </c>
      <c r="P96" s="277">
        <f>(AVERAGE(IF((O96-N96)&lt;0,-(O96-N96),(O96-N96)),IF((N96-M96)&lt;0,-(N96-M96),(N96-M96)),IF((M96-L96)&lt;0,-(M96-L96),(M96-L96)))*$T96)+O96</f>
        <v/>
      </c>
      <c r="Q96" s="277">
        <f>(AVERAGE(IF((P96-O96)&lt;0,-(P96-O96),(P96-O96)),IF((O96-N96)&lt;0,-(O96-N96),(O96-N96)),IF((N96-M96)&lt;0,-(N96-M96),(N96-M96)))*$T96)+P96</f>
        <v/>
      </c>
      <c r="R96" s="277">
        <f>(AVERAGE(IF((Q96-P96)&lt;0,-(Q96-P96),(Q96-P96)),IF((P96-O96)&lt;0,-(P96-O96),(P96-O96)),IF((O96-N96)&lt;0,-(O96-N96),(O96-N96)))*$T96)+Q96</f>
        <v/>
      </c>
      <c r="S96" s="235">
        <f>AVERAGE(G96:R96)</f>
        <v/>
      </c>
      <c r="T96" s="278" t="n">
        <v>1.7</v>
      </c>
      <c r="U96" s="276" t="n"/>
      <c r="V96" s="30" t="n"/>
    </row>
    <row r="97" ht="17.25" customHeight="1" s="340">
      <c r="A97" s="232">
        <f>'Mapping Prob-Root'!A81</f>
        <v/>
      </c>
      <c r="B97" s="233">
        <f>'Mapping Prob-Root'!O81</f>
        <v/>
      </c>
      <c r="C97" s="236" t="inlineStr">
        <is>
          <t>high</t>
        </is>
      </c>
      <c r="D97" s="303" t="inlineStr">
        <is>
          <t>Timeliness (Critical)</t>
        </is>
      </c>
      <c r="E97" s="428" t="n"/>
      <c r="F97" s="429" t="n"/>
      <c r="G97" s="234">
        <f>'SC3 Data'!G23</f>
        <v/>
      </c>
      <c r="H97" s="234">
        <f>'SC3 Data'!L23</f>
        <v/>
      </c>
      <c r="I97" s="234">
        <f>'SC3 Data'!Q23</f>
        <v/>
      </c>
      <c r="J97" s="234">
        <f>'SC3 Data'!V23</f>
        <v/>
      </c>
      <c r="K97" s="234">
        <f>'SC3 Data'!AA23</f>
        <v/>
      </c>
      <c r="L97" s="234">
        <f>'SC3 Data'!AF23</f>
        <v/>
      </c>
      <c r="M97" s="248">
        <f>'SC3 Data'!AK23</f>
        <v/>
      </c>
      <c r="N97" s="277">
        <f>(AVERAGE(IF((M97-L97)&lt;0,-(M97-L97),(M97-L97)),IF((L97-K97)&lt;0,-(L97-K97),(L97-K97)),IF((K97-J97)&lt;0,-(K97-J97),(K97-J97)))*$T97)+M97</f>
        <v/>
      </c>
      <c r="O97" s="277">
        <f>(AVERAGE(IF((N97-M97)&lt;0,-(N97-M97),(N97-M97)),IF((M97-L97)&lt;0,-(M97-L97),(M97-L97)),IF((L97-K97)&lt;0,-(L97-K97),(L97-K97)))*$T97)+N97</f>
        <v/>
      </c>
      <c r="P97" s="277">
        <f>(AVERAGE(IF((O97-N97)&lt;0,-(O97-N97),(O97-N97)),IF((N97-M97)&lt;0,-(N97-M97),(N97-M97)),IF((M97-L97)&lt;0,-(M97-L97),(M97-L97)))*$T97)+O97</f>
        <v/>
      </c>
      <c r="Q97" s="277">
        <f>(AVERAGE(IF((P97-O97)&lt;0,-(P97-O97),(P97-O97)),IF((O97-N97)&lt;0,-(O97-N97),(O97-N97)),IF((N97-M97)&lt;0,-(N97-M97),(N97-M97)))*$T97)+P97</f>
        <v/>
      </c>
      <c r="R97" s="277">
        <f>(AVERAGE(IF((Q97-P97)&lt;0,-(Q97-P97),(Q97-P97)),IF((P97-O97)&lt;0,-(P97-O97),(P97-O97)),IF((O97-N97)&lt;0,-(O97-N97),(O97-N97)))*$T97)+Q97</f>
        <v/>
      </c>
      <c r="S97" s="235">
        <f>AVERAGE(G97:R97)</f>
        <v/>
      </c>
      <c r="T97" s="278" t="n">
        <v>1.1</v>
      </c>
      <c r="U97" s="30" t="n"/>
      <c r="V97" s="30" t="n"/>
    </row>
    <row r="98" ht="17.25" customHeight="1" s="340">
      <c r="A98" s="232">
        <f>'Mapping Prob-Root'!A82</f>
        <v/>
      </c>
      <c r="B98" s="233">
        <f>'Mapping Prob-Root'!O82</f>
        <v/>
      </c>
      <c r="C98" s="236" t="inlineStr">
        <is>
          <t>medium</t>
        </is>
      </c>
      <c r="D98" s="303" t="inlineStr">
        <is>
          <t>Completeness (All)</t>
        </is>
      </c>
      <c r="E98" s="428" t="n"/>
      <c r="F98" s="429" t="n"/>
      <c r="G98" s="234">
        <f>'SC3 Data'!F24</f>
        <v/>
      </c>
      <c r="H98" s="234">
        <f>'SC3 Data'!K24</f>
        <v/>
      </c>
      <c r="I98" s="234">
        <f>'SC3 Data'!P24</f>
        <v/>
      </c>
      <c r="J98" s="234">
        <f>'SC3 Data'!U24</f>
        <v/>
      </c>
      <c r="K98" s="234">
        <f>'SC3 Data'!Z24</f>
        <v/>
      </c>
      <c r="L98" s="234">
        <f>'SC3 Data'!AE24</f>
        <v/>
      </c>
      <c r="M98" s="248">
        <f>'SC3 Data'!AJ24</f>
        <v/>
      </c>
      <c r="N98" s="277">
        <f>(AVERAGE(IF((M98-L98)&lt;0,-(M98-L98),(M98-L98)),IF((L98-K98)&lt;0,-(L98-K98),(L98-K98)),IF((K98-J98)&lt;0,-(K98-J98),(K98-J98)))*$T98)+M98</f>
        <v/>
      </c>
      <c r="O98" s="277">
        <f>(AVERAGE(IF((N98-M98)&lt;0,-(N98-M98),(N98-M98)),IF((M98-L98)&lt;0,-(M98-L98),(M98-L98)),IF((L98-K98)&lt;0,-(L98-K98),(L98-K98)))*$T98)+N98</f>
        <v/>
      </c>
      <c r="P98" s="277">
        <f>(AVERAGE(IF((O98-N98)&lt;0,-(O98-N98),(O98-N98)),IF((N98-M98)&lt;0,-(N98-M98),(N98-M98)),IF((M98-L98)&lt;0,-(M98-L98),(M98-L98)))*$T98)+O98</f>
        <v/>
      </c>
      <c r="Q98" s="277">
        <f>(AVERAGE(IF((P98-O98)&lt;0,-(P98-O98),(P98-O98)),IF((O98-N98)&lt;0,-(O98-N98),(O98-N98)),IF((N98-M98)&lt;0,-(N98-M98),(N98-M98)))*$T98)+P98</f>
        <v/>
      </c>
      <c r="R98" s="277">
        <f>(AVERAGE(IF((Q98-P98)&lt;0,-(Q98-P98),(Q98-P98)),IF((P98-O98)&lt;0,-(P98-O98),(P98-O98)),IF((O98-N98)&lt;0,-(O98-N98),(O98-N98)))*$T98)+Q98</f>
        <v/>
      </c>
      <c r="S98" s="235">
        <f>AVERAGE(G98:R98)</f>
        <v/>
      </c>
      <c r="T98" s="278" t="n">
        <v>0.8</v>
      </c>
      <c r="U98" s="30" t="n"/>
      <c r="V98" s="30" t="n"/>
    </row>
    <row r="99" ht="17.25" customHeight="1" s="340">
      <c r="A99" s="232">
        <f>'Mapping Prob-Root'!A83</f>
        <v/>
      </c>
      <c r="B99" s="233">
        <f>'Mapping Prob-Root'!O83</f>
        <v/>
      </c>
      <c r="C99" s="236" t="inlineStr">
        <is>
          <t>medium</t>
        </is>
      </c>
      <c r="D99" s="303" t="inlineStr">
        <is>
          <t>Timeliness (All)</t>
        </is>
      </c>
      <c r="E99" s="428" t="n"/>
      <c r="F99" s="429" t="n"/>
      <c r="G99" s="234">
        <f>'SC3 Data'!G24</f>
        <v/>
      </c>
      <c r="H99" s="234">
        <f>'SC3 Data'!L24</f>
        <v/>
      </c>
      <c r="I99" s="234">
        <f>'SC3 Data'!Q24</f>
        <v/>
      </c>
      <c r="J99" s="234">
        <f>'SC3 Data'!V24</f>
        <v/>
      </c>
      <c r="K99" s="234">
        <f>'SC3 Data'!AA24</f>
        <v/>
      </c>
      <c r="L99" s="234">
        <f>'SC3 Data'!AF24</f>
        <v/>
      </c>
      <c r="M99" s="248">
        <f>'SC3 Data'!AK24</f>
        <v/>
      </c>
      <c r="N99" s="277">
        <f>(AVERAGE(IF((M99-L99)&lt;0,-(M99-L99),(M99-L99)),IF((L99-K99)&lt;0,-(L99-K99),(L99-K99)),IF((K99-J99)&lt;0,-(K99-J99),(K99-J99)))*$T99)+M99</f>
        <v/>
      </c>
      <c r="O99" s="277">
        <f>(AVERAGE(IF((N99-M99)&lt;0,-(N99-M99),(N99-M99)),IF((M99-L99)&lt;0,-(M99-L99),(M99-L99)),IF((L99-K99)&lt;0,-(L99-K99),(L99-K99)))*$T99)+N99</f>
        <v/>
      </c>
      <c r="P99" s="277">
        <f>(AVERAGE(IF((O99-N99)&lt;0,-(O99-N99),(O99-N99)),IF((N99-M99)&lt;0,-(N99-M99),(N99-M99)),IF((M99-L99)&lt;0,-(M99-L99),(M99-L99)))*$T99)+O99</f>
        <v/>
      </c>
      <c r="Q99" s="277">
        <f>(AVERAGE(IF((P99-O99)&lt;0,-(P99-O99),(P99-O99)),IF((O99-N99)&lt;0,-(O99-N99),(O99-N99)),IF((N99-M99)&lt;0,-(N99-M99),(N99-M99)))*$T99)+P99</f>
        <v/>
      </c>
      <c r="R99" s="277">
        <f>(AVERAGE(IF((Q99-P99)&lt;0,-(Q99-P99),(Q99-P99)),IF((P99-O99)&lt;0,-(P99-O99),(P99-O99)),IF((O99-N99)&lt;0,-(O99-N99),(O99-N99)))*$T99)+Q99</f>
        <v/>
      </c>
      <c r="S99" s="235">
        <f>AVERAGE(G99:R99)</f>
        <v/>
      </c>
      <c r="T99" s="278" t="n">
        <v>0.4</v>
      </c>
      <c r="U99" s="30" t="n"/>
      <c r="V99" s="30" t="n"/>
    </row>
    <row r="100">
      <c r="A100" s="232">
        <f>'Mapping Prob-Root'!A84</f>
        <v/>
      </c>
      <c r="B100" s="233">
        <f>'Mapping Prob-Root'!O84</f>
        <v/>
      </c>
      <c r="C100" s="236" t="inlineStr">
        <is>
          <t>medium</t>
        </is>
      </c>
      <c r="D100" s="336" t="inlineStr">
        <is>
          <t>ETA accuracy 2P</t>
        </is>
      </c>
      <c r="E100" s="337" t="n"/>
      <c r="F100" s="338" t="n"/>
      <c r="G100" s="234" t="n">
        <v>0.223</v>
      </c>
      <c r="H100" s="234" t="n">
        <v>0.386</v>
      </c>
      <c r="I100" s="234" t="n">
        <v>0.403</v>
      </c>
      <c r="J100" s="234" t="n">
        <v>0.434</v>
      </c>
      <c r="K100" s="234" t="n">
        <v>0.435</v>
      </c>
      <c r="L100" s="234" t="n">
        <v>0.622</v>
      </c>
      <c r="M100" s="234" t="n">
        <v>0.392</v>
      </c>
      <c r="N100" s="277">
        <f>(AVERAGE(IF((M100-L100)&lt;0,-(M100-L100),(M100-L100)),IF((L100-K100)&lt;0,-(L100-K100),(L100-K100)),IF((K100-J100)&lt;0,-(K100-J100),(K100-J100)))*$T100)+M100</f>
        <v/>
      </c>
      <c r="O100" s="277">
        <f>(AVERAGE(IF((N100-M100)&lt;0,-(N100-M100),(N100-M100)),IF((M100-L100)&lt;0,-(M100-L100),(M100-L100)),IF((L100-K100)&lt;0,-(L100-K100),(L100-K100)))*$T100)+N100</f>
        <v/>
      </c>
      <c r="P100" s="277">
        <f>(AVERAGE(IF((O100-N100)&lt;0,-(O100-N100),(O100-N100)),IF((N100-M100)&lt;0,-(N100-M100),(N100-M100)),IF((M100-L100)&lt;0,-(M100-L100),(M100-L100)))*$T100)+O100</f>
        <v/>
      </c>
      <c r="Q100" s="277">
        <f>(AVERAGE(IF((P100-O100)&lt;0,-(P100-O100),(P100-O100)),IF((O100-N100)&lt;0,-(O100-N100),(O100-N100)),IF((N100-M100)&lt;0,-(N100-M100),(N100-M100)))*$T100)+P100</f>
        <v/>
      </c>
      <c r="R100" s="277">
        <f>(AVERAGE(IF((Q100-P100)&lt;0,-(Q100-P100),(Q100-P100)),IF((P100-O100)&lt;0,-(P100-O100),(P100-O100)),IF((O100-N100)&lt;0,-(O100-N100),(O100-N100)))*$T100)+Q100</f>
        <v/>
      </c>
      <c r="S100" s="235">
        <f>AVERAGE(G100:R100)</f>
        <v/>
      </c>
      <c r="T100" s="278" t="n">
        <v>0.6</v>
      </c>
      <c r="U100" s="30" t="n"/>
      <c r="V100" s="30" t="n"/>
    </row>
    <row r="101">
      <c r="A101" s="232">
        <f>'Mapping Prob-Root'!A85</f>
        <v/>
      </c>
      <c r="B101" s="233">
        <f>'Mapping Prob-Root'!O85</f>
        <v/>
      </c>
      <c r="C101" s="236" t="inlineStr">
        <is>
          <t>medium</t>
        </is>
      </c>
      <c r="D101" s="336" t="inlineStr">
        <is>
          <t>ETA accuracy 2P</t>
        </is>
      </c>
      <c r="E101" s="337" t="n"/>
      <c r="F101" s="338" t="n"/>
      <c r="G101" s="287" t="inlineStr">
        <is>
          <t>N/A</t>
        </is>
      </c>
      <c r="H101" s="287" t="inlineStr">
        <is>
          <t>N/A</t>
        </is>
      </c>
      <c r="I101" s="287" t="inlineStr">
        <is>
          <t>N/A</t>
        </is>
      </c>
      <c r="J101" s="287" t="inlineStr">
        <is>
          <t>N/A</t>
        </is>
      </c>
      <c r="K101" s="287" t="inlineStr">
        <is>
          <t>N/A</t>
        </is>
      </c>
      <c r="L101" s="287" t="inlineStr">
        <is>
          <t>N/A</t>
        </is>
      </c>
      <c r="M101" s="287" t="inlineStr">
        <is>
          <t>N/A</t>
        </is>
      </c>
      <c r="N101" s="287" t="inlineStr">
        <is>
          <t>N/A</t>
        </is>
      </c>
      <c r="O101" s="287" t="inlineStr">
        <is>
          <t>N/A</t>
        </is>
      </c>
      <c r="P101" s="287" t="inlineStr">
        <is>
          <t>N/A</t>
        </is>
      </c>
      <c r="Q101" s="287" t="inlineStr">
        <is>
          <t>N/A</t>
        </is>
      </c>
      <c r="R101" s="287" t="inlineStr">
        <is>
          <t>N/A</t>
        </is>
      </c>
      <c r="S101" s="235" t="n"/>
      <c r="T101" s="279" t="n"/>
      <c r="U101" s="30" t="n"/>
      <c r="V101" s="30" t="n"/>
    </row>
    <row r="102">
      <c r="A102" s="232">
        <f>'Mapping Prob-Root'!A86</f>
        <v/>
      </c>
      <c r="B102" s="233">
        <f>'Mapping Prob-Root'!O86</f>
        <v/>
      </c>
      <c r="C102" s="236" t="inlineStr">
        <is>
          <t>medium</t>
        </is>
      </c>
      <c r="D102" s="336" t="inlineStr">
        <is>
          <t>ETA accuracy 2D</t>
        </is>
      </c>
      <c r="E102" s="337" t="n"/>
      <c r="F102" s="338" t="n"/>
      <c r="G102" s="234" t="n">
        <v>0.044</v>
      </c>
      <c r="H102" s="234" t="n">
        <v>0.132</v>
      </c>
      <c r="I102" s="234" t="n">
        <v>0.07000000000000001</v>
      </c>
      <c r="J102" s="234" t="n">
        <v>0.115</v>
      </c>
      <c r="K102" s="234" t="n">
        <v>0.125</v>
      </c>
      <c r="L102" s="234" t="n">
        <v>0.174</v>
      </c>
      <c r="M102" s="234" t="n">
        <v>0.174</v>
      </c>
      <c r="N102" s="277">
        <f>(AVERAGE(IF((M102-L102)&lt;0,-(M102-L102),(M102-L102)),IF((L102-K102)&lt;0,-(L102-K102),(L102-K102)),IF((K102-J102)&lt;0,-(K102-J102),(K102-J102)))*$T102)+M102</f>
        <v/>
      </c>
      <c r="O102" s="277">
        <f>(AVERAGE(IF((N102-M102)&lt;0,-(N102-M102),(N102-M102)),IF((M102-L102)&lt;0,-(M102-L102),(M102-L102)),IF((L102-K102)&lt;0,-(L102-K102),(L102-K102)))*$T102)+N102</f>
        <v/>
      </c>
      <c r="P102" s="277">
        <f>(AVERAGE(IF((O102-N102)&lt;0,-(O102-N102),(O102-N102)),IF((N102-M102)&lt;0,-(N102-M102),(N102-M102)),IF((M102-L102)&lt;0,-(M102-L102),(M102-L102)))*$T102)+O102</f>
        <v/>
      </c>
      <c r="Q102" s="277">
        <f>(AVERAGE(IF((P102-O102)&lt;0,-(P102-O102),(P102-O102)),IF((O102-N102)&lt;0,-(O102-N102),(O102-N102)),IF((N102-M102)&lt;0,-(N102-M102),(N102-M102)))*$T102)+P102</f>
        <v/>
      </c>
      <c r="R102" s="277">
        <f>(AVERAGE(IF((Q102-P102)&lt;0,-(Q102-P102),(Q102-P102)),IF((P102-O102)&lt;0,-(P102-O102),(P102-O102)),IF((O102-N102)&lt;0,-(O102-N102),(O102-N102)))*$T102)+Q102</f>
        <v/>
      </c>
      <c r="S102" s="235">
        <f>AVERAGE(G102:R102)</f>
        <v/>
      </c>
      <c r="T102" s="278" t="n">
        <v>2.2</v>
      </c>
      <c r="U102" s="30" t="n"/>
      <c r="V102" s="30" t="n"/>
    </row>
    <row r="103">
      <c r="A103" s="232">
        <f>'Mapping Prob-Root'!A87</f>
        <v/>
      </c>
      <c r="B103" s="233">
        <f>'Mapping Prob-Root'!O87</f>
        <v/>
      </c>
      <c r="C103" s="236" t="inlineStr">
        <is>
          <t>medium</t>
        </is>
      </c>
      <c r="D103" s="303" t="inlineStr">
        <is>
          <t>ETA accuracy 2D</t>
        </is>
      </c>
      <c r="E103" s="428" t="n"/>
      <c r="F103" s="429" t="n"/>
      <c r="G103" s="287" t="inlineStr">
        <is>
          <t>N/A</t>
        </is>
      </c>
      <c r="H103" s="287" t="inlineStr">
        <is>
          <t>N/A</t>
        </is>
      </c>
      <c r="I103" s="287" t="inlineStr">
        <is>
          <t>N/A</t>
        </is>
      </c>
      <c r="J103" s="287" t="inlineStr">
        <is>
          <t>N/A</t>
        </is>
      </c>
      <c r="K103" s="287" t="inlineStr">
        <is>
          <t>N/A</t>
        </is>
      </c>
      <c r="L103" s="287" t="inlineStr">
        <is>
          <t>N/A</t>
        </is>
      </c>
      <c r="M103" s="287" t="inlineStr">
        <is>
          <t>N/A</t>
        </is>
      </c>
      <c r="N103" s="287" t="inlineStr">
        <is>
          <t>N/A</t>
        </is>
      </c>
      <c r="O103" s="287" t="inlineStr">
        <is>
          <t>N/A</t>
        </is>
      </c>
      <c r="P103" s="287" t="inlineStr">
        <is>
          <t>N/A</t>
        </is>
      </c>
      <c r="Q103" s="287" t="inlineStr">
        <is>
          <t>N/A</t>
        </is>
      </c>
      <c r="R103" s="287" t="inlineStr">
        <is>
          <t>N/A</t>
        </is>
      </c>
      <c r="S103" s="235" t="n"/>
      <c r="T103" s="279" t="n"/>
      <c r="U103" s="30" t="n"/>
      <c r="V103" s="30" t="n"/>
    </row>
    <row r="104" ht="14" customHeight="1" s="340">
      <c r="A104" s="232" t="n">
        <v>87</v>
      </c>
      <c r="B104" s="237" t="inlineStr">
        <is>
          <t>SC4 - Shipment data received by Bosch doesn't have the CIV or DN reference</t>
        </is>
      </c>
      <c r="C104" s="236" t="inlineStr">
        <is>
          <t>high</t>
        </is>
      </c>
      <c r="D104" s="336" t="inlineStr">
        <is>
          <t>Reference Completeness (SC4)</t>
        </is>
      </c>
      <c r="E104" s="337" t="n"/>
      <c r="F104" s="338" t="n"/>
      <c r="G104" s="249" t="n">
        <v>0.714</v>
      </c>
      <c r="H104" s="239" t="n">
        <v>0.638</v>
      </c>
      <c r="I104" s="249" t="n">
        <v>0.72</v>
      </c>
      <c r="J104" s="249" t="n">
        <v>0.702</v>
      </c>
      <c r="K104" s="249" t="n">
        <v>0.679</v>
      </c>
      <c r="L104" s="249" t="n">
        <v>0.752</v>
      </c>
      <c r="M104" s="249" t="n">
        <v>0.777</v>
      </c>
      <c r="N104" s="277">
        <f>(AVERAGE(IF((M104-L104)&lt;0,-(M104-L104),(M104-L104)),IF((L104-K104)&lt;0,-(L104-K104),(L104-K104)),IF((K104-J104)&lt;0,-(K104-J104),(K104-J104)))*$T104)+M104</f>
        <v/>
      </c>
      <c r="O104" s="277">
        <f>(AVERAGE(IF((N104-M104)&lt;0,-(N104-M104),(N104-M104)),IF((M104-L104)&lt;0,-(M104-L104),(M104-L104)),IF((L104-K104)&lt;0,-(L104-K104),(L104-K104)))*$T104)+N104</f>
        <v/>
      </c>
      <c r="P104" s="277">
        <f>(AVERAGE(IF((O104-N104)&lt;0,-(O104-N104),(O104-N104)),IF((N104-M104)&lt;0,-(N104-M104),(N104-M104)),IF((M104-L104)&lt;0,-(M104-L104),(M104-L104)))*$T104)+O104</f>
        <v/>
      </c>
      <c r="Q104" s="277">
        <f>(AVERAGE(IF((P104-O104)&lt;0,-(P104-O104),(P104-O104)),IF((O104-N104)&lt;0,-(O104-N104),(O104-N104)),IF((N104-M104)&lt;0,-(N104-M104),(N104-M104)))*$T104)+P104</f>
        <v/>
      </c>
      <c r="R104" s="277">
        <f>(AVERAGE(IF((Q104-P104)&lt;0,-(Q104-P104),(Q104-P104)),IF((P104-O104)&lt;0,-(P104-O104),(P104-O104)),IF((O104-N104)&lt;0,-(O104-N104),(O104-N104)))*$T104)+Q104</f>
        <v/>
      </c>
      <c r="S104" s="235">
        <f>AVERAGE(G104:R104)</f>
        <v/>
      </c>
      <c r="T104" s="278" t="n">
        <v>0.8</v>
      </c>
      <c r="U104" s="30" t="n"/>
      <c r="V104" s="30" t="n"/>
    </row>
    <row r="105" ht="17.25" customHeight="1" s="340">
      <c r="A105" s="232" t="n">
        <v>88</v>
      </c>
      <c r="B105" s="237" t="inlineStr">
        <is>
          <t>SC4 - Shipment data received by Bosch has the CIV or DN reference  but do not have the correct data</t>
        </is>
      </c>
      <c r="C105" s="236" t="inlineStr">
        <is>
          <t>medium</t>
        </is>
      </c>
      <c r="D105" s="303" t="inlineStr">
        <is>
          <t>Reference Quality (SC4)</t>
        </is>
      </c>
      <c r="E105" s="428" t="n"/>
      <c r="F105" s="429" t="n"/>
      <c r="G105" s="287" t="inlineStr">
        <is>
          <t>N/A</t>
        </is>
      </c>
      <c r="H105" s="287" t="inlineStr">
        <is>
          <t>N/A</t>
        </is>
      </c>
      <c r="I105" s="287" t="inlineStr">
        <is>
          <t>N/A</t>
        </is>
      </c>
      <c r="J105" s="287" t="inlineStr">
        <is>
          <t>N/A</t>
        </is>
      </c>
      <c r="K105" s="287" t="inlineStr">
        <is>
          <t>N/A</t>
        </is>
      </c>
      <c r="L105" s="287" t="inlineStr">
        <is>
          <t>N/A</t>
        </is>
      </c>
      <c r="M105" s="287" t="inlineStr">
        <is>
          <t>N/A</t>
        </is>
      </c>
      <c r="N105" s="287" t="inlineStr">
        <is>
          <t>N/A</t>
        </is>
      </c>
      <c r="O105" s="287" t="inlineStr">
        <is>
          <t>N/A</t>
        </is>
      </c>
      <c r="P105" s="287" t="inlineStr">
        <is>
          <t>N/A</t>
        </is>
      </c>
      <c r="Q105" s="287" t="inlineStr">
        <is>
          <t>N/A</t>
        </is>
      </c>
      <c r="R105" s="287" t="inlineStr">
        <is>
          <t>N/A</t>
        </is>
      </c>
      <c r="S105" s="235" t="n"/>
      <c r="T105" s="279" t="n"/>
      <c r="U105" s="30" t="n"/>
      <c r="V105" s="30" t="n"/>
    </row>
    <row r="106" ht="28" customHeight="1" s="340">
      <c r="A106" s="232" t="n">
        <v>89</v>
      </c>
      <c r="B106" s="237" t="inlineStr">
        <is>
          <t>Milestones sent to Bosch do not follow a plausible date order because CW1 lacks chronological sequence validation and manaual error occurs</t>
        </is>
      </c>
      <c r="C106" s="236" t="inlineStr">
        <is>
          <t>medium</t>
        </is>
      </c>
      <c r="D106" s="303" t="inlineStr">
        <is>
          <t>Plausability (% of shipments with ≥1 sequence break)</t>
        </is>
      </c>
      <c r="E106" s="428" t="n"/>
      <c r="F106" s="429" t="n"/>
      <c r="G106" s="288" t="n">
        <v>0.2556</v>
      </c>
      <c r="H106" s="288" t="n">
        <v>0.1708</v>
      </c>
      <c r="I106" s="288" t="n">
        <v>0.1488</v>
      </c>
      <c r="J106" s="288" t="n">
        <v>0.1455</v>
      </c>
      <c r="K106" s="288" t="n">
        <v>0.1245</v>
      </c>
      <c r="L106" s="288" t="n">
        <v>0.0708</v>
      </c>
      <c r="M106" s="288" t="n">
        <v>0.1019</v>
      </c>
      <c r="N106" s="277">
        <f>(AVERAGE(IF((M106-L106)&lt;0,-(M106-L106),(M106-L106)),IF((L106-K106)&lt;0,-(L106-K106),(L106-K106)),IF((K106-J106)&lt;0,-(K106-J106),(K106-J106)))*$T106)+M106</f>
        <v/>
      </c>
      <c r="O106" s="277">
        <f>(AVERAGE(IF((N106-M106)&lt;0,-(N106-M106),(N106-M106)),IF((M106-L106)&lt;0,-(M106-L106),(M106-L106)),IF((L106-K106)&lt;0,-(L106-K106),(L106-K106)))*$T106)+N106</f>
        <v/>
      </c>
      <c r="P106" s="277">
        <f>(AVERAGE(IF((O106-N106)&lt;0,-(O106-N106),(O106-N106)),IF((N106-M106)&lt;0,-(N106-M106),(N106-M106)),IF((M106-L106)&lt;0,-(M106-L106),(M106-L106)))*$T106)+O106</f>
        <v/>
      </c>
      <c r="Q106" s="277">
        <f>(AVERAGE(IF((P106-O106)&lt;0,-(P106-O106),(P106-O106)),IF((O106-N106)&lt;0,-(O106-N106),(O106-N106)),IF((N106-M106)&lt;0,-(N106-M106),(N106-M106)))*$T106)+P106</f>
        <v/>
      </c>
      <c r="R106" s="277">
        <f>(AVERAGE(IF((Q106-P106)&lt;0,-(Q106-P106),(Q106-P106)),IF((P106-O106)&lt;0,-(P106-O106),(P106-O106)),IF((O106-N106)&lt;0,-(O106-N106),(O106-N106)))*$T106)+Q106</f>
        <v/>
      </c>
      <c r="S106" s="235">
        <f>AVERAGE(G106:R106)</f>
        <v/>
      </c>
      <c r="T106" s="278" t="n">
        <v>-0.4</v>
      </c>
      <c r="U106" s="30" t="n"/>
      <c r="V106" s="30" t="n"/>
    </row>
    <row r="107">
      <c r="A107" s="232" t="n"/>
      <c r="B107" s="237" t="n"/>
      <c r="C107" s="236" t="n"/>
      <c r="D107" s="303" t="n"/>
      <c r="E107" s="428" t="n"/>
      <c r="F107" s="429" t="n"/>
      <c r="G107" s="238" t="n"/>
      <c r="H107" s="238" t="n"/>
      <c r="I107" s="239" t="n"/>
      <c r="J107" s="240" t="n"/>
      <c r="K107" s="240" t="n"/>
      <c r="L107" s="240" t="n"/>
      <c r="M107" s="240" t="n"/>
      <c r="N107" s="275" t="n"/>
      <c r="O107" s="275" t="n"/>
      <c r="P107" s="275" t="n"/>
      <c r="Q107" s="275" t="n"/>
      <c r="R107" s="235" t="n"/>
      <c r="S107" s="235" t="n"/>
      <c r="T107" s="279" t="n"/>
      <c r="U107" s="30" t="n"/>
      <c r="V107" s="30" t="n"/>
    </row>
    <row r="108" ht="17.25" customHeight="1" s="340">
      <c r="A108" s="232" t="n"/>
      <c r="B108" s="237" t="n"/>
      <c r="C108" s="236" t="n"/>
      <c r="D108" s="303" t="n"/>
      <c r="E108" s="428" t="n"/>
      <c r="F108" s="429" t="n"/>
      <c r="G108" s="288" t="n"/>
      <c r="H108" s="288" t="n"/>
      <c r="I108" s="288" t="n"/>
      <c r="J108" s="288" t="n"/>
      <c r="K108" s="288" t="n"/>
      <c r="L108" s="288" t="n"/>
      <c r="M108" s="288" t="n"/>
      <c r="N108" s="275" t="n"/>
      <c r="O108" s="275" t="n"/>
      <c r="P108" s="275" t="n"/>
      <c r="Q108" s="275" t="n"/>
      <c r="R108" s="235" t="n"/>
      <c r="S108" s="235" t="n"/>
      <c r="T108" s="279" t="n"/>
      <c r="U108" s="30" t="n"/>
      <c r="V108" s="30" t="n"/>
    </row>
    <row r="109" ht="17.25" customHeight="1" s="340">
      <c r="A109" s="232" t="n"/>
      <c r="B109" s="237" t="n"/>
      <c r="C109" s="236" t="n"/>
      <c r="D109" s="303" t="n"/>
      <c r="E109" s="428" t="n"/>
      <c r="F109" s="429" t="n"/>
      <c r="G109" s="234" t="n"/>
      <c r="H109" s="234" t="n"/>
      <c r="I109" s="234" t="n"/>
      <c r="J109" s="234" t="n"/>
      <c r="K109" s="234" t="n"/>
      <c r="L109" s="234" t="n"/>
      <c r="M109" s="234" t="n"/>
      <c r="N109" s="240" t="n"/>
      <c r="O109" s="240" t="n"/>
      <c r="P109" s="240" t="n"/>
      <c r="Q109" s="240" t="n"/>
      <c r="R109" s="235" t="n"/>
      <c r="S109" s="235" t="n"/>
      <c r="T109" s="279" t="n"/>
      <c r="U109" s="30" t="n"/>
      <c r="V109" s="30" t="n"/>
    </row>
    <row r="110" ht="17.25" customHeight="1" s="340">
      <c r="A110" s="232" t="n"/>
      <c r="B110" s="237" t="n"/>
      <c r="C110" s="236" t="n"/>
      <c r="D110" s="303" t="n"/>
      <c r="E110" s="428" t="n"/>
      <c r="F110" s="429" t="n"/>
      <c r="G110" s="234" t="n"/>
      <c r="H110" s="234" t="n"/>
      <c r="I110" s="234" t="n"/>
      <c r="J110" s="234" t="n"/>
      <c r="K110" s="234" t="n"/>
      <c r="L110" s="234" t="n"/>
      <c r="M110" s="234" t="n"/>
      <c r="N110" s="240" t="n"/>
      <c r="O110" s="240" t="n"/>
      <c r="P110" s="240" t="n"/>
      <c r="Q110" s="240" t="n"/>
      <c r="R110" s="240" t="n"/>
      <c r="S110" s="235" t="n"/>
      <c r="T110" s="279" t="n"/>
      <c r="U110" s="30" t="n"/>
      <c r="V110" s="30" t="n"/>
    </row>
    <row r="111" ht="17.25" customHeight="1" s="340">
      <c r="A111" s="232" t="n"/>
      <c r="B111" s="237" t="n"/>
      <c r="C111" s="236" t="n"/>
      <c r="D111" s="241" t="n"/>
      <c r="E111" s="242" t="n"/>
      <c r="F111" s="243" t="n"/>
      <c r="G111" s="238" t="n"/>
      <c r="H111" s="238" t="n"/>
      <c r="I111" s="239" t="n"/>
      <c r="J111" s="240" t="n"/>
      <c r="K111" s="240" t="n"/>
      <c r="L111" s="240" t="n"/>
      <c r="M111" s="240" t="n"/>
      <c r="N111" s="240" t="n"/>
      <c r="O111" s="240" t="n"/>
      <c r="P111" s="240" t="n"/>
      <c r="Q111" s="240" t="n"/>
      <c r="R111" s="240" t="n"/>
      <c r="S111" s="235" t="n"/>
      <c r="T111" s="279" t="n"/>
      <c r="U111" s="30" t="n"/>
      <c r="V111" s="30" t="n"/>
    </row>
    <row r="112" ht="17.25" customHeight="1" s="340">
      <c r="A112" s="232" t="n"/>
      <c r="B112" s="237" t="n"/>
      <c r="C112" s="236" t="n"/>
      <c r="D112" s="303" t="n"/>
      <c r="E112" s="428" t="n"/>
      <c r="F112" s="429" t="n"/>
      <c r="G112" s="288" t="n"/>
      <c r="H112" s="288" t="n"/>
      <c r="I112" s="288" t="n"/>
      <c r="J112" s="288" t="n"/>
      <c r="K112" s="288" t="n"/>
      <c r="L112" s="288" t="n"/>
      <c r="M112" s="288" t="n"/>
      <c r="N112" s="240" t="n"/>
      <c r="O112" s="240" t="n"/>
      <c r="P112" s="240" t="n"/>
      <c r="Q112" s="240" t="n"/>
      <c r="R112" s="240" t="n"/>
      <c r="S112" s="235" t="n"/>
      <c r="T112" s="279" t="n"/>
      <c r="U112" s="30" t="n"/>
      <c r="V112" s="30" t="n"/>
    </row>
    <row r="113">
      <c r="A113" s="232" t="n"/>
      <c r="B113" s="237" t="n"/>
      <c r="C113" s="236" t="n"/>
      <c r="D113" s="303" t="n"/>
      <c r="E113" s="428" t="n"/>
      <c r="F113" s="429" t="n"/>
      <c r="G113" s="249" t="n"/>
      <c r="H113" s="239" t="n"/>
      <c r="I113" s="249" t="n"/>
      <c r="J113" s="249" t="n"/>
      <c r="K113" s="249" t="n"/>
      <c r="L113" s="249" t="n"/>
      <c r="M113" s="249" t="n"/>
      <c r="N113" s="240" t="n"/>
      <c r="O113" s="240" t="n"/>
      <c r="P113" s="240" t="n"/>
      <c r="Q113" s="240" t="n"/>
      <c r="R113" s="240" t="n"/>
      <c r="S113" s="235" t="n"/>
      <c r="T113" s="279" t="n"/>
      <c r="U113" s="30" t="n"/>
      <c r="V113" s="30" t="n"/>
    </row>
    <row r="114">
      <c r="A114" s="232" t="n"/>
      <c r="B114" s="237" t="n"/>
      <c r="C114" s="236" t="n"/>
      <c r="D114" s="303" t="n"/>
      <c r="E114" s="428" t="n"/>
      <c r="F114" s="429" t="n"/>
      <c r="G114" s="238" t="n"/>
      <c r="H114" s="238" t="n"/>
      <c r="I114" s="239" t="n"/>
      <c r="J114" s="240" t="n"/>
      <c r="K114" s="240" t="n"/>
      <c r="L114" s="240" t="n"/>
      <c r="M114" s="240" t="n"/>
      <c r="N114" s="240" t="n"/>
      <c r="O114" s="240" t="n"/>
      <c r="P114" s="240" t="n"/>
      <c r="Q114" s="240" t="n"/>
      <c r="R114" s="240" t="n"/>
      <c r="S114" s="235" t="n"/>
      <c r="T114" s="279" t="n"/>
      <c r="U114" s="30" t="n"/>
      <c r="V114" s="30" t="n"/>
    </row>
    <row r="115">
      <c r="A115" s="232" t="n"/>
      <c r="B115" s="237" t="n"/>
      <c r="C115" s="236" t="n"/>
      <c r="D115" s="303" t="n"/>
      <c r="E115" s="428" t="n"/>
      <c r="F115" s="429" t="n"/>
      <c r="G115" s="288" t="n"/>
      <c r="H115" s="288" t="n"/>
      <c r="I115" s="288" t="n"/>
      <c r="J115" s="288" t="n"/>
      <c r="K115" s="288" t="n"/>
      <c r="L115" s="288" t="n"/>
      <c r="M115" s="288" t="n"/>
      <c r="N115" s="240" t="n"/>
      <c r="O115" s="240" t="n"/>
      <c r="P115" s="240" t="n"/>
      <c r="Q115" s="240" t="n"/>
      <c r="R115" s="240" t="n"/>
      <c r="S115" s="235" t="n"/>
      <c r="T115" s="279" t="n"/>
      <c r="U115" s="30" t="n"/>
      <c r="V115" s="30" t="n"/>
    </row>
    <row r="116" ht="17.25" customHeight="1" s="340">
      <c r="A116" s="202" t="n"/>
      <c r="B116" s="198" t="n"/>
      <c r="C116" s="201" t="n"/>
      <c r="D116" s="354" t="n"/>
      <c r="E116" s="428" t="n"/>
      <c r="F116" s="429" t="n"/>
      <c r="G116" s="200" t="n"/>
      <c r="H116" s="200" t="n"/>
      <c r="I116" s="2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215" t="n"/>
      <c r="T116" s="279" t="n"/>
      <c r="U116" s="30" t="n"/>
      <c r="V116" s="30" t="n"/>
    </row>
    <row r="117" ht="17.25" customHeight="1" s="340">
      <c r="A117" s="202" t="n"/>
      <c r="B117" s="198" t="n"/>
      <c r="C117" s="201" t="n"/>
      <c r="D117" s="354" t="n"/>
      <c r="E117" s="428" t="n"/>
      <c r="F117" s="429" t="n"/>
      <c r="G117" s="200" t="n"/>
      <c r="H117" s="200" t="n"/>
      <c r="I117" s="2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215" t="n"/>
      <c r="T117" s="279" t="n"/>
      <c r="U117" s="30" t="n"/>
      <c r="V117" s="30" t="n"/>
    </row>
    <row r="118" ht="17.25" customHeight="1" s="340">
      <c r="A118" s="202" t="n"/>
      <c r="B118" s="198" t="n"/>
      <c r="C118" s="201" t="n"/>
      <c r="D118" s="354" t="n"/>
      <c r="E118" s="428" t="n"/>
      <c r="F118" s="429" t="n"/>
      <c r="G118" s="200" t="n"/>
      <c r="H118" s="200" t="n"/>
      <c r="I118" s="2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215" t="n"/>
      <c r="T118" s="279" t="n"/>
      <c r="U118" s="30" t="n"/>
      <c r="V118" s="30" t="n"/>
    </row>
    <row r="119" ht="17.25" customHeight="1" s="340">
      <c r="A119" s="202" t="n"/>
      <c r="B119" s="198" t="n"/>
      <c r="C119" s="201" t="n"/>
      <c r="D119" s="354" t="n"/>
      <c r="E119" s="428" t="n"/>
      <c r="F119" s="429" t="n"/>
      <c r="G119" s="200" t="n"/>
      <c r="H119" s="200" t="n"/>
      <c r="I119" s="2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215" t="n"/>
      <c r="T119" s="279" t="n"/>
      <c r="U119" s="30" t="n"/>
      <c r="V119" s="30" t="n"/>
    </row>
    <row r="120" ht="17.25" customHeight="1" s="340">
      <c r="A120" s="202" t="n"/>
      <c r="B120" s="198" t="n"/>
      <c r="C120" s="201" t="n"/>
      <c r="D120" s="354" t="n"/>
      <c r="E120" s="428" t="n"/>
      <c r="F120" s="429" t="n"/>
      <c r="G120" s="200" t="n"/>
      <c r="H120" s="200" t="n"/>
      <c r="I120" s="2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215" t="n"/>
      <c r="T120" s="279" t="n"/>
      <c r="U120" s="30" t="n"/>
      <c r="V120" s="30" t="n"/>
    </row>
    <row r="121" ht="17.25" customHeight="1" s="340">
      <c r="A121" s="202" t="n"/>
      <c r="B121" s="198" t="n"/>
      <c r="C121" s="201" t="n"/>
      <c r="D121" s="354" t="n"/>
      <c r="E121" s="428" t="n"/>
      <c r="F121" s="429" t="n"/>
      <c r="G121" s="200" t="n"/>
      <c r="H121" s="200" t="n"/>
      <c r="I121" s="2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215" t="n"/>
      <c r="T121" s="279" t="n"/>
      <c r="U121" s="30" t="n"/>
      <c r="V121" s="30" t="n"/>
    </row>
    <row r="122" ht="17.25" customHeight="1" s="340">
      <c r="A122" s="202" t="n"/>
      <c r="B122" s="198" t="n"/>
      <c r="C122" s="201" t="n"/>
      <c r="D122" s="354" t="n"/>
      <c r="E122" s="428" t="n"/>
      <c r="F122" s="429" t="n"/>
      <c r="G122" s="200" t="n"/>
      <c r="H122" s="200" t="n"/>
      <c r="I122" s="2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215" t="n"/>
      <c r="T122" s="279" t="n"/>
      <c r="U122" s="30" t="n"/>
      <c r="V122" s="30" t="n"/>
    </row>
    <row r="123" ht="17.25" customHeight="1" s="340">
      <c r="A123" s="202" t="n"/>
      <c r="B123" s="198" t="n"/>
      <c r="C123" s="201" t="n"/>
      <c r="D123" s="354" t="n"/>
      <c r="E123" s="428" t="n"/>
      <c r="F123" s="429" t="n"/>
      <c r="G123" s="200" t="n"/>
      <c r="H123" s="200" t="n"/>
      <c r="I123" s="2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215" t="n"/>
      <c r="T123" s="279" t="n"/>
      <c r="U123" s="30" t="n"/>
      <c r="V123" s="30" t="n"/>
    </row>
    <row r="124" ht="17.25" customHeight="1" s="340">
      <c r="A124" s="202" t="n"/>
      <c r="B124" s="198" t="n"/>
      <c r="C124" s="201" t="n"/>
      <c r="D124" s="354" t="n"/>
      <c r="E124" s="428" t="n"/>
      <c r="F124" s="429" t="n"/>
      <c r="G124" s="219" t="n"/>
      <c r="H124" s="200" t="n"/>
      <c r="I124" s="2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215" t="n"/>
      <c r="T124" s="279" t="n"/>
      <c r="U124" s="30" t="n"/>
      <c r="V124" s="30" t="n"/>
    </row>
    <row r="125" ht="32.25" customHeight="1" s="340">
      <c r="A125" s="202" t="n"/>
      <c r="B125" s="198" t="n"/>
      <c r="C125" s="201" t="n"/>
      <c r="D125" s="354" t="n"/>
      <c r="E125" s="428" t="n"/>
      <c r="F125" s="429" t="n"/>
      <c r="G125" s="354" t="n"/>
      <c r="H125" s="200" t="n"/>
      <c r="I125" s="2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215" t="n"/>
      <c r="T125" s="279" t="n"/>
      <c r="U125" s="30" t="n"/>
      <c r="V125" s="30" t="n"/>
    </row>
    <row r="126" ht="30.75" customFormat="1" customHeight="1" s="55">
      <c r="A126" s="202" t="n"/>
      <c r="B126" s="198" t="n"/>
      <c r="C126" s="201" t="n"/>
      <c r="D126" s="354" t="n"/>
      <c r="E126" s="428" t="n"/>
      <c r="F126" s="429" t="n"/>
      <c r="G126" s="354" t="n"/>
      <c r="H126" s="200" t="n"/>
      <c r="I126" s="2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215" t="n"/>
      <c r="T126" s="280" t="n"/>
      <c r="U126" s="54" t="n"/>
      <c r="V126" s="54" t="n"/>
      <c r="X126" s="339" t="n"/>
    </row>
    <row r="127">
      <c r="A127" s="202" t="n"/>
      <c r="B127" s="198" t="n"/>
      <c r="C127" s="201" t="n"/>
      <c r="D127" s="354" t="n"/>
      <c r="E127" s="428" t="n"/>
      <c r="F127" s="429" t="n"/>
      <c r="G127" s="354" t="n"/>
      <c r="H127" s="200" t="n"/>
      <c r="I127" s="2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215" t="n"/>
      <c r="T127" s="279" t="n"/>
      <c r="U127" s="30" t="n"/>
      <c r="V127" s="30" t="n"/>
    </row>
    <row r="128">
      <c r="A128" s="202" t="n"/>
      <c r="B128" s="198" t="n"/>
      <c r="C128" s="201" t="n"/>
      <c r="D128" s="216" t="n"/>
      <c r="E128" s="217" t="n"/>
      <c r="F128" s="218" t="n"/>
      <c r="G128" s="354" t="n"/>
      <c r="H128" s="354" t="n"/>
      <c r="I128" s="2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215" t="n"/>
      <c r="T128" s="279" t="n"/>
      <c r="U128" s="30" t="n"/>
      <c r="V128" s="30" t="n"/>
    </row>
    <row r="129">
      <c r="A129" s="202" t="n"/>
      <c r="B129" s="198" t="n"/>
      <c r="C129" s="201" t="n"/>
      <c r="D129" s="216" t="n"/>
      <c r="E129" s="217" t="n"/>
      <c r="F129" s="218" t="n"/>
      <c r="G129" s="354" t="n"/>
      <c r="H129" s="354" t="n"/>
      <c r="I129" s="2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215" t="n"/>
      <c r="T129" s="279" t="n"/>
      <c r="U129" s="30" t="n"/>
      <c r="V129" s="30" t="n"/>
    </row>
    <row r="130">
      <c r="A130" s="202" t="n"/>
      <c r="B130" s="198" t="n"/>
      <c r="C130" s="201" t="n"/>
      <c r="D130" s="354" t="n"/>
      <c r="E130" s="428" t="n"/>
      <c r="F130" s="429" t="n"/>
      <c r="G130" s="219" t="n"/>
      <c r="H130" s="219" t="n"/>
      <c r="I130" s="2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215" t="n"/>
      <c r="T130" s="279" t="n"/>
      <c r="U130" s="30" t="n"/>
      <c r="V130" s="30" t="n"/>
    </row>
    <row r="131" ht="17.25" customHeight="1" s="340">
      <c r="A131" s="202" t="n"/>
      <c r="B131" s="198" t="n"/>
      <c r="C131" s="201" t="n"/>
      <c r="D131" s="354" t="n"/>
      <c r="E131" s="428" t="n"/>
      <c r="F131" s="429" t="n"/>
      <c r="G131" s="219" t="n"/>
      <c r="H131" s="219" t="n"/>
      <c r="I131" s="219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215" t="n"/>
      <c r="T131" s="279" t="n"/>
      <c r="U131" s="30" t="n"/>
      <c r="V131" s="30" t="n"/>
    </row>
    <row r="132">
      <c r="A132" s="202" t="n"/>
      <c r="B132" s="198" t="n"/>
      <c r="C132" s="201" t="n"/>
      <c r="D132" s="354" t="n"/>
      <c r="E132" s="428" t="n"/>
      <c r="F132" s="429" t="n"/>
      <c r="G132" s="354" t="n"/>
      <c r="H132" s="354" t="n"/>
      <c r="I132" s="354" t="n"/>
      <c r="J132" s="57" t="n"/>
      <c r="K132" s="57" t="n"/>
      <c r="L132" s="38" t="n"/>
      <c r="M132" s="38" t="n"/>
      <c r="N132" s="38" t="n"/>
      <c r="O132" s="57" t="n"/>
      <c r="P132" s="57" t="n"/>
      <c r="Q132" s="38" t="n"/>
      <c r="R132" s="37" t="n"/>
      <c r="S132" s="215" t="n"/>
      <c r="T132" s="279" t="n"/>
      <c r="U132" s="30" t="n"/>
      <c r="V132" s="30" t="n"/>
    </row>
    <row r="133">
      <c r="A133" s="202" t="n"/>
      <c r="B133" s="198" t="n"/>
      <c r="C133" s="201" t="n"/>
      <c r="D133" s="354" t="n"/>
      <c r="E133" s="428" t="n"/>
      <c r="F133" s="429" t="n"/>
      <c r="G133" s="354" t="n"/>
      <c r="H133" s="354" t="n"/>
      <c r="I133" s="354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7" t="n"/>
      <c r="S133" s="215" t="n"/>
      <c r="T133" s="279" t="n"/>
      <c r="U133" s="30" t="n"/>
      <c r="V133" s="30" t="n"/>
    </row>
    <row r="134">
      <c r="A134" s="202" t="n"/>
      <c r="B134" s="198" t="n"/>
      <c r="C134" s="201" t="n"/>
      <c r="D134" s="354" t="n"/>
      <c r="E134" s="428" t="n"/>
      <c r="F134" s="429" t="n"/>
      <c r="G134" s="354" t="n"/>
      <c r="H134" s="354" t="n"/>
      <c r="I134" s="354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7" t="n"/>
      <c r="S134" s="215" t="n"/>
      <c r="T134" s="29" t="n"/>
      <c r="U134" s="30" t="n"/>
      <c r="V134" s="30" t="n"/>
    </row>
    <row r="135" ht="16.5" customHeight="1" s="340" thickBot="1">
      <c r="A135" s="52" t="n"/>
      <c r="B135" s="56" t="n"/>
      <c r="C135" s="53" t="n"/>
      <c r="D135" s="432" t="n"/>
      <c r="E135" s="428" t="n"/>
      <c r="F135" s="433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7" t="n"/>
      <c r="S135" s="215" t="n"/>
      <c r="T135" s="29" t="n"/>
      <c r="U135" s="30" t="n"/>
      <c r="V135" s="30" t="n"/>
    </row>
    <row r="136" ht="15.75" customHeight="1" s="340" thickBot="1">
      <c r="A136" s="58" t="n"/>
      <c r="B136" s="59" t="n"/>
      <c r="C136" s="59" t="n"/>
      <c r="D136" s="60" t="n"/>
      <c r="E136" s="60" t="n"/>
      <c r="F136" s="60" t="n"/>
      <c r="G136" s="61" t="n"/>
      <c r="H136" s="61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1" t="n"/>
      <c r="T136" s="63" t="n"/>
      <c r="U136" s="64" t="n"/>
      <c r="V136" s="64" t="n"/>
    </row>
    <row r="137" ht="18" customHeight="1" s="340">
      <c r="A137" s="368" t="inlineStr">
        <is>
          <t>Nr.</t>
        </is>
      </c>
      <c r="B137" s="370" t="inlineStr">
        <is>
          <t>Measures</t>
        </is>
      </c>
      <c r="C137" s="372" t="inlineStr">
        <is>
          <t>Link to main problems</t>
        </is>
      </c>
      <c r="D137" s="372" t="inlineStr">
        <is>
          <t>Category</t>
        </is>
      </c>
      <c r="E137" s="350" t="inlineStr">
        <is>
          <t>Responsible</t>
        </is>
      </c>
      <c r="F137" s="382" t="n"/>
      <c r="G137" s="434" t="n"/>
      <c r="H137" s="350" t="n"/>
      <c r="I137" s="65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341" t="inlineStr">
        <is>
          <t>Impact
(%)</t>
        </is>
      </c>
      <c r="T137" s="343" t="inlineStr">
        <is>
          <t>Status</t>
        </is>
      </c>
      <c r="U137" s="350" t="inlineStr">
        <is>
          <t>Action</t>
        </is>
      </c>
      <c r="V137" s="352" t="inlineStr">
        <is>
          <t>Review</t>
        </is>
      </c>
      <c r="W137" s="67" t="n"/>
    </row>
    <row r="138" ht="33.75" customHeight="1" s="340">
      <c r="A138" s="435" t="n"/>
      <c r="B138" s="436" t="n"/>
      <c r="C138" s="436" t="n"/>
      <c r="D138" s="436" t="n"/>
      <c r="E138" s="437" t="n"/>
      <c r="F138" s="438" t="n"/>
      <c r="G138" s="439" t="n"/>
      <c r="H138" s="351" t="n"/>
      <c r="I138" s="68" t="inlineStr">
        <is>
          <t>Jan</t>
        </is>
      </c>
      <c r="J138" s="68" t="inlineStr">
        <is>
          <t>Feb</t>
        </is>
      </c>
      <c r="K138" s="68" t="inlineStr">
        <is>
          <t>Mar</t>
        </is>
      </c>
      <c r="L138" s="68" t="inlineStr">
        <is>
          <t>Apr</t>
        </is>
      </c>
      <c r="M138" s="68" t="inlineStr">
        <is>
          <t>May</t>
        </is>
      </c>
      <c r="N138" s="68" t="inlineStr">
        <is>
          <t>Jun</t>
        </is>
      </c>
      <c r="O138" s="68" t="inlineStr">
        <is>
          <t>Jul</t>
        </is>
      </c>
      <c r="P138" s="68" t="inlineStr">
        <is>
          <t>Aug</t>
        </is>
      </c>
      <c r="Q138" s="68" t="inlineStr">
        <is>
          <t>Sep</t>
        </is>
      </c>
      <c r="R138" s="68" t="inlineStr">
        <is>
          <t>Oct</t>
        </is>
      </c>
      <c r="S138" s="436" t="n"/>
      <c r="T138" s="436" t="n"/>
      <c r="U138" s="436" t="n"/>
      <c r="V138" s="440" t="n"/>
      <c r="W138" s="67" t="n"/>
    </row>
    <row r="139" ht="28" customHeight="1" s="340">
      <c r="A139" s="116">
        <f>Measures!A3</f>
        <v/>
      </c>
      <c r="B139" s="198">
        <f>Measures!B3</f>
        <v/>
      </c>
      <c r="C139" s="293">
        <f>Measures!G3</f>
        <v/>
      </c>
      <c r="D139" s="354">
        <f>Measures!C3</f>
        <v/>
      </c>
      <c r="E139" s="345">
        <f>Measures!D3</f>
        <v/>
      </c>
      <c r="F139" s="428" t="n"/>
      <c r="G139" s="429" t="n"/>
      <c r="H139" s="74" t="n"/>
      <c r="I139" s="74" t="n"/>
      <c r="J139" s="74" t="inlineStr">
        <is>
          <t>r</t>
        </is>
      </c>
      <c r="K139" s="74" t="inlineStr">
        <is>
          <t>s</t>
        </is>
      </c>
      <c r="L139" s="74" t="n"/>
      <c r="M139" s="74" t="n"/>
      <c r="N139" s="69" t="n"/>
      <c r="O139" s="69" t="n"/>
      <c r="P139" s="69" t="n"/>
      <c r="Q139" s="69" t="n"/>
      <c r="R139" s="71" t="n"/>
      <c r="S139" s="203" t="inlineStr">
        <is>
          <t>8-12%</t>
        </is>
      </c>
      <c r="T139" s="72" t="inlineStr">
        <is>
          <t>P</t>
        </is>
      </c>
      <c r="U139" s="201" t="inlineStr">
        <is>
          <t>Immediate</t>
        </is>
      </c>
      <c r="V139" s="201" t="inlineStr">
        <is>
          <t>Mar</t>
        </is>
      </c>
    </row>
    <row r="140" ht="28" customFormat="1" customHeight="1" s="115">
      <c r="A140" s="116">
        <f>Measures!A4</f>
        <v/>
      </c>
      <c r="B140" s="198">
        <f>Measures!B4</f>
        <v/>
      </c>
      <c r="C140" s="293">
        <f>Measures!G4</f>
        <v/>
      </c>
      <c r="D140" s="354">
        <f>Measures!C4</f>
        <v/>
      </c>
      <c r="E140" s="345" t="inlineStr">
        <is>
          <t>Maersk ( Akhil)</t>
        </is>
      </c>
      <c r="F140" s="428" t="n"/>
      <c r="G140" s="429" t="n"/>
      <c r="H140" s="74" t="n"/>
      <c r="I140" s="74" t="n"/>
      <c r="J140" s="74" t="inlineStr">
        <is>
          <t>r</t>
        </is>
      </c>
      <c r="K140" s="74" t="inlineStr">
        <is>
          <t>s</t>
        </is>
      </c>
      <c r="L140" s="74" t="n"/>
      <c r="M140" s="74" t="n"/>
      <c r="N140" s="127" t="n"/>
      <c r="O140" s="127" t="n"/>
      <c r="P140" s="127" t="n"/>
      <c r="Q140" s="127" t="n"/>
      <c r="R140" s="128" t="n"/>
      <c r="S140" s="203" t="inlineStr">
        <is>
          <t>10-15%</t>
        </is>
      </c>
      <c r="T140" s="72" t="inlineStr">
        <is>
          <t>P</t>
        </is>
      </c>
      <c r="U140" s="201" t="inlineStr">
        <is>
          <t>Immediate</t>
        </is>
      </c>
      <c r="V140" s="201" t="inlineStr">
        <is>
          <t>Mar</t>
        </is>
      </c>
      <c r="X140" s="339" t="n"/>
    </row>
    <row r="141" ht="28" customHeight="1" s="340">
      <c r="A141" s="116">
        <f>Measures!A5</f>
        <v/>
      </c>
      <c r="B141" s="198">
        <f>Measures!B5</f>
        <v/>
      </c>
      <c r="C141" s="293">
        <f>Measures!G5</f>
        <v/>
      </c>
      <c r="D141" s="354">
        <f>Measures!C5</f>
        <v/>
      </c>
      <c r="E141" s="345" t="inlineStr">
        <is>
          <t>Maersk (Timmy)</t>
        </is>
      </c>
      <c r="F141" s="428" t="n"/>
      <c r="G141" s="429" t="n"/>
      <c r="H141" s="74" t="n"/>
      <c r="I141" s="74" t="n"/>
      <c r="J141" s="69" t="n"/>
      <c r="K141" s="74" t="inlineStr">
        <is>
          <t>r</t>
        </is>
      </c>
      <c r="L141" s="74" t="inlineStr">
        <is>
          <t>s</t>
        </is>
      </c>
      <c r="M141" s="69" t="n"/>
      <c r="N141" s="129" t="n"/>
      <c r="O141" s="129" t="n"/>
      <c r="P141" s="69" t="n"/>
      <c r="Q141" s="69" t="n"/>
      <c r="R141" s="69" t="n"/>
      <c r="S141" s="203" t="inlineStr">
        <is>
          <t>85-90%</t>
        </is>
      </c>
      <c r="T141" s="72" t="inlineStr">
        <is>
          <t>P</t>
        </is>
      </c>
      <c r="U141" s="201" t="inlineStr">
        <is>
          <t>Mar</t>
        </is>
      </c>
      <c r="V141" s="201" t="inlineStr">
        <is>
          <t>Mar</t>
        </is>
      </c>
    </row>
    <row r="142" ht="28" customHeight="1" s="340">
      <c r="A142" s="326">
        <f>Measures!A6</f>
        <v/>
      </c>
      <c r="B142" s="327">
        <f>Measures!B6</f>
        <v/>
      </c>
      <c r="C142" s="328">
        <f>Measures!G6</f>
        <v/>
      </c>
      <c r="D142" s="329">
        <f>Measures!C6</f>
        <v/>
      </c>
      <c r="E142" s="349" t="inlineStr">
        <is>
          <t>Bosch</t>
        </is>
      </c>
      <c r="F142" s="428" t="n"/>
      <c r="G142" s="429" t="n"/>
      <c r="H142" s="330" t="n"/>
      <c r="I142" s="330" t="n"/>
      <c r="J142" s="331" t="n"/>
      <c r="K142" s="330" t="n"/>
      <c r="L142" s="330" t="n"/>
      <c r="M142" s="331" t="n"/>
      <c r="N142" s="332" t="n"/>
      <c r="O142" s="332" t="n"/>
      <c r="P142" s="331" t="n"/>
      <c r="Q142" s="331" t="n"/>
      <c r="R142" s="331" t="n"/>
      <c r="S142" s="333" t="inlineStr">
        <is>
          <t>4-8%</t>
        </is>
      </c>
      <c r="T142" s="334" t="n"/>
      <c r="U142" s="335" t="n"/>
      <c r="V142" s="335" t="n"/>
    </row>
    <row r="143" ht="28" customHeight="1" s="340">
      <c r="A143" s="326">
        <f>Measures!A7</f>
        <v/>
      </c>
      <c r="B143" s="327">
        <f>Measures!B7</f>
        <v/>
      </c>
      <c r="C143" s="328">
        <f>Measures!G7</f>
        <v/>
      </c>
      <c r="D143" s="329">
        <f>Measures!C7</f>
        <v/>
      </c>
      <c r="E143" s="349" t="inlineStr">
        <is>
          <t>Bosch</t>
        </is>
      </c>
      <c r="F143" s="428" t="n"/>
      <c r="G143" s="429" t="n"/>
      <c r="H143" s="330" t="n"/>
      <c r="I143" s="330" t="n"/>
      <c r="J143" s="331" t="n"/>
      <c r="K143" s="330" t="n"/>
      <c r="L143" s="330" t="n"/>
      <c r="M143" s="331" t="n"/>
      <c r="N143" s="332" t="n"/>
      <c r="O143" s="332" t="n"/>
      <c r="P143" s="331" t="n"/>
      <c r="Q143" s="331" t="n"/>
      <c r="R143" s="331" t="n"/>
      <c r="S143" s="333" t="inlineStr">
        <is>
          <t>10-14%</t>
        </is>
      </c>
      <c r="T143" s="334" t="n"/>
      <c r="U143" s="335" t="n"/>
      <c r="V143" s="335" t="n"/>
    </row>
    <row r="144" ht="28" customHeight="1" s="340">
      <c r="A144" s="326">
        <f>Measures!A8</f>
        <v/>
      </c>
      <c r="B144" s="327">
        <f>Measures!B8</f>
        <v/>
      </c>
      <c r="C144" s="328">
        <f>Measures!G8</f>
        <v/>
      </c>
      <c r="D144" s="329">
        <f>Measures!C8</f>
        <v/>
      </c>
      <c r="E144" s="349" t="inlineStr">
        <is>
          <t>Bosch</t>
        </is>
      </c>
      <c r="F144" s="428" t="n"/>
      <c r="G144" s="429" t="n"/>
      <c r="H144" s="330" t="n"/>
      <c r="I144" s="330" t="n"/>
      <c r="J144" s="331" t="n"/>
      <c r="K144" s="330" t="n"/>
      <c r="L144" s="330" t="n"/>
      <c r="M144" s="331" t="n"/>
      <c r="N144" s="332" t="n"/>
      <c r="O144" s="332" t="n"/>
      <c r="P144" s="331" t="n"/>
      <c r="Q144" s="331" t="n"/>
      <c r="R144" s="331" t="n"/>
      <c r="S144" s="333" t="inlineStr">
        <is>
          <t>10-12%</t>
        </is>
      </c>
      <c r="T144" s="334" t="n"/>
      <c r="U144" s="335" t="n"/>
      <c r="V144" s="335" t="n"/>
    </row>
    <row r="145" ht="28" customHeight="1" s="340">
      <c r="A145" s="116">
        <f>Measures!A9</f>
        <v/>
      </c>
      <c r="B145" s="198">
        <f>Measures!B9</f>
        <v/>
      </c>
      <c r="C145" s="293">
        <f>Measures!G9</f>
        <v/>
      </c>
      <c r="D145" s="354">
        <f>Measures!C9</f>
        <v/>
      </c>
      <c r="E145" s="345" t="inlineStr">
        <is>
          <t>Maersk (Timmy)</t>
        </is>
      </c>
      <c r="F145" s="428" t="n"/>
      <c r="G145" s="429" t="n"/>
      <c r="H145" s="74" t="n"/>
      <c r="I145" s="74" t="n"/>
      <c r="J145" s="70" t="n"/>
      <c r="K145" s="74" t="inlineStr">
        <is>
          <t>r</t>
        </is>
      </c>
      <c r="L145" s="74" t="inlineStr">
        <is>
          <t>s</t>
        </is>
      </c>
      <c r="M145" s="69" t="n"/>
      <c r="N145" s="69" t="n"/>
      <c r="O145" s="69" t="n"/>
      <c r="P145" s="69" t="n"/>
      <c r="Q145" s="69" t="n"/>
      <c r="R145" s="69" t="n"/>
      <c r="S145" s="203" t="inlineStr">
        <is>
          <t>8-12%</t>
        </is>
      </c>
      <c r="T145" s="72" t="inlineStr">
        <is>
          <t>P</t>
        </is>
      </c>
      <c r="U145" s="201" t="inlineStr">
        <is>
          <t>Mar</t>
        </is>
      </c>
      <c r="V145" s="201" t="inlineStr">
        <is>
          <t>Mar</t>
        </is>
      </c>
    </row>
    <row r="146" ht="28" customFormat="1" customHeight="1" s="55">
      <c r="A146" s="116">
        <f>Measures!A10</f>
        <v/>
      </c>
      <c r="B146" s="198">
        <f>Measures!B10</f>
        <v/>
      </c>
      <c r="C146" s="293">
        <f>Measures!G10</f>
        <v/>
      </c>
      <c r="D146" s="354">
        <f>Measures!C10</f>
        <v/>
      </c>
      <c r="E146" s="345" t="inlineStr">
        <is>
          <t>Maersk (Timmy)</t>
        </is>
      </c>
      <c r="F146" s="428" t="n"/>
      <c r="G146" s="429" t="n"/>
      <c r="H146" s="74" t="n"/>
      <c r="I146" s="74" t="n"/>
      <c r="J146" s="70" t="n"/>
      <c r="K146" s="74" t="inlineStr">
        <is>
          <t>r</t>
        </is>
      </c>
      <c r="L146" s="74" t="inlineStr">
        <is>
          <t>s</t>
        </is>
      </c>
      <c r="M146" s="74" t="n"/>
      <c r="N146" s="74" t="n"/>
      <c r="O146" s="74" t="n"/>
      <c r="P146" s="74" t="n"/>
      <c r="Q146" s="74" t="n"/>
      <c r="R146" s="74" t="n"/>
      <c r="S146" s="203" t="inlineStr">
        <is>
          <t>5-8%</t>
        </is>
      </c>
      <c r="T146" s="72" t="inlineStr">
        <is>
          <t>P</t>
        </is>
      </c>
      <c r="U146" s="201" t="inlineStr">
        <is>
          <t>Mar</t>
        </is>
      </c>
      <c r="V146" s="201" t="inlineStr">
        <is>
          <t>Mar</t>
        </is>
      </c>
      <c r="X146" s="339" t="n"/>
    </row>
    <row r="147" ht="28" customFormat="1" customHeight="1" s="55">
      <c r="A147" s="116">
        <f>Measures!A11</f>
        <v/>
      </c>
      <c r="B147" s="198">
        <f>Measures!B11</f>
        <v/>
      </c>
      <c r="C147" s="293">
        <f>Measures!G11</f>
        <v/>
      </c>
      <c r="D147" s="354">
        <f>Measures!C11</f>
        <v/>
      </c>
      <c r="E147" s="345" t="inlineStr">
        <is>
          <t>Maersk (Harsh)</t>
        </is>
      </c>
      <c r="F147" s="428" t="n"/>
      <c r="G147" s="429" t="n"/>
      <c r="H147" s="74" t="n"/>
      <c r="I147" s="74" t="n"/>
      <c r="J147" s="70" t="n"/>
      <c r="K147" s="74" t="inlineStr">
        <is>
          <t>r</t>
        </is>
      </c>
      <c r="L147" s="74" t="inlineStr">
        <is>
          <t>s</t>
        </is>
      </c>
      <c r="M147" s="70" t="n"/>
      <c r="N147" s="74" t="n"/>
      <c r="O147" s="74" t="n"/>
      <c r="P147" s="74" t="n"/>
      <c r="Q147" s="74" t="n"/>
      <c r="R147" s="74" t="n"/>
      <c r="S147" s="203" t="inlineStr">
        <is>
          <t>5-7%</t>
        </is>
      </c>
      <c r="T147" s="72" t="inlineStr">
        <is>
          <t>P</t>
        </is>
      </c>
      <c r="U147" s="201" t="inlineStr">
        <is>
          <t>Mar</t>
        </is>
      </c>
      <c r="V147" s="201" t="inlineStr">
        <is>
          <t>Mar</t>
        </is>
      </c>
      <c r="X147" s="339" t="n"/>
    </row>
    <row r="148" ht="28" customFormat="1" customHeight="1" s="55">
      <c r="A148" s="116">
        <f>Measures!A12</f>
        <v/>
      </c>
      <c r="B148" s="198">
        <f>Measures!B12</f>
        <v/>
      </c>
      <c r="C148" s="293">
        <f>Measures!G12</f>
        <v/>
      </c>
      <c r="D148" s="354">
        <f>Measures!C12</f>
        <v/>
      </c>
      <c r="E148" s="345" t="inlineStr">
        <is>
          <t>Maersk ( Josh)</t>
        </is>
      </c>
      <c r="F148" s="428" t="n"/>
      <c r="G148" s="429" t="n"/>
      <c r="H148" s="74" t="n"/>
      <c r="I148" s="74" t="n"/>
      <c r="J148" s="70" t="n"/>
      <c r="K148" s="74" t="inlineStr">
        <is>
          <t>r</t>
        </is>
      </c>
      <c r="L148" s="74" t="inlineStr">
        <is>
          <t>s</t>
        </is>
      </c>
      <c r="M148" s="74" t="n"/>
      <c r="N148" s="74" t="n"/>
      <c r="O148" s="74" t="n"/>
      <c r="P148" s="74" t="n"/>
      <c r="Q148" s="74" t="n"/>
      <c r="R148" s="74" t="n"/>
      <c r="S148" s="203" t="inlineStr">
        <is>
          <t>2-4%</t>
        </is>
      </c>
      <c r="T148" s="72" t="inlineStr">
        <is>
          <t>P</t>
        </is>
      </c>
      <c r="U148" s="201" t="inlineStr">
        <is>
          <t>Mar</t>
        </is>
      </c>
      <c r="V148" s="201" t="inlineStr">
        <is>
          <t>Mar</t>
        </is>
      </c>
      <c r="X148" s="339" t="n"/>
    </row>
    <row r="149" ht="28" customFormat="1" customHeight="1" s="55">
      <c r="A149" s="116">
        <f>Measures!A13</f>
        <v/>
      </c>
      <c r="B149" s="198">
        <f>Measures!B13</f>
        <v/>
      </c>
      <c r="C149" s="293">
        <f>Measures!G13</f>
        <v/>
      </c>
      <c r="D149" s="354">
        <f>Measures!C13</f>
        <v/>
      </c>
      <c r="E149" s="345" t="inlineStr">
        <is>
          <t>Maersk ( Josh)</t>
        </is>
      </c>
      <c r="F149" s="428" t="n"/>
      <c r="G149" s="429" t="n"/>
      <c r="H149" s="74" t="n"/>
      <c r="I149" s="74" t="n"/>
      <c r="J149" s="70" t="n"/>
      <c r="K149" s="74" t="inlineStr">
        <is>
          <t>r</t>
        </is>
      </c>
      <c r="L149" s="74" t="inlineStr">
        <is>
          <t>s</t>
        </is>
      </c>
      <c r="M149" s="74" t="n"/>
      <c r="N149" s="74" t="n"/>
      <c r="O149" s="74" t="n"/>
      <c r="P149" s="74" t="n"/>
      <c r="Q149" s="74" t="n"/>
      <c r="R149" s="74" t="n"/>
      <c r="S149" s="203" t="inlineStr">
        <is>
          <t>2-4%</t>
        </is>
      </c>
      <c r="T149" s="72" t="inlineStr">
        <is>
          <t>P</t>
        </is>
      </c>
      <c r="U149" s="201" t="inlineStr">
        <is>
          <t>Mar</t>
        </is>
      </c>
      <c r="V149" s="201" t="inlineStr">
        <is>
          <t>Mar</t>
        </is>
      </c>
      <c r="X149" s="339" t="n"/>
    </row>
    <row r="150" ht="28" customFormat="1" customHeight="1" s="55">
      <c r="A150" s="116">
        <f>Measures!A14</f>
        <v/>
      </c>
      <c r="B150" s="198">
        <f>Measures!B14</f>
        <v/>
      </c>
      <c r="C150" s="293">
        <f>Measures!G14</f>
        <v/>
      </c>
      <c r="D150" s="354">
        <f>Measures!C14</f>
        <v/>
      </c>
      <c r="E150" s="345" t="inlineStr">
        <is>
          <t>MAersk ( Jacob)</t>
        </is>
      </c>
      <c r="F150" s="428" t="n"/>
      <c r="G150" s="429" t="n"/>
      <c r="H150" s="74" t="n"/>
      <c r="I150" s="74" t="n"/>
      <c r="J150" s="70" t="n"/>
      <c r="K150" s="74" t="inlineStr">
        <is>
          <t>r</t>
        </is>
      </c>
      <c r="L150" s="74" t="inlineStr">
        <is>
          <t>s</t>
        </is>
      </c>
      <c r="M150" s="74" t="n"/>
      <c r="N150" s="74" t="n"/>
      <c r="O150" s="74" t="n"/>
      <c r="P150" s="74" t="n"/>
      <c r="Q150" s="74" t="n"/>
      <c r="R150" s="74" t="n"/>
      <c r="S150" s="203" t="inlineStr">
        <is>
          <t>5-7%</t>
        </is>
      </c>
      <c r="T150" s="72" t="inlineStr">
        <is>
          <t>P</t>
        </is>
      </c>
      <c r="U150" s="201" t="inlineStr">
        <is>
          <t>Mar</t>
        </is>
      </c>
      <c r="V150" s="201" t="inlineStr">
        <is>
          <t>Mar</t>
        </is>
      </c>
      <c r="X150" s="339" t="n"/>
    </row>
    <row r="151" ht="28" customFormat="1" customHeight="1" s="55">
      <c r="A151" s="116">
        <f>Measures!A15</f>
        <v/>
      </c>
      <c r="B151" s="198">
        <f>Measures!B15</f>
        <v/>
      </c>
      <c r="C151" s="293">
        <f>Measures!G15</f>
        <v/>
      </c>
      <c r="D151" s="354">
        <f>Measures!C15</f>
        <v/>
      </c>
      <c r="E151" s="345" t="inlineStr">
        <is>
          <t>Maersk (Timmy)</t>
        </is>
      </c>
      <c r="F151" s="428" t="n"/>
      <c r="G151" s="429" t="n"/>
      <c r="H151" s="74" t="n"/>
      <c r="I151" s="74" t="n"/>
      <c r="J151" s="70" t="n"/>
      <c r="K151" s="74" t="inlineStr">
        <is>
          <t>r</t>
        </is>
      </c>
      <c r="L151" s="74" t="inlineStr">
        <is>
          <t>s</t>
        </is>
      </c>
      <c r="M151" s="74" t="n"/>
      <c r="N151" s="74" t="n"/>
      <c r="O151" s="74" t="n"/>
      <c r="P151" s="74" t="n"/>
      <c r="Q151" s="74" t="n"/>
      <c r="R151" s="74" t="n"/>
      <c r="S151" s="203" t="inlineStr">
        <is>
          <t>5-7%</t>
        </is>
      </c>
      <c r="T151" s="72" t="inlineStr">
        <is>
          <t>P</t>
        </is>
      </c>
      <c r="U151" s="201" t="inlineStr">
        <is>
          <t>Mar</t>
        </is>
      </c>
      <c r="V151" s="201" t="inlineStr">
        <is>
          <t>Mar</t>
        </is>
      </c>
      <c r="X151" s="339" t="n"/>
    </row>
    <row r="152" ht="28" customFormat="1" customHeight="1" s="55">
      <c r="A152" s="116">
        <f>Measures!A16</f>
        <v/>
      </c>
      <c r="B152" s="198">
        <f>Measures!B16</f>
        <v/>
      </c>
      <c r="C152" s="293">
        <f>Measures!G16</f>
        <v/>
      </c>
      <c r="D152" s="354">
        <f>Measures!C16</f>
        <v/>
      </c>
      <c r="E152" s="345" t="inlineStr">
        <is>
          <t>Maersk ( Alberto)</t>
        </is>
      </c>
      <c r="F152" s="428" t="n"/>
      <c r="G152" s="429" t="n"/>
      <c r="H152" s="74" t="n"/>
      <c r="I152" s="74" t="n"/>
      <c r="J152" s="70" t="n"/>
      <c r="K152" s="74" t="inlineStr">
        <is>
          <t>r</t>
        </is>
      </c>
      <c r="L152" s="74" t="inlineStr">
        <is>
          <t>s</t>
        </is>
      </c>
      <c r="M152" s="74" t="n"/>
      <c r="N152" s="74" t="n"/>
      <c r="O152" s="74" t="n"/>
      <c r="P152" s="74" t="n"/>
      <c r="Q152" s="74" t="n"/>
      <c r="R152" s="74" t="n"/>
      <c r="S152" s="203" t="inlineStr">
        <is>
          <t>5-8%</t>
        </is>
      </c>
      <c r="T152" s="72" t="inlineStr">
        <is>
          <t>P</t>
        </is>
      </c>
      <c r="U152" s="201" t="inlineStr">
        <is>
          <t>Mar</t>
        </is>
      </c>
      <c r="V152" s="201" t="inlineStr">
        <is>
          <t>Mar</t>
        </is>
      </c>
      <c r="X152" s="339" t="n"/>
    </row>
    <row r="153" ht="70" customFormat="1" customHeight="1" s="55">
      <c r="A153" s="116">
        <f>Measures!A17</f>
        <v/>
      </c>
      <c r="B153" s="198">
        <f>Measures!B17</f>
        <v/>
      </c>
      <c r="C153" s="293">
        <f>Measures!G17</f>
        <v/>
      </c>
      <c r="D153" s="354">
        <f>Measures!C17</f>
        <v/>
      </c>
      <c r="E153" s="345" t="inlineStr">
        <is>
          <t>Maersk ( CT tower - Stefan K)</t>
        </is>
      </c>
      <c r="F153" s="428" t="n"/>
      <c r="G153" s="429" t="n"/>
      <c r="H153" s="95" t="n"/>
      <c r="I153" s="74" t="n"/>
      <c r="J153" s="74" t="inlineStr">
        <is>
          <t>r</t>
        </is>
      </c>
      <c r="K153" s="204" t="n"/>
      <c r="L153" s="74" t="inlineStr">
        <is>
          <t>s</t>
        </is>
      </c>
      <c r="M153" s="74" t="n"/>
      <c r="N153" s="74" t="n"/>
      <c r="O153" s="74" t="n"/>
      <c r="P153" s="74" t="n"/>
      <c r="Q153" s="74" t="n"/>
      <c r="R153" s="74" t="n"/>
      <c r="S153" s="203" t="inlineStr">
        <is>
          <t>5-8%</t>
        </is>
      </c>
      <c r="T153" s="72" t="inlineStr">
        <is>
          <t>P</t>
        </is>
      </c>
      <c r="U153" s="201" t="inlineStr">
        <is>
          <t>Mar</t>
        </is>
      </c>
      <c r="V153" s="201" t="inlineStr">
        <is>
          <t>Apr</t>
        </is>
      </c>
      <c r="X153" s="339" t="n"/>
    </row>
    <row r="154" ht="70" customFormat="1" customHeight="1" s="55">
      <c r="A154" s="116">
        <f>Measures!A18</f>
        <v/>
      </c>
      <c r="B154" s="198">
        <f>Measures!B18</f>
        <v/>
      </c>
      <c r="C154" s="293">
        <f>Measures!G18</f>
        <v/>
      </c>
      <c r="D154" s="354">
        <f>Measures!C18</f>
        <v/>
      </c>
      <c r="E154" s="345" t="inlineStr">
        <is>
          <t>Maersk ( CT tower - Stefan K)</t>
        </is>
      </c>
      <c r="F154" s="428" t="n"/>
      <c r="G154" s="429" t="n"/>
      <c r="H154" s="95" t="n"/>
      <c r="I154" s="74" t="n"/>
      <c r="J154" s="74" t="inlineStr">
        <is>
          <t>r</t>
        </is>
      </c>
      <c r="K154" s="70" t="n"/>
      <c r="L154" s="74" t="inlineStr">
        <is>
          <t>s</t>
        </is>
      </c>
      <c r="M154" s="74" t="n"/>
      <c r="N154" s="74" t="n"/>
      <c r="O154" s="74" t="n"/>
      <c r="P154" s="74" t="n"/>
      <c r="Q154" s="74" t="n"/>
      <c r="R154" s="74" t="n"/>
      <c r="S154" s="203" t="n"/>
      <c r="T154" s="72" t="n"/>
      <c r="U154" s="201" t="n"/>
      <c r="V154" s="201" t="n"/>
      <c r="X154" s="339" t="n"/>
    </row>
    <row r="155" ht="28" customFormat="1" customHeight="1" s="55">
      <c r="A155" s="116">
        <f>Measures!A19</f>
        <v/>
      </c>
      <c r="B155" s="198">
        <f>Measures!B19</f>
        <v/>
      </c>
      <c r="C155" s="293">
        <f>Measures!G19</f>
        <v/>
      </c>
      <c r="D155" s="354">
        <f>Measures!C19</f>
        <v/>
      </c>
      <c r="E155" s="345" t="inlineStr">
        <is>
          <t>Maersk ( CT tower - Stefan K)</t>
        </is>
      </c>
      <c r="F155" s="428" t="n"/>
      <c r="G155" s="429" t="n"/>
      <c r="H155" s="95" t="n"/>
      <c r="I155" s="74" t="n"/>
      <c r="J155" s="74" t="n"/>
      <c r="K155" s="74" t="inlineStr">
        <is>
          <t>r</t>
        </is>
      </c>
      <c r="L155" s="74" t="inlineStr">
        <is>
          <t>s</t>
        </is>
      </c>
      <c r="M155" s="74" t="n"/>
      <c r="N155" s="74" t="n"/>
      <c r="O155" s="74" t="n"/>
      <c r="P155" s="74" t="n"/>
      <c r="Q155" s="74" t="n"/>
      <c r="R155" s="74" t="n"/>
      <c r="S155" s="203" t="n"/>
      <c r="T155" s="72" t="n"/>
      <c r="U155" s="201" t="n"/>
      <c r="V155" s="201" t="n"/>
      <c r="X155" s="339" t="n"/>
    </row>
    <row r="156" ht="28" customFormat="1" customHeight="1" s="55">
      <c r="A156" s="116">
        <f>Measures!A20</f>
        <v/>
      </c>
      <c r="B156" s="198">
        <f>Measures!B20</f>
        <v/>
      </c>
      <c r="C156" s="293">
        <f>Measures!G20</f>
        <v/>
      </c>
      <c r="D156" s="354">
        <f>Measures!C20</f>
        <v/>
      </c>
      <c r="E156" s="345" t="inlineStr">
        <is>
          <t>Maersk (Timmy)</t>
        </is>
      </c>
      <c r="F156" s="428" t="n"/>
      <c r="G156" s="429" t="n"/>
      <c r="H156" s="95" t="n"/>
      <c r="I156" s="74" t="n"/>
      <c r="J156" s="74" t="n"/>
      <c r="K156" s="74" t="inlineStr">
        <is>
          <t>r</t>
        </is>
      </c>
      <c r="L156" s="74" t="inlineStr">
        <is>
          <t>s</t>
        </is>
      </c>
      <c r="M156" s="74" t="n"/>
      <c r="N156" s="74" t="n"/>
      <c r="O156" s="74" t="n"/>
      <c r="P156" s="74" t="n"/>
      <c r="Q156" s="74" t="n"/>
      <c r="R156" s="74" t="n"/>
      <c r="S156" s="203" t="n"/>
      <c r="T156" s="72" t="n"/>
      <c r="U156" s="201" t="n"/>
      <c r="V156" s="201" t="n"/>
      <c r="X156" s="339" t="n"/>
    </row>
    <row r="157" ht="28" customFormat="1" customHeight="1" s="55">
      <c r="A157" s="116" t="n"/>
      <c r="B157" s="198" t="n"/>
      <c r="C157" s="293" t="n"/>
      <c r="D157" s="354" t="n"/>
      <c r="E157" s="346" t="n"/>
      <c r="F157" s="347" t="n"/>
      <c r="G157" s="348" t="n"/>
      <c r="H157" s="95" t="n"/>
      <c r="I157" s="74" t="n"/>
      <c r="J157" s="74" t="n"/>
      <c r="K157" s="204" t="n"/>
      <c r="L157" s="74" t="n"/>
      <c r="M157" s="74" t="n"/>
      <c r="N157" s="74" t="n"/>
      <c r="O157" s="74" t="n"/>
      <c r="P157" s="74" t="n"/>
      <c r="Q157" s="74" t="n"/>
      <c r="R157" s="74" t="n"/>
      <c r="S157" s="203" t="n"/>
      <c r="T157" s="72" t="n"/>
      <c r="U157" s="201" t="n"/>
      <c r="V157" s="201" t="n"/>
      <c r="X157" s="339" t="n"/>
    </row>
    <row r="158" ht="28" customHeight="1" s="340">
      <c r="A158" s="73" t="n"/>
      <c r="B158" s="198" t="n"/>
      <c r="C158" s="293" t="n"/>
      <c r="D158" s="354" t="n"/>
      <c r="E158" s="345" t="n"/>
      <c r="F158" s="428" t="n"/>
      <c r="G158" s="429" t="n"/>
      <c r="H158" s="95" t="n"/>
      <c r="I158" s="74" t="n"/>
      <c r="J158" s="74" t="n"/>
      <c r="K158" s="70" t="n"/>
      <c r="L158" s="74" t="n"/>
      <c r="M158" s="70" t="n"/>
      <c r="N158" s="74" t="n"/>
      <c r="O158" s="74" t="n"/>
      <c r="P158" s="74" t="n"/>
      <c r="Q158" s="74" t="n"/>
      <c r="R158" s="74" t="n"/>
      <c r="S158" s="203" t="inlineStr">
        <is>
          <t>4-6%</t>
        </is>
      </c>
      <c r="T158" s="72" t="inlineStr">
        <is>
          <t>P</t>
        </is>
      </c>
      <c r="U158" s="201" t="inlineStr">
        <is>
          <t>Feb</t>
        </is>
      </c>
      <c r="V158" s="201" t="inlineStr">
        <is>
          <t>May</t>
        </is>
      </c>
    </row>
    <row r="159" ht="20.25" customHeight="1" s="340">
      <c r="A159" s="76" t="inlineStr">
        <is>
          <t>Status:</t>
        </is>
      </c>
      <c r="B159" s="75" t="n"/>
      <c r="C159" s="75" t="n"/>
      <c r="D159" s="77" t="n"/>
      <c r="E159" s="75" t="n"/>
      <c r="F159" s="75" t="n"/>
      <c r="G159" s="75" t="n"/>
      <c r="H159" s="75" t="n"/>
      <c r="J159" s="78" t="inlineStr">
        <is>
          <t>Measure:</t>
        </is>
      </c>
      <c r="K159" s="79" t="n"/>
      <c r="L159" s="79" t="n"/>
      <c r="M159" s="79" t="n"/>
      <c r="O159" s="80" t="n"/>
    </row>
    <row r="160" ht="45" customHeight="1" s="340">
      <c r="A160" s="81" t="inlineStr">
        <is>
          <t>P        C Activity finished</t>
        </is>
      </c>
      <c r="B160" s="82" t="inlineStr">
        <is>
          <t>P = Responsibility and due date defined</t>
        </is>
      </c>
      <c r="C160" s="83" t="inlineStr">
        <is>
          <t>D</t>
        </is>
      </c>
      <c r="D160" s="5" t="inlineStr">
        <is>
          <t xml:space="preserve"> D = Activity finished</t>
        </is>
      </c>
      <c r="E160" s="5" t="n"/>
      <c r="F160" s="5" t="n"/>
      <c r="J160" s="84" t="inlineStr">
        <is>
          <t>r</t>
        </is>
      </c>
      <c r="K160" s="85" t="inlineStr">
        <is>
          <t>r = Planned beginning</t>
        </is>
      </c>
      <c r="L160" s="86" t="n"/>
      <c r="M160" s="86" t="n"/>
      <c r="O160" s="87" t="inlineStr">
        <is>
          <t>s</t>
        </is>
      </c>
      <c r="P160" s="85" t="inlineStr">
        <is>
          <t>s = Planned end</t>
        </is>
      </c>
      <c r="S160" s="358" t="n"/>
      <c r="U160" s="358" t="n"/>
      <c r="V160" s="358" t="n"/>
    </row>
    <row r="161" ht="35" customFormat="1" customHeight="1" s="5">
      <c r="A161" s="81" t="inlineStr">
        <is>
          <t>C</t>
        </is>
      </c>
      <c r="B161" s="5" t="inlineStr">
        <is>
          <t>C = Intermediate result achieved</t>
        </is>
      </c>
      <c r="C161" s="81" t="inlineStr">
        <is>
          <t>A</t>
        </is>
      </c>
      <c r="D161" s="5" t="inlineStr">
        <is>
          <t>A = Effectiveness proven</t>
        </is>
      </c>
      <c r="G161" s="339" t="n"/>
      <c r="H161" s="339" t="n"/>
      <c r="I161" s="339" t="n"/>
      <c r="J161" s="89" t="inlineStr">
        <is>
          <t>p</t>
        </is>
      </c>
      <c r="K161" s="85" t="inlineStr">
        <is>
          <t>p = Actual beginning</t>
        </is>
      </c>
      <c r="L161" s="85" t="n"/>
      <c r="M161" s="90" t="n"/>
      <c r="N161" s="339" t="n"/>
      <c r="O161" s="91" t="inlineStr">
        <is>
          <t>q</t>
        </is>
      </c>
      <c r="P161" s="85" t="inlineStr">
        <is>
          <t>q = Actual end</t>
        </is>
      </c>
      <c r="Q161" s="90" t="n"/>
      <c r="R161" s="339" t="n"/>
      <c r="U161" s="358" t="n"/>
      <c r="V161" s="358" t="n"/>
      <c r="W161" s="339" t="n"/>
      <c r="X161" s="339" t="n"/>
    </row>
    <row r="162" customFormat="1" s="5">
      <c r="A162" s="339" t="n"/>
      <c r="B162" s="339" t="n"/>
      <c r="C162" s="339" t="n"/>
      <c r="D162" s="339" t="n"/>
      <c r="E162" s="339" t="n"/>
      <c r="F162" s="339" t="n"/>
      <c r="G162" s="339" t="n"/>
      <c r="H162" s="339" t="n"/>
      <c r="I162" s="339" t="n"/>
      <c r="J162" s="339" t="n"/>
      <c r="K162" s="339" t="n"/>
      <c r="L162" s="339" t="n"/>
      <c r="M162" s="339" t="n"/>
      <c r="N162" s="339" t="n"/>
      <c r="O162" s="339" t="n"/>
      <c r="P162" s="339" t="n"/>
      <c r="Q162" s="339" t="n"/>
      <c r="R162" s="339" t="n"/>
      <c r="U162" s="358" t="n"/>
      <c r="V162" s="358" t="n"/>
      <c r="W162" s="339" t="n"/>
      <c r="X162" s="339" t="n"/>
    </row>
    <row r="163" customFormat="1" s="5">
      <c r="A163" s="92" t="n"/>
      <c r="B163" s="339" t="n"/>
      <c r="C163" s="339" t="n"/>
      <c r="D163" s="339" t="n"/>
      <c r="E163" s="339" t="n"/>
      <c r="F163" s="339" t="n"/>
      <c r="G163" s="339" t="n"/>
      <c r="H163" s="339" t="n"/>
      <c r="I163" s="339" t="n"/>
      <c r="J163" s="339" t="n"/>
      <c r="K163" s="339" t="n"/>
      <c r="L163" s="339" t="n"/>
      <c r="M163" s="339" t="n"/>
      <c r="N163" s="339" t="n"/>
      <c r="O163" s="339" t="n"/>
      <c r="P163" s="339" t="n"/>
      <c r="Q163" s="339" t="n"/>
      <c r="R163" s="339" t="n"/>
      <c r="S163" s="339" t="n"/>
      <c r="W163" s="339" t="n"/>
      <c r="X163" s="339" t="n"/>
    </row>
    <row r="164" customFormat="1" s="5">
      <c r="A164" s="339" t="n"/>
      <c r="B164" s="339" t="n"/>
      <c r="C164" s="339" t="n"/>
      <c r="D164" s="339" t="n"/>
      <c r="E164" s="339" t="n"/>
      <c r="F164" s="339" t="n"/>
      <c r="G164" s="339" t="n"/>
      <c r="H164" s="339" t="n"/>
      <c r="I164" s="339" t="n"/>
      <c r="J164" s="339" t="n"/>
      <c r="K164" s="339" t="n"/>
      <c r="L164" s="339" t="n"/>
      <c r="M164" s="339" t="n"/>
      <c r="N164" s="339" t="n"/>
      <c r="O164" s="339" t="n"/>
      <c r="P164" s="339" t="n"/>
      <c r="Q164" s="339" t="n"/>
      <c r="R164" s="339" t="n"/>
      <c r="S164" s="339" t="n"/>
      <c r="T164" s="339" t="n"/>
      <c r="U164" s="339" t="n"/>
      <c r="V164" s="339" t="n"/>
      <c r="W164" s="339" t="n"/>
      <c r="X164" s="339" t="n"/>
    </row>
    <row r="165" customFormat="1" s="5">
      <c r="A165" s="339" t="n"/>
      <c r="B165" s="339" t="n"/>
      <c r="C165" s="339" t="n"/>
      <c r="D165" s="339" t="n"/>
      <c r="E165" s="339" t="n"/>
      <c r="F165" s="339" t="n"/>
      <c r="G165" s="339" t="n"/>
      <c r="H165" s="339" t="n"/>
      <c r="I165" s="339" t="inlineStr">
        <is>
          <t>Timeline</t>
        </is>
      </c>
      <c r="J165" s="339" t="n"/>
      <c r="K165" s="339" t="n"/>
      <c r="L165" s="339" t="n"/>
      <c r="M165" s="339" t="n"/>
      <c r="N165" s="339" t="n"/>
      <c r="O165" s="339" t="n"/>
      <c r="P165" s="339" t="n"/>
      <c r="Q165" s="339" t="n"/>
      <c r="R165" s="339" t="n"/>
      <c r="S165" s="339" t="n"/>
      <c r="T165" s="339" t="n"/>
      <c r="U165" s="339" t="n"/>
      <c r="V165" s="339" t="n"/>
      <c r="W165" s="339" t="n"/>
      <c r="X165" s="339" t="n"/>
    </row>
    <row r="166" customFormat="1" s="5">
      <c r="A166" s="339" t="n"/>
      <c r="B166" s="339" t="n"/>
      <c r="C166" s="339" t="n"/>
      <c r="D166" s="339" t="n"/>
      <c r="E166" s="339" t="n"/>
      <c r="F166" s="339" t="n"/>
      <c r="G166" s="339" t="n"/>
      <c r="H166" s="339" t="n"/>
      <c r="I166" s="339" t="inlineStr">
        <is>
          <t>measurements &amp; solution</t>
        </is>
      </c>
      <c r="J166" s="339" t="n"/>
      <c r="K166" s="339" t="n"/>
      <c r="L166" s="339" t="n"/>
      <c r="M166" s="339" t="n"/>
      <c r="N166" s="339" t="n"/>
      <c r="O166" s="339" t="n"/>
      <c r="P166" s="339" t="n"/>
      <c r="Q166" s="339" t="n"/>
      <c r="R166" s="339" t="n"/>
      <c r="S166" s="339" t="n"/>
      <c r="T166" s="339" t="n"/>
      <c r="U166" s="339" t="n"/>
      <c r="V166" s="339" t="n"/>
      <c r="W166" s="339" t="n"/>
      <c r="X166" s="339" t="n"/>
    </row>
    <row r="167" customFormat="1" s="5">
      <c r="A167" s="339" t="n"/>
      <c r="B167" s="339" t="n"/>
      <c r="C167" s="339" t="n"/>
      <c r="D167" s="339" t="n"/>
      <c r="E167" s="339" t="n"/>
      <c r="F167" s="339" t="n"/>
      <c r="G167" s="339" t="n"/>
      <c r="H167" s="339" t="n"/>
      <c r="I167" s="339" t="inlineStr">
        <is>
          <t>What is it for them</t>
        </is>
      </c>
      <c r="J167" s="339" t="n"/>
      <c r="K167" s="339" t="n"/>
      <c r="L167" s="339" t="n"/>
      <c r="M167" s="339" t="n"/>
      <c r="N167" s="339" t="n"/>
      <c r="O167" s="339" t="n"/>
      <c r="P167" s="339" t="n"/>
      <c r="Q167" s="339" t="n"/>
      <c r="R167" s="339" t="n"/>
      <c r="S167" s="339" t="n"/>
      <c r="T167" s="339" t="n"/>
      <c r="U167" s="339" t="n"/>
      <c r="V167" s="339" t="n"/>
      <c r="W167" s="339" t="n"/>
      <c r="X167" s="339" t="n"/>
    </row>
  </sheetData>
  <autoFilter ref="A17:S115">
    <filterColumn colId="3" hiddenButton="0" showButton="0"/>
    <filterColumn colId="4" hiddenButton="0" showButton="0"/>
  </autoFilter>
  <mergeCells count="151">
    <mergeCell ref="D11:F11"/>
    <mergeCell ref="D76:F76"/>
    <mergeCell ref="A137:A138"/>
    <mergeCell ref="D116:F116"/>
    <mergeCell ref="C137:C138"/>
    <mergeCell ref="E158:G158"/>
    <mergeCell ref="D66:F66"/>
    <mergeCell ref="D75:F75"/>
    <mergeCell ref="D53:F53"/>
    <mergeCell ref="D47:F47"/>
    <mergeCell ref="D28:F28"/>
    <mergeCell ref="D37:F37"/>
    <mergeCell ref="S137:S138"/>
    <mergeCell ref="D9:F9"/>
    <mergeCell ref="D92:F92"/>
    <mergeCell ref="D30:F30"/>
    <mergeCell ref="D39:F39"/>
    <mergeCell ref="D133:F133"/>
    <mergeCell ref="D14:F14"/>
    <mergeCell ref="D29:F29"/>
    <mergeCell ref="E137:G138"/>
    <mergeCell ref="V137:V138"/>
    <mergeCell ref="D94:F94"/>
    <mergeCell ref="D23:F23"/>
    <mergeCell ref="D119:F119"/>
    <mergeCell ref="S163:T163"/>
    <mergeCell ref="E151:G151"/>
    <mergeCell ref="D80:F80"/>
    <mergeCell ref="E141:G141"/>
    <mergeCell ref="D96:F96"/>
    <mergeCell ref="D105:F105"/>
    <mergeCell ref="D57:F57"/>
    <mergeCell ref="E143:G143"/>
    <mergeCell ref="D120:F120"/>
    <mergeCell ref="D27:F27"/>
    <mergeCell ref="D41:F41"/>
    <mergeCell ref="D107:F107"/>
    <mergeCell ref="D17:F17"/>
    <mergeCell ref="E149:G149"/>
    <mergeCell ref="D91:F91"/>
    <mergeCell ref="D43:F43"/>
    <mergeCell ref="D106:F106"/>
    <mergeCell ref="D93:F93"/>
    <mergeCell ref="S160:T162"/>
    <mergeCell ref="D74:F74"/>
    <mergeCell ref="D130:F130"/>
    <mergeCell ref="D68:F68"/>
    <mergeCell ref="D83:F83"/>
    <mergeCell ref="D25:F25"/>
    <mergeCell ref="E144:G144"/>
    <mergeCell ref="D117:F117"/>
    <mergeCell ref="D55:F55"/>
    <mergeCell ref="D67:F67"/>
    <mergeCell ref="D132:F132"/>
    <mergeCell ref="D110:F110"/>
    <mergeCell ref="D85:F85"/>
    <mergeCell ref="D54:F54"/>
    <mergeCell ref="E145:G145"/>
    <mergeCell ref="D60:F60"/>
    <mergeCell ref="E139:G139"/>
    <mergeCell ref="D69:F69"/>
    <mergeCell ref="D109:F109"/>
    <mergeCell ref="D31:F31"/>
    <mergeCell ref="D46:F46"/>
    <mergeCell ref="D40:F40"/>
    <mergeCell ref="E140:G140"/>
    <mergeCell ref="D21:F21"/>
    <mergeCell ref="U137:U138"/>
    <mergeCell ref="E153:G153"/>
    <mergeCell ref="D108:F108"/>
    <mergeCell ref="D86:F86"/>
    <mergeCell ref="D95:F95"/>
    <mergeCell ref="T137:T138"/>
    <mergeCell ref="D32:F32"/>
    <mergeCell ref="D97:F97"/>
    <mergeCell ref="D7:F7"/>
    <mergeCell ref="D78:F78"/>
    <mergeCell ref="D87:F87"/>
    <mergeCell ref="D122:F122"/>
    <mergeCell ref="D71:F71"/>
    <mergeCell ref="D58:F58"/>
    <mergeCell ref="D18:F18"/>
    <mergeCell ref="D121:F121"/>
    <mergeCell ref="D8:F8"/>
    <mergeCell ref="D33:F33"/>
    <mergeCell ref="D73:F73"/>
    <mergeCell ref="D51:F51"/>
    <mergeCell ref="D42:F42"/>
    <mergeCell ref="D113:F113"/>
    <mergeCell ref="D82:F82"/>
    <mergeCell ref="D123:F123"/>
    <mergeCell ref="D35:F35"/>
    <mergeCell ref="D50:F50"/>
    <mergeCell ref="D44:F44"/>
    <mergeCell ref="D59:F59"/>
    <mergeCell ref="D115:F115"/>
    <mergeCell ref="D20:F20"/>
    <mergeCell ref="D34:F34"/>
    <mergeCell ref="D99:F99"/>
    <mergeCell ref="E142:G142"/>
    <mergeCell ref="D84:F84"/>
    <mergeCell ref="D22:F22"/>
    <mergeCell ref="D36:F36"/>
    <mergeCell ref="D45:F45"/>
    <mergeCell ref="D124:F124"/>
    <mergeCell ref="E147:G147"/>
    <mergeCell ref="D77:F77"/>
    <mergeCell ref="E156:G156"/>
    <mergeCell ref="E155:G155"/>
    <mergeCell ref="D61:F61"/>
    <mergeCell ref="D126:F126"/>
    <mergeCell ref="D70:F70"/>
    <mergeCell ref="D135:F135"/>
    <mergeCell ref="D48:F48"/>
    <mergeCell ref="E148:G148"/>
    <mergeCell ref="D125:F125"/>
    <mergeCell ref="D103:F103"/>
    <mergeCell ref="D72:F72"/>
    <mergeCell ref="D134:F134"/>
    <mergeCell ref="D112:F112"/>
    <mergeCell ref="E154:G154"/>
    <mergeCell ref="D62:F62"/>
    <mergeCell ref="D118:F118"/>
    <mergeCell ref="D56:F56"/>
    <mergeCell ref="D127:F127"/>
    <mergeCell ref="D114:F114"/>
    <mergeCell ref="B137:B138"/>
    <mergeCell ref="D15:F15"/>
    <mergeCell ref="D137:D138"/>
    <mergeCell ref="D24:F24"/>
    <mergeCell ref="D64:F64"/>
    <mergeCell ref="D38:F38"/>
    <mergeCell ref="D98:F98"/>
    <mergeCell ref="D89:F89"/>
    <mergeCell ref="A2:B2"/>
    <mergeCell ref="D79:F79"/>
    <mergeCell ref="E146:G146"/>
    <mergeCell ref="D88:F88"/>
    <mergeCell ref="D26:F26"/>
    <mergeCell ref="D63:F63"/>
    <mergeCell ref="D10:F10"/>
    <mergeCell ref="D81:F81"/>
    <mergeCell ref="D19:F19"/>
    <mergeCell ref="D90:F90"/>
    <mergeCell ref="A1:C1"/>
    <mergeCell ref="E150:G150"/>
    <mergeCell ref="D65:F65"/>
    <mergeCell ref="D131:F131"/>
    <mergeCell ref="D52:F52"/>
    <mergeCell ref="D49:F49"/>
    <mergeCell ref="E152:G152"/>
  </mergeCells>
  <dataValidations count="2">
    <dataValidation sqref="H139:I151 H152 I152:I158 J139:J144 J153:J158 K139:K152 K155:L156 L139:M140 L141:L154 L157:L158 M141:M146 M148:M157 N141:N158 O145:O158 P141:R158" showDropDown="0" showInputMessage="1" showErrorMessage="1" allowBlank="1" type="list">
      <formula1>"',r,s,p,q"</formula1>
    </dataValidation>
    <dataValidation sqref="C18:C135" showDropDown="0" showInputMessage="1" showErrorMessage="1" allowBlank="1" type="list">
      <formula1>"low,medium,high,unknown"</formula1>
    </dataValidation>
  </dataValidations>
  <printOptions horizontalCentered="1" verticalCentered="1"/>
  <pageMargins left="0.7" right="0.7" top="0.75" bottom="0.75" header="0.3" footer="0.3"/>
  <pageSetup orientation="landscape" paperSize="9" scale="49"/>
  <headerFooter alignWithMargins="0"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AP28"/>
  <sheetViews>
    <sheetView zoomScaleNormal="100" workbookViewId="0">
      <pane xSplit="2" ySplit="4" topLeftCell="M5" activePane="bottomRight" state="frozen"/>
      <selection activeCell="AJ23" activeCellId="9" sqref="AJ7 AJ8 AJ12 AJ13 AJ14 AJ15 AJ19 AJ20 AJ22 AJ23"/>
      <selection pane="topRight" activeCell="AJ23" activeCellId="9" sqref="AJ7 AJ8 AJ12 AJ13 AJ14 AJ15 AJ19 AJ20 AJ22 AJ23"/>
      <selection pane="bottomLeft" activeCell="AJ23" activeCellId="9" sqref="AJ7 AJ8 AJ12 AJ13 AJ14 AJ15 AJ19 AJ20 AJ22 AJ23"/>
      <selection pane="bottomRight" activeCell="AJ25" activeCellId="9" sqref="AJ5 AJ6 AJ7 AJ14 AJ15 AJ16 AJ17 AJ22 AJ24 AJ25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7.1640625" customWidth="1" style="149" min="3" max="37"/>
    <col width="8.6640625" customWidth="1" style="149" min="38" max="16384"/>
  </cols>
  <sheetData>
    <row r="1" ht="30" customHeight="1" s="340">
      <c r="A1" s="384" t="inlineStr">
        <is>
          <t>SC4 - Weekly Milestone Data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  <c r="L1" s="441" t="n"/>
      <c r="M1" s="441" t="n"/>
      <c r="N1" s="441" t="n"/>
      <c r="O1" s="441" t="n"/>
      <c r="P1" s="441" t="n"/>
      <c r="Q1" s="441" t="n"/>
      <c r="R1" s="441" t="n"/>
      <c r="S1" s="441" t="n"/>
      <c r="T1" s="441" t="n"/>
      <c r="U1" s="441" t="n"/>
      <c r="V1" s="441" t="n"/>
    </row>
    <row r="2">
      <c r="A2" s="385" t="inlineStr">
        <is>
          <t>Critical Milestones: S00, S02, S04, S07, S31, S45</t>
        </is>
      </c>
      <c r="B2" s="441" t="n"/>
      <c r="C2" s="441" t="n"/>
      <c r="D2" s="441" t="n"/>
      <c r="E2" s="441" t="n"/>
      <c r="F2" s="441" t="n"/>
      <c r="G2" s="441" t="n"/>
      <c r="H2" s="441" t="n"/>
      <c r="I2" s="441" t="n"/>
      <c r="J2" s="441" t="n"/>
      <c r="K2" s="441" t="n"/>
      <c r="L2" s="441" t="n"/>
      <c r="M2" s="441" t="n"/>
      <c r="N2" s="441" t="n"/>
      <c r="O2" s="441" t="n"/>
      <c r="P2" s="441" t="n"/>
      <c r="Q2" s="441" t="n"/>
      <c r="R2" s="441" t="n"/>
      <c r="S2" s="441" t="n"/>
      <c r="T2" s="441" t="n"/>
      <c r="U2" s="441" t="n"/>
      <c r="V2" s="441" t="n"/>
    </row>
    <row r="3">
      <c r="C3" s="383" t="inlineStr">
        <is>
          <t>Week 1</t>
        </is>
      </c>
      <c r="D3" s="441" t="n"/>
      <c r="E3" s="441" t="n"/>
      <c r="F3" s="441" t="n"/>
      <c r="G3" s="442" t="n"/>
      <c r="H3" s="383" t="inlineStr">
        <is>
          <t>Week 2</t>
        </is>
      </c>
      <c r="I3" s="441" t="n"/>
      <c r="J3" s="441" t="n"/>
      <c r="K3" s="441" t="n"/>
      <c r="L3" s="442" t="n"/>
      <c r="M3" s="383" t="inlineStr">
        <is>
          <t>Week 3</t>
        </is>
      </c>
      <c r="N3" s="441" t="n"/>
      <c r="O3" s="441" t="n"/>
      <c r="P3" s="441" t="n"/>
      <c r="Q3" s="442" t="n"/>
      <c r="R3" s="383" t="inlineStr">
        <is>
          <t>Week 4</t>
        </is>
      </c>
      <c r="S3" s="441" t="n"/>
      <c r="T3" s="441" t="n"/>
      <c r="U3" s="441" t="n"/>
      <c r="V3" s="442" t="n"/>
      <c r="W3" s="383" t="inlineStr">
        <is>
          <t>Week 5</t>
        </is>
      </c>
      <c r="X3" s="441" t="n"/>
      <c r="Y3" s="441" t="n"/>
      <c r="Z3" s="441" t="n"/>
      <c r="AA3" s="442" t="n"/>
      <c r="AB3" s="383" t="inlineStr">
        <is>
          <t>Week 6</t>
        </is>
      </c>
      <c r="AC3" s="441" t="n"/>
      <c r="AD3" s="441" t="n"/>
      <c r="AE3" s="441" t="n"/>
      <c r="AF3" s="442" t="n"/>
      <c r="AG3" s="383" t="inlineStr">
        <is>
          <t>Week 7</t>
        </is>
      </c>
      <c r="AH3" s="441" t="n"/>
      <c r="AI3" s="441" t="n"/>
      <c r="AJ3" s="441" t="n"/>
      <c r="AK3" s="442" t="n"/>
      <c r="AL3" t="inlineStr">
        <is>
          <t>Week 8</t>
        </is>
      </c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1" t="inlineStr">
        <is>
          <t>Required</t>
        </is>
      </c>
      <c r="D4" s="151" t="inlineStr">
        <is>
          <t>Available</t>
        </is>
      </c>
      <c r="E4" s="151" t="inlineStr">
        <is>
          <t>In Time</t>
        </is>
      </c>
      <c r="F4" s="151" t="inlineStr">
        <is>
          <t>Completeness</t>
        </is>
      </c>
      <c r="G4" s="151" t="inlineStr">
        <is>
          <t>Timeliness</t>
        </is>
      </c>
      <c r="H4" s="151" t="inlineStr">
        <is>
          <t>Required</t>
        </is>
      </c>
      <c r="I4" s="151" t="inlineStr">
        <is>
          <t>Available</t>
        </is>
      </c>
      <c r="J4" s="151" t="inlineStr">
        <is>
          <t>In Time</t>
        </is>
      </c>
      <c r="K4" s="151" t="inlineStr">
        <is>
          <t>Completeness</t>
        </is>
      </c>
      <c r="L4" s="151" t="inlineStr">
        <is>
          <t>Timeliness</t>
        </is>
      </c>
      <c r="M4" s="151" t="inlineStr">
        <is>
          <t>Required</t>
        </is>
      </c>
      <c r="N4" s="151" t="inlineStr">
        <is>
          <t>Available</t>
        </is>
      </c>
      <c r="O4" s="151" t="inlineStr">
        <is>
          <t>In Time</t>
        </is>
      </c>
      <c r="P4" s="151" t="inlineStr">
        <is>
          <t>Completeness</t>
        </is>
      </c>
      <c r="Q4" s="151" t="inlineStr">
        <is>
          <t>Timeliness</t>
        </is>
      </c>
      <c r="R4" s="151" t="inlineStr">
        <is>
          <t>Required</t>
        </is>
      </c>
      <c r="S4" s="151" t="inlineStr">
        <is>
          <t>Available</t>
        </is>
      </c>
      <c r="T4" s="151" t="inlineStr">
        <is>
          <t>In Time</t>
        </is>
      </c>
      <c r="U4" s="151" t="inlineStr">
        <is>
          <t>Completeness</t>
        </is>
      </c>
      <c r="V4" s="151" t="inlineStr">
        <is>
          <t>Timeliness</t>
        </is>
      </c>
      <c r="W4" s="151" t="inlineStr">
        <is>
          <t>Required</t>
        </is>
      </c>
      <c r="X4" s="151" t="inlineStr">
        <is>
          <t>Available</t>
        </is>
      </c>
      <c r="Y4" s="151" t="inlineStr">
        <is>
          <t>In Time</t>
        </is>
      </c>
      <c r="Z4" s="151" t="inlineStr">
        <is>
          <t>Completeness</t>
        </is>
      </c>
      <c r="AA4" s="151" t="inlineStr">
        <is>
          <t>Timeliness</t>
        </is>
      </c>
      <c r="AB4" s="151" t="inlineStr">
        <is>
          <t>Required</t>
        </is>
      </c>
      <c r="AC4" s="151" t="inlineStr">
        <is>
          <t>Available</t>
        </is>
      </c>
      <c r="AD4" s="151" t="inlineStr">
        <is>
          <t>In Time</t>
        </is>
      </c>
      <c r="AE4" s="151" t="inlineStr">
        <is>
          <t>Completeness</t>
        </is>
      </c>
      <c r="AF4" s="151" t="inlineStr">
        <is>
          <t>Timeliness</t>
        </is>
      </c>
      <c r="AG4" s="151" t="inlineStr">
        <is>
          <t>Required</t>
        </is>
      </c>
      <c r="AH4" s="151" t="inlineStr">
        <is>
          <t>Available</t>
        </is>
      </c>
      <c r="AI4" s="151" t="inlineStr">
        <is>
          <t>In Time</t>
        </is>
      </c>
      <c r="AJ4" s="151" t="inlineStr">
        <is>
          <t>Completeness</t>
        </is>
      </c>
      <c r="AK4" s="151" t="inlineStr">
        <is>
          <t>Timeliness</t>
        </is>
      </c>
      <c r="AL4" t="inlineStr">
        <is>
          <t>Required</t>
        </is>
      </c>
      <c r="AM4" t="inlineStr">
        <is>
          <t>Available</t>
        </is>
      </c>
      <c r="AN4" t="inlineStr">
        <is>
          <t>In Time</t>
        </is>
      </c>
      <c r="AO4" t="inlineStr">
        <is>
          <t>Completeness</t>
        </is>
      </c>
      <c r="AP4" t="inlineStr">
        <is>
          <t>Timeliness</t>
        </is>
      </c>
    </row>
    <row r="5">
      <c r="A5" s="152" t="inlineStr">
        <is>
          <t>S00 - Shipment created</t>
        </is>
      </c>
      <c r="B5" s="153" t="inlineStr">
        <is>
          <t>Actual</t>
        </is>
      </c>
      <c r="C5" s="154" t="n">
        <v>168</v>
      </c>
      <c r="D5" s="154" t="n">
        <v>88</v>
      </c>
      <c r="E5" s="154" t="n">
        <v>88</v>
      </c>
      <c r="F5" s="155" t="n">
        <v>0.52</v>
      </c>
      <c r="G5" s="155" t="n">
        <v>0.52</v>
      </c>
      <c r="H5" s="154" t="n">
        <v>390</v>
      </c>
      <c r="I5" s="154" t="n">
        <v>141</v>
      </c>
      <c r="J5" s="154" t="n">
        <v>139</v>
      </c>
      <c r="K5" s="155" t="n">
        <v>0.36</v>
      </c>
      <c r="L5" s="155" t="n">
        <v>0.36</v>
      </c>
      <c r="M5" s="154" t="n">
        <v>675</v>
      </c>
      <c r="N5" s="154" t="n">
        <v>236</v>
      </c>
      <c r="O5" s="154" t="n">
        <v>233</v>
      </c>
      <c r="P5" s="155" t="n">
        <v>0.35</v>
      </c>
      <c r="Q5" s="155" t="n">
        <v>0.35</v>
      </c>
      <c r="R5" s="154" t="n">
        <v>719</v>
      </c>
      <c r="S5" s="154" t="n">
        <v>358</v>
      </c>
      <c r="T5" s="154" t="n">
        <v>352</v>
      </c>
      <c r="U5" s="155" t="n">
        <v>0.5</v>
      </c>
      <c r="V5" s="155" t="n">
        <v>0.49</v>
      </c>
      <c r="W5" s="154" t="n">
        <v>527</v>
      </c>
      <c r="X5" s="154" t="n">
        <v>291</v>
      </c>
      <c r="Y5" s="154" t="n">
        <v>288</v>
      </c>
      <c r="Z5" s="155" t="n">
        <v>0.552182163187856</v>
      </c>
      <c r="AA5" s="155" t="n">
        <v>0.546489563567362</v>
      </c>
      <c r="AB5" s="154" t="n">
        <v>569</v>
      </c>
      <c r="AC5" s="154" t="n">
        <v>349</v>
      </c>
      <c r="AD5" s="154" t="n">
        <v>341</v>
      </c>
      <c r="AE5" s="155" t="n">
        <v>0.61</v>
      </c>
      <c r="AF5" s="155" t="n">
        <v>0.6</v>
      </c>
      <c r="AG5" s="154" t="n">
        <v>566</v>
      </c>
      <c r="AH5" s="154" t="n">
        <v>436</v>
      </c>
      <c r="AI5" s="154" t="n">
        <v>423</v>
      </c>
      <c r="AJ5" s="155" t="n">
        <v>0.770318021201413</v>
      </c>
      <c r="AK5" s="155" t="n">
        <v>0.747349823321555</v>
      </c>
      <c r="AL5" t="n">
        <v>593</v>
      </c>
      <c r="AM5" t="n">
        <v>452</v>
      </c>
      <c r="AN5" t="n">
        <v>424</v>
      </c>
      <c r="AO5" t="n">
        <v>0.7622</v>
      </c>
      <c r="AP5" t="n">
        <v>0.715</v>
      </c>
    </row>
    <row r="6">
      <c r="A6" s="152" t="inlineStr">
        <is>
          <t>S02 - Collected</t>
        </is>
      </c>
      <c r="B6" s="153" t="inlineStr">
        <is>
          <t>Estimated</t>
        </is>
      </c>
      <c r="C6" s="154" t="n">
        <v>145</v>
      </c>
      <c r="D6" s="154" t="n">
        <v>114</v>
      </c>
      <c r="E6" s="154" t="n">
        <v>59</v>
      </c>
      <c r="F6" s="155" t="n">
        <v>0.79</v>
      </c>
      <c r="G6" s="155" t="n">
        <v>0.41</v>
      </c>
      <c r="H6" s="154" t="n">
        <v>286</v>
      </c>
      <c r="I6" s="154" t="n">
        <v>237</v>
      </c>
      <c r="J6" s="154" t="n">
        <v>104</v>
      </c>
      <c r="K6" s="155" t="n">
        <v>0.83</v>
      </c>
      <c r="L6" s="155" t="n">
        <v>0.36</v>
      </c>
      <c r="M6" s="154" t="n">
        <v>496</v>
      </c>
      <c r="N6" s="154" t="n">
        <v>423</v>
      </c>
      <c r="O6" s="154" t="n">
        <v>167</v>
      </c>
      <c r="P6" s="155" t="n">
        <v>0.85</v>
      </c>
      <c r="Q6" s="155" t="n">
        <v>0.34</v>
      </c>
      <c r="R6" s="154" t="n">
        <v>514</v>
      </c>
      <c r="S6" s="154" t="n">
        <v>447</v>
      </c>
      <c r="T6" s="154" t="n">
        <v>220</v>
      </c>
      <c r="U6" s="155" t="n">
        <v>0.87</v>
      </c>
      <c r="V6" s="155" t="n">
        <v>0.43</v>
      </c>
      <c r="W6" s="154" t="n">
        <v>398</v>
      </c>
      <c r="X6" s="154" t="n">
        <v>337</v>
      </c>
      <c r="Y6" s="154" t="n">
        <v>210</v>
      </c>
      <c r="Z6" s="155" t="n">
        <v>0.846733668341708</v>
      </c>
      <c r="AA6" s="155" t="n">
        <v>0.527638190954774</v>
      </c>
      <c r="AB6" s="154" t="n">
        <v>399</v>
      </c>
      <c r="AC6" s="154" t="n">
        <v>359</v>
      </c>
      <c r="AD6" s="154" t="n">
        <v>234</v>
      </c>
      <c r="AE6" s="155" t="n">
        <v>0.9</v>
      </c>
      <c r="AF6" s="155" t="n">
        <v>0.59</v>
      </c>
      <c r="AG6" s="154" t="n">
        <v>446</v>
      </c>
      <c r="AH6" s="154" t="n">
        <v>395</v>
      </c>
      <c r="AI6" s="154" t="n">
        <v>297</v>
      </c>
      <c r="AJ6" s="155" t="n">
        <v>0.885650224215247</v>
      </c>
      <c r="AK6" s="155" t="n">
        <v>0.665919282511211</v>
      </c>
      <c r="AL6" t="n">
        <v>394</v>
      </c>
      <c r="AM6" t="n">
        <v>349</v>
      </c>
      <c r="AN6" t="n">
        <v>251</v>
      </c>
      <c r="AO6" t="n">
        <v>0.8858</v>
      </c>
      <c r="AP6" t="n">
        <v>0.6371</v>
      </c>
    </row>
    <row r="7">
      <c r="A7" s="152" t="inlineStr">
        <is>
          <t>S02 - Collected</t>
        </is>
      </c>
      <c r="B7" s="153" t="inlineStr">
        <is>
          <t>Actual</t>
        </is>
      </c>
      <c r="C7" s="154" t="n">
        <v>145</v>
      </c>
      <c r="D7" s="154" t="n">
        <v>133</v>
      </c>
      <c r="E7" s="154" t="n">
        <v>24</v>
      </c>
      <c r="F7" s="155" t="n">
        <v>0.92</v>
      </c>
      <c r="G7" s="155" t="n">
        <v>0.17</v>
      </c>
      <c r="H7" s="154" t="n">
        <v>286</v>
      </c>
      <c r="I7" s="154" t="n">
        <v>272</v>
      </c>
      <c r="J7" s="154" t="n">
        <v>112</v>
      </c>
      <c r="K7" s="155" t="n">
        <v>0.95</v>
      </c>
      <c r="L7" s="155" t="n">
        <v>0.39</v>
      </c>
      <c r="M7" s="154" t="n">
        <v>496</v>
      </c>
      <c r="N7" s="154" t="n">
        <v>438</v>
      </c>
      <c r="O7" s="154" t="n">
        <v>171</v>
      </c>
      <c r="P7" s="155" t="n">
        <v>0.88</v>
      </c>
      <c r="Q7" s="155" t="n">
        <v>0.34</v>
      </c>
      <c r="R7" s="154" t="n">
        <v>514</v>
      </c>
      <c r="S7" s="154" t="n">
        <v>462</v>
      </c>
      <c r="T7" s="154" t="n">
        <v>207</v>
      </c>
      <c r="U7" s="155" t="n">
        <v>0.9</v>
      </c>
      <c r="V7" s="155" t="n">
        <v>0.4</v>
      </c>
      <c r="W7" s="154" t="n">
        <v>398</v>
      </c>
      <c r="X7" s="154" t="n">
        <v>354</v>
      </c>
      <c r="Y7" s="154" t="n">
        <v>131</v>
      </c>
      <c r="Z7" s="155" t="n">
        <v>0.889447236180904</v>
      </c>
      <c r="AA7" s="155" t="n">
        <v>0.329145728643216</v>
      </c>
      <c r="AB7" s="154" t="n">
        <v>399</v>
      </c>
      <c r="AC7" s="154" t="n">
        <v>361</v>
      </c>
      <c r="AD7" s="154" t="n">
        <v>149</v>
      </c>
      <c r="AE7" s="155" t="n">
        <v>0.9</v>
      </c>
      <c r="AF7" s="155" t="n">
        <v>0.37</v>
      </c>
      <c r="AG7" s="154" t="n">
        <v>446</v>
      </c>
      <c r="AH7" s="154" t="n">
        <v>405</v>
      </c>
      <c r="AI7" s="154" t="n">
        <v>171</v>
      </c>
      <c r="AJ7" s="155" t="n">
        <v>0.9080717488789239</v>
      </c>
      <c r="AK7" s="155" t="n">
        <v>0.383408071748879</v>
      </c>
      <c r="AL7" t="n">
        <v>394</v>
      </c>
      <c r="AM7" t="n">
        <v>348</v>
      </c>
      <c r="AN7" t="n">
        <v>147</v>
      </c>
      <c r="AO7" t="n">
        <v>0.8832</v>
      </c>
      <c r="AP7" t="n">
        <v>0.3731</v>
      </c>
    </row>
    <row r="8">
      <c r="A8" s="156" t="inlineStr">
        <is>
          <t>S46 - Documents rcvd from shipper</t>
        </is>
      </c>
      <c r="B8" s="157" t="inlineStr">
        <is>
          <t>Actual</t>
        </is>
      </c>
      <c r="C8" s="158" t="n">
        <v>168</v>
      </c>
      <c r="D8" s="158" t="n">
        <v>103</v>
      </c>
      <c r="E8" s="158" t="n">
        <v>45</v>
      </c>
      <c r="F8" s="159" t="n">
        <v>0.61</v>
      </c>
      <c r="G8" s="159" t="n">
        <v>0.27</v>
      </c>
      <c r="H8" s="158" t="n">
        <v>390</v>
      </c>
      <c r="I8" s="158" t="n">
        <v>144</v>
      </c>
      <c r="J8" s="158" t="n">
        <v>72</v>
      </c>
      <c r="K8" s="159" t="n">
        <v>0.37</v>
      </c>
      <c r="L8" s="159" t="n">
        <v>0.18</v>
      </c>
      <c r="M8" s="158" t="n">
        <v>675</v>
      </c>
      <c r="N8" s="158" t="n">
        <v>277</v>
      </c>
      <c r="O8" s="158" t="n">
        <v>104</v>
      </c>
      <c r="P8" s="159" t="n">
        <v>0.41</v>
      </c>
      <c r="Q8" s="159" t="n">
        <v>0.15</v>
      </c>
      <c r="R8" s="158" t="n">
        <v>719</v>
      </c>
      <c r="S8" s="158" t="n">
        <v>435</v>
      </c>
      <c r="T8" s="158" t="n">
        <v>226</v>
      </c>
      <c r="U8" s="159" t="n">
        <v>0.61</v>
      </c>
      <c r="V8" s="159" t="n">
        <v>0.31</v>
      </c>
      <c r="W8" s="158" t="n">
        <v>527</v>
      </c>
      <c r="X8" s="158" t="n">
        <v>357</v>
      </c>
      <c r="Y8" s="158" t="n">
        <v>165</v>
      </c>
      <c r="Z8" s="159" t="n">
        <v>0.67741935483871</v>
      </c>
      <c r="AA8" s="159" t="n">
        <v>0.313092979127135</v>
      </c>
      <c r="AB8" s="220" t="n">
        <v>569</v>
      </c>
      <c r="AC8" s="220" t="n">
        <v>418</v>
      </c>
      <c r="AD8" s="220" t="n">
        <v>235</v>
      </c>
      <c r="AE8" s="221" t="n">
        <v>0.73</v>
      </c>
      <c r="AF8" s="222" t="n">
        <v>0.41</v>
      </c>
      <c r="AG8" s="244" t="n">
        <v>566</v>
      </c>
      <c r="AH8" s="244" t="n">
        <v>465</v>
      </c>
      <c r="AI8" s="244" t="n">
        <v>288</v>
      </c>
      <c r="AJ8" s="245" t="n">
        <v>0.821554770318021</v>
      </c>
      <c r="AK8" s="246" t="n">
        <v>0.5088339222614841</v>
      </c>
      <c r="AL8" t="n">
        <v>593</v>
      </c>
      <c r="AM8" t="n">
        <v>488</v>
      </c>
      <c r="AN8" t="n">
        <v>312</v>
      </c>
      <c r="AO8" t="n">
        <v>0.8229</v>
      </c>
      <c r="AP8" t="n">
        <v>0.5261</v>
      </c>
    </row>
    <row r="9">
      <c r="A9" s="156" t="inlineStr">
        <is>
          <t>S10 - On hand at origin SVC</t>
        </is>
      </c>
      <c r="B9" s="157" t="inlineStr">
        <is>
          <t>Actual</t>
        </is>
      </c>
      <c r="C9" s="158" t="n">
        <v>154</v>
      </c>
      <c r="D9" s="158" t="n">
        <v>148</v>
      </c>
      <c r="E9" s="158" t="n">
        <v>98</v>
      </c>
      <c r="F9" s="159" t="n">
        <v>0.96</v>
      </c>
      <c r="G9" s="159" t="n">
        <v>0.64</v>
      </c>
      <c r="H9" s="158" t="n">
        <v>335</v>
      </c>
      <c r="I9" s="158" t="n">
        <v>305</v>
      </c>
      <c r="J9" s="158" t="n">
        <v>177</v>
      </c>
      <c r="K9" s="159" t="n">
        <v>0.91</v>
      </c>
      <c r="L9" s="159" t="n">
        <v>0.53</v>
      </c>
      <c r="M9" s="158" t="n">
        <v>535</v>
      </c>
      <c r="N9" s="158" t="n">
        <v>443</v>
      </c>
      <c r="O9" s="158" t="n">
        <v>274</v>
      </c>
      <c r="P9" s="159" t="n">
        <v>0.83</v>
      </c>
      <c r="Q9" s="159" t="n">
        <v>0.51</v>
      </c>
      <c r="R9" s="158" t="n">
        <v>577</v>
      </c>
      <c r="S9" s="158" t="n">
        <v>505</v>
      </c>
      <c r="T9" s="158" t="n">
        <v>281</v>
      </c>
      <c r="U9" s="159" t="n">
        <v>0.88</v>
      </c>
      <c r="V9" s="159" t="n">
        <v>0.49</v>
      </c>
      <c r="W9" s="158" t="n">
        <v>412</v>
      </c>
      <c r="X9" s="158" t="n">
        <v>335</v>
      </c>
      <c r="Y9" s="158" t="n">
        <v>194</v>
      </c>
      <c r="Z9" s="159" t="n">
        <v>0.813106796116505</v>
      </c>
      <c r="AA9" s="159" t="n">
        <v>0.470873786407767</v>
      </c>
      <c r="AB9" s="220" t="n">
        <v>461</v>
      </c>
      <c r="AC9" s="220" t="n">
        <v>413</v>
      </c>
      <c r="AD9" s="220" t="n">
        <v>243</v>
      </c>
      <c r="AE9" s="221" t="n">
        <v>0.9</v>
      </c>
      <c r="AF9" s="222" t="n">
        <v>0.53</v>
      </c>
      <c r="AG9" s="244" t="n">
        <v>473</v>
      </c>
      <c r="AH9" s="244" t="n">
        <v>433</v>
      </c>
      <c r="AI9" s="244" t="n">
        <v>268</v>
      </c>
      <c r="AJ9" s="245" t="n">
        <v>0.915433403805497</v>
      </c>
      <c r="AK9" s="246" t="n">
        <v>0.566596194503171</v>
      </c>
      <c r="AL9" t="n">
        <v>463</v>
      </c>
      <c r="AM9" t="n">
        <v>405</v>
      </c>
      <c r="AN9" t="n">
        <v>229</v>
      </c>
      <c r="AO9" t="n">
        <v>0.8747</v>
      </c>
      <c r="AP9" t="n">
        <v>0.4946</v>
      </c>
    </row>
    <row r="10">
      <c r="A10" s="156" t="inlineStr">
        <is>
          <t>S11 - On hand at origin Hub/ CC</t>
        </is>
      </c>
      <c r="B10" s="157" t="inlineStr">
        <is>
          <t>Actual</t>
        </is>
      </c>
      <c r="C10" s="158" t="n">
        <v>154</v>
      </c>
      <c r="D10" s="158" t="n">
        <v>104</v>
      </c>
      <c r="E10" s="158" t="n">
        <v>73</v>
      </c>
      <c r="F10" s="159" t="n">
        <v>0.68</v>
      </c>
      <c r="G10" s="159" t="n">
        <v>0.47</v>
      </c>
      <c r="H10" s="158" t="n">
        <v>335</v>
      </c>
      <c r="I10" s="158" t="n">
        <v>146</v>
      </c>
      <c r="J10" s="158" t="n">
        <v>92</v>
      </c>
      <c r="K10" s="159" t="n">
        <v>0.44</v>
      </c>
      <c r="L10" s="159" t="n">
        <v>0.27</v>
      </c>
      <c r="M10" s="158" t="n">
        <v>535</v>
      </c>
      <c r="N10" s="158" t="n">
        <v>245</v>
      </c>
      <c r="O10" s="158" t="n">
        <v>160</v>
      </c>
      <c r="P10" s="159" t="n">
        <v>0.46</v>
      </c>
      <c r="Q10" s="159" t="n">
        <v>0.3</v>
      </c>
      <c r="R10" s="158" t="n">
        <v>577</v>
      </c>
      <c r="S10" s="158" t="n">
        <v>390</v>
      </c>
      <c r="T10" s="158" t="n">
        <v>205</v>
      </c>
      <c r="U10" s="159" t="n">
        <v>0.68</v>
      </c>
      <c r="V10" s="159" t="n">
        <v>0.36</v>
      </c>
      <c r="W10" s="158" t="n">
        <v>412</v>
      </c>
      <c r="X10" s="158" t="n">
        <v>292</v>
      </c>
      <c r="Y10" s="158" t="n">
        <v>164</v>
      </c>
      <c r="Z10" s="159" t="n">
        <v>0.70873786407767</v>
      </c>
      <c r="AA10" s="159" t="n">
        <v>0.398058252427184</v>
      </c>
      <c r="AB10" s="220" t="n">
        <v>461</v>
      </c>
      <c r="AC10" s="220" t="n">
        <v>376</v>
      </c>
      <c r="AD10" s="220" t="n">
        <v>207</v>
      </c>
      <c r="AE10" s="221" t="n">
        <v>0.82</v>
      </c>
      <c r="AF10" s="222" t="n">
        <v>0.45</v>
      </c>
      <c r="AG10" s="244" t="n">
        <v>473</v>
      </c>
      <c r="AH10" s="244" t="n">
        <v>420</v>
      </c>
      <c r="AI10" s="244" t="n">
        <v>252</v>
      </c>
      <c r="AJ10" s="245" t="n">
        <v>0.887949260042283</v>
      </c>
      <c r="AK10" s="246" t="n">
        <v>0.53276955602537</v>
      </c>
      <c r="AL10" t="n">
        <v>463</v>
      </c>
      <c r="AM10" t="n">
        <v>403</v>
      </c>
      <c r="AN10" t="n">
        <v>214</v>
      </c>
      <c r="AO10" t="n">
        <v>0.8704</v>
      </c>
      <c r="AP10" t="n">
        <v>0.4622</v>
      </c>
    </row>
    <row r="11">
      <c r="A11" s="156" t="inlineStr">
        <is>
          <t>S16 - Shipment booked with carrier</t>
        </is>
      </c>
      <c r="B11" s="157" t="inlineStr">
        <is>
          <t>Actual</t>
        </is>
      </c>
      <c r="C11" s="158" t="n">
        <v>168</v>
      </c>
      <c r="D11" s="158" t="n">
        <v>119</v>
      </c>
      <c r="E11" s="158" t="n">
        <v>86</v>
      </c>
      <c r="F11" s="159" t="n">
        <v>0.71</v>
      </c>
      <c r="G11" s="159" t="n">
        <v>0.51</v>
      </c>
      <c r="H11" s="158" t="n">
        <v>390</v>
      </c>
      <c r="I11" s="158" t="n">
        <v>237</v>
      </c>
      <c r="J11" s="158" t="n">
        <v>183</v>
      </c>
      <c r="K11" s="159" t="n">
        <v>0.61</v>
      </c>
      <c r="L11" s="159" t="n">
        <v>0.47</v>
      </c>
      <c r="M11" s="158" t="n">
        <v>675</v>
      </c>
      <c r="N11" s="158" t="n">
        <v>415</v>
      </c>
      <c r="O11" s="158" t="n">
        <v>323</v>
      </c>
      <c r="P11" s="159" t="n">
        <v>0.61</v>
      </c>
      <c r="Q11" s="159" t="n">
        <v>0.48</v>
      </c>
      <c r="R11" s="158" t="n">
        <v>719</v>
      </c>
      <c r="S11" s="158" t="n">
        <v>539</v>
      </c>
      <c r="T11" s="158" t="n">
        <v>439</v>
      </c>
      <c r="U11" s="159" t="n">
        <v>0.75</v>
      </c>
      <c r="V11" s="159" t="n">
        <v>0.61</v>
      </c>
      <c r="W11" s="158" t="n">
        <v>527</v>
      </c>
      <c r="X11" s="158" t="n">
        <v>405</v>
      </c>
      <c r="Y11" s="158" t="n">
        <v>322</v>
      </c>
      <c r="Z11" s="159" t="n">
        <v>0.768500948766603</v>
      </c>
      <c r="AA11" s="159" t="n">
        <v>0.61100569259962</v>
      </c>
      <c r="AB11" s="220" t="n">
        <v>569</v>
      </c>
      <c r="AC11" s="220" t="n">
        <v>451</v>
      </c>
      <c r="AD11" s="220" t="n">
        <v>384</v>
      </c>
      <c r="AE11" s="221" t="n">
        <v>0.79</v>
      </c>
      <c r="AF11" s="222" t="n">
        <v>0.67</v>
      </c>
      <c r="AG11" s="244" t="n">
        <v>566</v>
      </c>
      <c r="AH11" s="244" t="n">
        <v>477</v>
      </c>
      <c r="AI11" s="244" t="n">
        <v>381</v>
      </c>
      <c r="AJ11" s="245" t="n">
        <v>0.842756183745583</v>
      </c>
      <c r="AK11" s="246" t="n">
        <v>0.673144876325088</v>
      </c>
      <c r="AL11" t="n">
        <v>593</v>
      </c>
      <c r="AM11" t="n">
        <v>502</v>
      </c>
      <c r="AN11" t="n">
        <v>441</v>
      </c>
      <c r="AO11" t="n">
        <v>0.8465</v>
      </c>
      <c r="AP11" t="n">
        <v>0.7437</v>
      </c>
    </row>
    <row r="12">
      <c r="A12" s="156" t="inlineStr">
        <is>
          <t>S17 - Tendered carrier</t>
        </is>
      </c>
      <c r="B12" s="157" t="inlineStr">
        <is>
          <t>Actual</t>
        </is>
      </c>
      <c r="C12" s="158" t="n">
        <v>154</v>
      </c>
      <c r="D12" s="158" t="n">
        <v>108</v>
      </c>
      <c r="E12" s="158" t="n">
        <v>44</v>
      </c>
      <c r="F12" s="159" t="n">
        <v>0.7</v>
      </c>
      <c r="G12" s="159" t="n">
        <v>0.29</v>
      </c>
      <c r="H12" s="158" t="n">
        <v>335</v>
      </c>
      <c r="I12" s="158" t="n">
        <v>141</v>
      </c>
      <c r="J12" s="158" t="n">
        <v>89</v>
      </c>
      <c r="K12" s="159" t="n">
        <v>0.42</v>
      </c>
      <c r="L12" s="159" t="n">
        <v>0.27</v>
      </c>
      <c r="M12" s="158" t="n">
        <v>535</v>
      </c>
      <c r="N12" s="158" t="n">
        <v>225</v>
      </c>
      <c r="O12" s="158" t="n">
        <v>89</v>
      </c>
      <c r="P12" s="159" t="n">
        <v>0.42</v>
      </c>
      <c r="Q12" s="159" t="n">
        <v>0.17</v>
      </c>
      <c r="R12" s="158" t="n">
        <v>577</v>
      </c>
      <c r="S12" s="158" t="n">
        <v>328</v>
      </c>
      <c r="T12" s="158" t="n">
        <v>172</v>
      </c>
      <c r="U12" s="159" t="n">
        <v>0.57</v>
      </c>
      <c r="V12" s="159" t="n">
        <v>0.3</v>
      </c>
      <c r="W12" s="158" t="n">
        <v>412</v>
      </c>
      <c r="X12" s="158" t="n">
        <v>245</v>
      </c>
      <c r="Y12" s="158" t="n">
        <v>135</v>
      </c>
      <c r="Z12" s="159" t="n">
        <v>0.594660194174757</v>
      </c>
      <c r="AA12" s="159" t="n">
        <v>0.327669902912621</v>
      </c>
      <c r="AB12" s="220" t="n">
        <v>461</v>
      </c>
      <c r="AC12" s="220" t="n">
        <v>286</v>
      </c>
      <c r="AD12" s="220" t="n">
        <v>165</v>
      </c>
      <c r="AE12" s="221" t="n">
        <v>0.62</v>
      </c>
      <c r="AF12" s="222" t="n">
        <v>0.36</v>
      </c>
      <c r="AG12" s="244" t="n">
        <v>473</v>
      </c>
      <c r="AH12" s="244" t="n">
        <v>326</v>
      </c>
      <c r="AI12" s="244" t="n">
        <v>129</v>
      </c>
      <c r="AJ12" s="245" t="n">
        <v>0.689217758985201</v>
      </c>
      <c r="AK12" s="246" t="n">
        <v>0.272727272727273</v>
      </c>
      <c r="AL12" t="n">
        <v>463</v>
      </c>
      <c r="AM12" t="n">
        <v>284</v>
      </c>
      <c r="AN12" t="n">
        <v>39</v>
      </c>
      <c r="AO12" t="n">
        <v>0.6133999999999999</v>
      </c>
      <c r="AP12" t="n">
        <v>0.0842</v>
      </c>
    </row>
    <row r="13">
      <c r="A13" s="156" t="inlineStr">
        <is>
          <t>S50 - Received origin CFS</t>
        </is>
      </c>
      <c r="B13" s="157" t="inlineStr">
        <is>
          <t>Actual</t>
        </is>
      </c>
      <c r="C13" s="158" t="n">
        <v>115</v>
      </c>
      <c r="D13" s="158" t="n">
        <v>104</v>
      </c>
      <c r="E13" s="158" t="n">
        <v>46</v>
      </c>
      <c r="F13" s="159" t="n">
        <v>0.9</v>
      </c>
      <c r="G13" s="159" t="n">
        <v>0.4</v>
      </c>
      <c r="H13" s="158" t="n">
        <v>190</v>
      </c>
      <c r="I13" s="158" t="n">
        <v>175</v>
      </c>
      <c r="J13" s="158" t="n">
        <v>122</v>
      </c>
      <c r="K13" s="159" t="n">
        <v>0.92</v>
      </c>
      <c r="L13" s="159" t="n">
        <v>0.64</v>
      </c>
      <c r="M13" s="158" t="n">
        <v>354</v>
      </c>
      <c r="N13" s="158" t="n">
        <v>273</v>
      </c>
      <c r="O13" s="158" t="n">
        <v>149</v>
      </c>
      <c r="P13" s="159" t="n">
        <v>0.77</v>
      </c>
      <c r="Q13" s="159" t="n">
        <v>0.42</v>
      </c>
      <c r="R13" s="158" t="n">
        <v>294</v>
      </c>
      <c r="S13" s="158" t="n">
        <v>208</v>
      </c>
      <c r="T13" s="158" t="n">
        <v>96</v>
      </c>
      <c r="U13" s="159" t="n">
        <v>0.71</v>
      </c>
      <c r="V13" s="159" t="n">
        <v>0.33</v>
      </c>
      <c r="W13" s="158" t="n">
        <v>223</v>
      </c>
      <c r="X13" s="158" t="n">
        <v>176</v>
      </c>
      <c r="Y13" s="158" t="n">
        <v>98</v>
      </c>
      <c r="Z13" s="159" t="n">
        <v>0.789237668161435</v>
      </c>
      <c r="AA13" s="159" t="n">
        <v>0.439461883408072</v>
      </c>
      <c r="AB13" s="220" t="n">
        <v>183</v>
      </c>
      <c r="AC13" s="220" t="n">
        <v>122</v>
      </c>
      <c r="AD13" s="220" t="n">
        <v>81</v>
      </c>
      <c r="AE13" s="221" t="n">
        <v>0.67</v>
      </c>
      <c r="AF13" s="222" t="n">
        <v>0.44</v>
      </c>
      <c r="AG13" s="244" t="n">
        <v>263</v>
      </c>
      <c r="AH13" s="244" t="n">
        <v>229</v>
      </c>
      <c r="AI13" s="244" t="n">
        <v>76</v>
      </c>
      <c r="AJ13" s="245" t="n">
        <v>0.8707224334600761</v>
      </c>
      <c r="AK13" s="246" t="n">
        <v>0.288973384030418</v>
      </c>
      <c r="AL13" t="n">
        <v>259</v>
      </c>
      <c r="AM13" t="n">
        <v>193</v>
      </c>
      <c r="AN13" t="n">
        <v>30</v>
      </c>
      <c r="AO13" t="n">
        <v>0.7452</v>
      </c>
      <c r="AP13" t="n">
        <v>0.1158</v>
      </c>
    </row>
    <row r="14">
      <c r="A14" s="152" t="inlineStr">
        <is>
          <t>S04 - Vessel/ flight departed</t>
        </is>
      </c>
      <c r="B14" s="153" t="inlineStr">
        <is>
          <t>Estimated</t>
        </is>
      </c>
      <c r="C14" s="154" t="n">
        <v>168</v>
      </c>
      <c r="D14" s="154" t="n">
        <v>166</v>
      </c>
      <c r="E14" s="154" t="n">
        <v>63</v>
      </c>
      <c r="F14" s="155" t="n">
        <v>0.99</v>
      </c>
      <c r="G14" s="155" t="n">
        <v>0.38</v>
      </c>
      <c r="H14" s="154" t="n">
        <v>390</v>
      </c>
      <c r="I14" s="154" t="n">
        <v>385</v>
      </c>
      <c r="J14" s="154" t="n">
        <v>166</v>
      </c>
      <c r="K14" s="155" t="n">
        <v>0.99</v>
      </c>
      <c r="L14" s="155" t="n">
        <v>0.43</v>
      </c>
      <c r="M14" s="154" t="n">
        <v>675</v>
      </c>
      <c r="N14" s="154" t="n">
        <v>648</v>
      </c>
      <c r="O14" s="154" t="n">
        <v>248</v>
      </c>
      <c r="P14" s="155" t="n">
        <v>0.96</v>
      </c>
      <c r="Q14" s="155" t="n">
        <v>0.37</v>
      </c>
      <c r="R14" s="154" t="n">
        <v>719</v>
      </c>
      <c r="S14" s="154" t="n">
        <v>696</v>
      </c>
      <c r="T14" s="154" t="n">
        <v>308</v>
      </c>
      <c r="U14" s="155" t="n">
        <v>0.97</v>
      </c>
      <c r="V14" s="155" t="n">
        <v>0.43</v>
      </c>
      <c r="W14" s="154" t="n">
        <v>527</v>
      </c>
      <c r="X14" s="154" t="n">
        <v>504</v>
      </c>
      <c r="Y14" s="154" t="n">
        <v>257</v>
      </c>
      <c r="Z14" s="155" t="n">
        <v>0.956356736242884</v>
      </c>
      <c r="AA14" s="155" t="n">
        <v>0.487666034155598</v>
      </c>
      <c r="AB14" s="154" t="n">
        <v>569</v>
      </c>
      <c r="AC14" s="154" t="n">
        <v>551</v>
      </c>
      <c r="AD14" s="154" t="n">
        <v>303</v>
      </c>
      <c r="AE14" s="155" t="n">
        <v>0.97</v>
      </c>
      <c r="AF14" s="155" t="n">
        <v>0.53</v>
      </c>
      <c r="AG14" s="154" t="n">
        <v>566</v>
      </c>
      <c r="AH14" s="154" t="n">
        <v>542</v>
      </c>
      <c r="AI14" s="154" t="n">
        <v>408</v>
      </c>
      <c r="AJ14" s="155" t="n">
        <v>0.957597173144876</v>
      </c>
      <c r="AK14" s="155" t="n">
        <v>0.720848056537102</v>
      </c>
      <c r="AL14" t="n">
        <v>593</v>
      </c>
      <c r="AM14" t="n">
        <v>554</v>
      </c>
      <c r="AN14" t="n">
        <v>462</v>
      </c>
      <c r="AO14" t="n">
        <v>0.9342</v>
      </c>
      <c r="AP14" t="n">
        <v>0.7791</v>
      </c>
    </row>
    <row r="15">
      <c r="A15" s="152" t="inlineStr">
        <is>
          <t>S04 - Vessel/ flight departed</t>
        </is>
      </c>
      <c r="B15" s="153" t="inlineStr">
        <is>
          <t>Actual</t>
        </is>
      </c>
      <c r="C15" s="154" t="n">
        <v>168</v>
      </c>
      <c r="D15" s="154" t="n">
        <v>161</v>
      </c>
      <c r="E15" s="154" t="n">
        <v>140</v>
      </c>
      <c r="F15" s="155" t="n">
        <v>0.96</v>
      </c>
      <c r="G15" s="155" t="n">
        <v>0.83</v>
      </c>
      <c r="H15" s="154" t="n">
        <v>390</v>
      </c>
      <c r="I15" s="154" t="n">
        <v>362</v>
      </c>
      <c r="J15" s="154" t="n">
        <v>213</v>
      </c>
      <c r="K15" s="155" t="n">
        <v>0.93</v>
      </c>
      <c r="L15" s="155" t="n">
        <v>0.55</v>
      </c>
      <c r="M15" s="154" t="n">
        <v>675</v>
      </c>
      <c r="N15" s="154" t="n">
        <v>563</v>
      </c>
      <c r="O15" s="154" t="n">
        <v>353</v>
      </c>
      <c r="P15" s="155" t="n">
        <v>0.83</v>
      </c>
      <c r="Q15" s="155" t="n">
        <v>0.52</v>
      </c>
      <c r="R15" s="154" t="n">
        <v>719</v>
      </c>
      <c r="S15" s="154" t="n">
        <v>630</v>
      </c>
      <c r="T15" s="154" t="n">
        <v>385</v>
      </c>
      <c r="U15" s="155" t="n">
        <v>0.88</v>
      </c>
      <c r="V15" s="155" t="n">
        <v>0.54</v>
      </c>
      <c r="W15" s="154" t="n">
        <v>527</v>
      </c>
      <c r="X15" s="154" t="n">
        <v>471</v>
      </c>
      <c r="Y15" s="154" t="n">
        <v>259</v>
      </c>
      <c r="Z15" s="155" t="n">
        <v>0.893738140417457</v>
      </c>
      <c r="AA15" s="155" t="n">
        <v>0.49146110056926</v>
      </c>
      <c r="AB15" s="154" t="n">
        <v>569</v>
      </c>
      <c r="AC15" s="154" t="n">
        <v>500</v>
      </c>
      <c r="AD15" s="154" t="n">
        <v>332</v>
      </c>
      <c r="AE15" s="155" t="n">
        <v>0.88</v>
      </c>
      <c r="AF15" s="155" t="n">
        <v>0.58</v>
      </c>
      <c r="AG15" s="154" t="n">
        <v>566</v>
      </c>
      <c r="AH15" s="154" t="n">
        <v>525</v>
      </c>
      <c r="AI15" s="154" t="n">
        <v>359</v>
      </c>
      <c r="AJ15" s="155" t="n">
        <v>0.92756183745583</v>
      </c>
      <c r="AK15" s="155" t="n">
        <v>0.634275618374558</v>
      </c>
      <c r="AL15" t="n">
        <v>593</v>
      </c>
      <c r="AM15" t="n">
        <v>528</v>
      </c>
      <c r="AN15" t="n">
        <v>373</v>
      </c>
      <c r="AO15" t="n">
        <v>0.8904</v>
      </c>
      <c r="AP15" t="n">
        <v>0.629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4" t="n">
        <v>168</v>
      </c>
      <c r="D16" s="154" t="n">
        <v>168</v>
      </c>
      <c r="E16" s="154" t="n">
        <v>43</v>
      </c>
      <c r="F16" s="155" t="n">
        <v>1</v>
      </c>
      <c r="G16" s="155" t="n">
        <v>0.26</v>
      </c>
      <c r="H16" s="154" t="n">
        <v>390</v>
      </c>
      <c r="I16" s="154" t="n">
        <v>376</v>
      </c>
      <c r="J16" s="154" t="n">
        <v>83</v>
      </c>
      <c r="K16" s="155" t="n">
        <v>0.96</v>
      </c>
      <c r="L16" s="155" t="n">
        <v>0.21</v>
      </c>
      <c r="M16" s="154" t="n">
        <v>675</v>
      </c>
      <c r="N16" s="154" t="n">
        <v>631</v>
      </c>
      <c r="O16" s="154" t="n">
        <v>124</v>
      </c>
      <c r="P16" s="155" t="n">
        <v>0.93</v>
      </c>
      <c r="Q16" s="155" t="n">
        <v>0.18</v>
      </c>
      <c r="R16" s="154" t="n">
        <v>719</v>
      </c>
      <c r="S16" s="154" t="n">
        <v>679</v>
      </c>
      <c r="T16" s="154" t="n">
        <v>159</v>
      </c>
      <c r="U16" s="155" t="n">
        <v>0.9399999999999999</v>
      </c>
      <c r="V16" s="155" t="n">
        <v>0.22</v>
      </c>
      <c r="W16" s="154" t="n">
        <v>527</v>
      </c>
      <c r="X16" s="154" t="n">
        <v>489</v>
      </c>
      <c r="Y16" s="154" t="n">
        <v>113</v>
      </c>
      <c r="Z16" s="155" t="n">
        <v>0.927893738140417</v>
      </c>
      <c r="AA16" s="155" t="n">
        <v>0.214421252371917</v>
      </c>
      <c r="AB16" s="154" t="n">
        <v>569</v>
      </c>
      <c r="AC16" s="154" t="n">
        <v>547</v>
      </c>
      <c r="AD16" s="154" t="n">
        <v>75</v>
      </c>
      <c r="AE16" s="155" t="n">
        <v>0.96</v>
      </c>
      <c r="AF16" s="155" t="n">
        <v>0.13</v>
      </c>
      <c r="AG16" s="154" t="n">
        <v>566</v>
      </c>
      <c r="AH16" s="154" t="n">
        <v>552</v>
      </c>
      <c r="AI16" s="154" t="n">
        <v>139</v>
      </c>
      <c r="AJ16" s="155" t="n">
        <v>0.975265017667845</v>
      </c>
      <c r="AK16" s="155" t="n">
        <v>0.245583038869258</v>
      </c>
      <c r="AL16" t="n">
        <v>593</v>
      </c>
      <c r="AM16" t="n">
        <v>565</v>
      </c>
      <c r="AN16" t="n">
        <v>168</v>
      </c>
      <c r="AO16" t="n">
        <v>0.9528</v>
      </c>
      <c r="AP16" t="n">
        <v>0.2833</v>
      </c>
    </row>
    <row r="17">
      <c r="A17" s="152" t="inlineStr">
        <is>
          <t>S07 - Vessel/ flight arrived</t>
        </is>
      </c>
      <c r="B17" s="153" t="inlineStr">
        <is>
          <t>Actual</t>
        </is>
      </c>
      <c r="C17" s="154" t="n">
        <v>168</v>
      </c>
      <c r="D17" s="154" t="n">
        <v>140</v>
      </c>
      <c r="E17" s="154" t="n">
        <v>55</v>
      </c>
      <c r="F17" s="155" t="n">
        <v>0.83</v>
      </c>
      <c r="G17" s="155" t="n">
        <v>0.33</v>
      </c>
      <c r="H17" s="154" t="n">
        <v>390</v>
      </c>
      <c r="I17" s="154" t="n">
        <v>325</v>
      </c>
      <c r="J17" s="154" t="n">
        <v>256</v>
      </c>
      <c r="K17" s="155" t="n">
        <v>0.83</v>
      </c>
      <c r="L17" s="155" t="n">
        <v>0.66</v>
      </c>
      <c r="M17" s="154" t="n">
        <v>675</v>
      </c>
      <c r="N17" s="154" t="n">
        <v>544</v>
      </c>
      <c r="O17" s="154" t="n">
        <v>409</v>
      </c>
      <c r="P17" s="155" t="n">
        <v>0.8100000000000001</v>
      </c>
      <c r="Q17" s="155" t="n">
        <v>0.61</v>
      </c>
      <c r="R17" s="154" t="n">
        <v>719</v>
      </c>
      <c r="S17" s="154" t="n">
        <v>607</v>
      </c>
      <c r="T17" s="154" t="n">
        <v>373</v>
      </c>
      <c r="U17" s="155" t="n">
        <v>0.84</v>
      </c>
      <c r="V17" s="155" t="n">
        <v>0.52</v>
      </c>
      <c r="W17" s="154" t="n">
        <v>527</v>
      </c>
      <c r="X17" s="154" t="n">
        <v>431</v>
      </c>
      <c r="Y17" s="154" t="n">
        <v>231</v>
      </c>
      <c r="Z17" s="155" t="n">
        <v>0.817836812144213</v>
      </c>
      <c r="AA17" s="155" t="n">
        <v>0.438330170777989</v>
      </c>
      <c r="AB17" s="154" t="n">
        <v>569</v>
      </c>
      <c r="AC17" s="154" t="n">
        <v>502</v>
      </c>
      <c r="AD17" s="154" t="n">
        <v>261</v>
      </c>
      <c r="AE17" s="155" t="n">
        <v>0.88</v>
      </c>
      <c r="AF17" s="155" t="n">
        <v>0.46</v>
      </c>
      <c r="AG17" s="154" t="n">
        <v>566</v>
      </c>
      <c r="AH17" s="154" t="n">
        <v>488</v>
      </c>
      <c r="AI17" s="154" t="n">
        <v>258</v>
      </c>
      <c r="AJ17" s="155" t="n">
        <v>0.862190812720848</v>
      </c>
      <c r="AK17" s="155" t="n">
        <v>0.45583038869258</v>
      </c>
      <c r="AL17" t="n">
        <v>593</v>
      </c>
      <c r="AM17" t="n">
        <v>558</v>
      </c>
      <c r="AN17" t="n">
        <v>286</v>
      </c>
      <c r="AO17" t="n">
        <v>0.9409999999999999</v>
      </c>
      <c r="AP17" t="n">
        <v>0.4823</v>
      </c>
    </row>
    <row r="18">
      <c r="A18" s="156" t="inlineStr">
        <is>
          <t>S51 - Arrived destination CFS</t>
        </is>
      </c>
      <c r="B18" s="157" t="inlineStr">
        <is>
          <t>Actual</t>
        </is>
      </c>
      <c r="C18" s="158" t="n">
        <v>115</v>
      </c>
      <c r="D18" s="158" t="n">
        <v>75</v>
      </c>
      <c r="E18" s="158" t="n">
        <v>69</v>
      </c>
      <c r="F18" s="159" t="n">
        <v>0.65</v>
      </c>
      <c r="G18" s="159" t="n">
        <v>0.6</v>
      </c>
      <c r="H18" s="158" t="n">
        <v>190</v>
      </c>
      <c r="I18" s="158" t="n">
        <v>73</v>
      </c>
      <c r="J18" s="158" t="n">
        <v>58</v>
      </c>
      <c r="K18" s="159" t="n">
        <v>0.38</v>
      </c>
      <c r="L18" s="159" t="n">
        <v>0.31</v>
      </c>
      <c r="M18" s="158" t="n">
        <v>354</v>
      </c>
      <c r="N18" s="158" t="n">
        <v>102</v>
      </c>
      <c r="O18" s="158" t="n">
        <v>23</v>
      </c>
      <c r="P18" s="159" t="n">
        <v>0.29</v>
      </c>
      <c r="Q18" s="159" t="n">
        <v>0.06</v>
      </c>
      <c r="R18" s="158" t="n">
        <v>294</v>
      </c>
      <c r="S18" s="158" t="n">
        <v>120</v>
      </c>
      <c r="T18" s="158" t="n">
        <v>75</v>
      </c>
      <c r="U18" s="159" t="n">
        <v>0.41</v>
      </c>
      <c r="V18" s="159" t="n">
        <v>0.26</v>
      </c>
      <c r="W18" s="158" t="n">
        <v>223</v>
      </c>
      <c r="X18" s="158" t="n">
        <v>78</v>
      </c>
      <c r="Y18" s="158" t="n">
        <v>31</v>
      </c>
      <c r="Z18" s="159" t="n">
        <v>0.349775784753363</v>
      </c>
      <c r="AA18" s="159" t="n">
        <v>0.139013452914798</v>
      </c>
      <c r="AB18" s="220" t="n">
        <v>183</v>
      </c>
      <c r="AC18" s="220" t="n">
        <v>74</v>
      </c>
      <c r="AD18" s="220" t="n">
        <v>52</v>
      </c>
      <c r="AE18" s="221" t="n">
        <v>0.4</v>
      </c>
      <c r="AF18" s="222" t="n">
        <v>0.28</v>
      </c>
      <c r="AG18" s="244" t="n">
        <v>263</v>
      </c>
      <c r="AH18" s="244" t="n">
        <v>153</v>
      </c>
      <c r="AI18" s="244" t="n">
        <v>84</v>
      </c>
      <c r="AJ18" s="245" t="n">
        <v>0.581749049429658</v>
      </c>
      <c r="AK18" s="246" t="n">
        <v>0.319391634980989</v>
      </c>
      <c r="AL18" t="n">
        <v>259</v>
      </c>
      <c r="AM18" t="n">
        <v>175</v>
      </c>
      <c r="AN18" t="n">
        <v>98</v>
      </c>
      <c r="AO18" t="n">
        <v>0.6757</v>
      </c>
      <c r="AP18" t="n">
        <v>0.3784</v>
      </c>
    </row>
    <row r="19">
      <c r="A19" s="156" t="inlineStr">
        <is>
          <t>S18 - Recovered from carrier</t>
        </is>
      </c>
      <c r="B19" s="157" t="inlineStr">
        <is>
          <t>Actual</t>
        </is>
      </c>
      <c r="C19" s="158" t="n">
        <v>53</v>
      </c>
      <c r="D19" s="158" t="n">
        <v>12</v>
      </c>
      <c r="E19" s="158" t="n">
        <v>2</v>
      </c>
      <c r="F19" s="159" t="n">
        <v>0.23</v>
      </c>
      <c r="G19" s="159" t="n">
        <v>0.04</v>
      </c>
      <c r="H19" s="158" t="n">
        <v>200</v>
      </c>
      <c r="I19" s="158" t="n">
        <v>25</v>
      </c>
      <c r="J19" s="158" t="n">
        <v>12</v>
      </c>
      <c r="K19" s="159" t="n">
        <v>0.13</v>
      </c>
      <c r="L19" s="159" t="n">
        <v>0.06</v>
      </c>
      <c r="M19" s="158" t="n">
        <v>321</v>
      </c>
      <c r="N19" s="158" t="n">
        <v>98</v>
      </c>
      <c r="O19" s="158" t="n">
        <v>57</v>
      </c>
      <c r="P19" s="159" t="n">
        <v>0.31</v>
      </c>
      <c r="Q19" s="159" t="n">
        <v>0.18</v>
      </c>
      <c r="R19" s="158" t="n">
        <v>425</v>
      </c>
      <c r="S19" s="158" t="n">
        <v>258</v>
      </c>
      <c r="T19" s="158" t="n">
        <v>160</v>
      </c>
      <c r="U19" s="159" t="n">
        <v>0.61</v>
      </c>
      <c r="V19" s="159" t="n">
        <v>0.38</v>
      </c>
      <c r="W19" s="158" t="n">
        <v>304</v>
      </c>
      <c r="X19" s="158" t="n">
        <v>194</v>
      </c>
      <c r="Y19" s="158" t="n">
        <v>93</v>
      </c>
      <c r="Z19" s="159" t="n">
        <v>0.638157894736842</v>
      </c>
      <c r="AA19" s="159" t="n">
        <v>0.305921052631579</v>
      </c>
      <c r="AB19" s="220" t="n">
        <v>386</v>
      </c>
      <c r="AC19" s="220" t="n">
        <v>316</v>
      </c>
      <c r="AD19" s="220" t="n">
        <v>145</v>
      </c>
      <c r="AE19" s="221" t="n">
        <v>0.82</v>
      </c>
      <c r="AF19" s="222" t="n">
        <v>0.38</v>
      </c>
      <c r="AG19" s="244" t="n">
        <v>303</v>
      </c>
      <c r="AH19" s="244" t="n">
        <v>244</v>
      </c>
      <c r="AI19" s="244" t="n">
        <v>121</v>
      </c>
      <c r="AJ19" s="245" t="n">
        <v>0.805280528052805</v>
      </c>
      <c r="AK19" s="246" t="n">
        <v>0.399339933993399</v>
      </c>
      <c r="AL19" t="n">
        <v>334</v>
      </c>
      <c r="AM19" t="n">
        <v>265</v>
      </c>
      <c r="AN19" t="n">
        <v>168</v>
      </c>
      <c r="AO19" t="n">
        <v>0.7934</v>
      </c>
      <c r="AP19" t="n">
        <v>0.503</v>
      </c>
    </row>
    <row r="20">
      <c r="A20" s="156" t="inlineStr">
        <is>
          <t>S12 - On hand at destination Hub/ CC</t>
        </is>
      </c>
      <c r="B20" s="157" t="inlineStr">
        <is>
          <t>Actual</t>
        </is>
      </c>
      <c r="C20" s="158" t="n">
        <v>53</v>
      </c>
      <c r="D20" s="158" t="n">
        <v>15</v>
      </c>
      <c r="E20" s="158" t="n">
        <v>3</v>
      </c>
      <c r="F20" s="159" t="n">
        <v>0.28</v>
      </c>
      <c r="G20" s="159" t="n">
        <v>0.06</v>
      </c>
      <c r="H20" s="158" t="n">
        <v>200</v>
      </c>
      <c r="I20" s="158" t="n">
        <v>67</v>
      </c>
      <c r="J20" s="158" t="n">
        <v>30</v>
      </c>
      <c r="K20" s="159" t="n">
        <v>0.34</v>
      </c>
      <c r="L20" s="159" t="n">
        <v>0.15</v>
      </c>
      <c r="M20" s="158" t="n">
        <v>321</v>
      </c>
      <c r="N20" s="158" t="n">
        <v>158</v>
      </c>
      <c r="O20" s="158" t="n">
        <v>79</v>
      </c>
      <c r="P20" s="159" t="n">
        <v>0.49</v>
      </c>
      <c r="Q20" s="159" t="n">
        <v>0.25</v>
      </c>
      <c r="R20" s="158" t="n">
        <v>425</v>
      </c>
      <c r="S20" s="158" t="n">
        <v>311</v>
      </c>
      <c r="T20" s="158" t="n">
        <v>174</v>
      </c>
      <c r="U20" s="159" t="n">
        <v>0.73</v>
      </c>
      <c r="V20" s="159" t="n">
        <v>0.41</v>
      </c>
      <c r="W20" s="158" t="n">
        <v>304</v>
      </c>
      <c r="X20" s="158" t="n">
        <v>212</v>
      </c>
      <c r="Y20" s="158" t="n">
        <v>95</v>
      </c>
      <c r="Z20" s="159" t="n">
        <v>0.697368421052632</v>
      </c>
      <c r="AA20" s="159" t="n">
        <v>0.3125</v>
      </c>
      <c r="AB20" s="220" t="n">
        <v>386</v>
      </c>
      <c r="AC20" s="220" t="n">
        <v>335</v>
      </c>
      <c r="AD20" s="220" t="n">
        <v>142</v>
      </c>
      <c r="AE20" s="221" t="n">
        <v>0.87</v>
      </c>
      <c r="AF20" s="222" t="n">
        <v>0.37</v>
      </c>
      <c r="AG20" s="244" t="n">
        <v>303</v>
      </c>
      <c r="AH20" s="244" t="n">
        <v>256</v>
      </c>
      <c r="AI20" s="244" t="n">
        <v>126</v>
      </c>
      <c r="AJ20" s="245" t="n">
        <v>0.844884488448845</v>
      </c>
      <c r="AK20" s="246" t="n">
        <v>0.415841584158416</v>
      </c>
      <c r="AL20" t="n">
        <v>334</v>
      </c>
      <c r="AM20" t="n">
        <v>287</v>
      </c>
      <c r="AN20" t="n">
        <v>171</v>
      </c>
      <c r="AO20" t="n">
        <v>0.8593</v>
      </c>
      <c r="AP20" t="n">
        <v>0.512</v>
      </c>
    </row>
    <row r="21">
      <c r="A21" s="156" t="inlineStr">
        <is>
          <t>S13 - On hand at destination SVC</t>
        </is>
      </c>
      <c r="B21" s="157" t="inlineStr">
        <is>
          <t>Actual</t>
        </is>
      </c>
      <c r="C21" s="158" t="n">
        <v>53</v>
      </c>
      <c r="D21" s="158" t="n">
        <v>15</v>
      </c>
      <c r="E21" s="158" t="n">
        <v>2</v>
      </c>
      <c r="F21" s="159" t="n">
        <v>0.28</v>
      </c>
      <c r="G21" s="159" t="n">
        <v>0.04</v>
      </c>
      <c r="H21" s="158" t="n">
        <v>200</v>
      </c>
      <c r="I21" s="158" t="n">
        <v>27</v>
      </c>
      <c r="J21" s="158" t="n">
        <v>16</v>
      </c>
      <c r="K21" s="159" t="n">
        <v>0.14</v>
      </c>
      <c r="L21" s="159" t="n">
        <v>0.08</v>
      </c>
      <c r="M21" s="158" t="n">
        <v>321</v>
      </c>
      <c r="N21" s="158" t="n">
        <v>110</v>
      </c>
      <c r="O21" s="158" t="n">
        <v>70</v>
      </c>
      <c r="P21" s="159" t="n">
        <v>0.34</v>
      </c>
      <c r="Q21" s="159" t="n">
        <v>0.22</v>
      </c>
      <c r="R21" s="158" t="n">
        <v>425</v>
      </c>
      <c r="S21" s="158" t="n">
        <v>281</v>
      </c>
      <c r="T21" s="158" t="n">
        <v>213</v>
      </c>
      <c r="U21" s="159" t="n">
        <v>0.66</v>
      </c>
      <c r="V21" s="159" t="n">
        <v>0.5</v>
      </c>
      <c r="W21" s="158" t="n">
        <v>304</v>
      </c>
      <c r="X21" s="158" t="n">
        <v>213</v>
      </c>
      <c r="Y21" s="158" t="n">
        <v>138</v>
      </c>
      <c r="Z21" s="159" t="n">
        <v>0.700657894736842</v>
      </c>
      <c r="AA21" s="159" t="n">
        <v>0.453947368421053</v>
      </c>
      <c r="AB21" s="220" t="n">
        <v>386</v>
      </c>
      <c r="AC21" s="220" t="n">
        <v>337</v>
      </c>
      <c r="AD21" s="220" t="n">
        <v>235</v>
      </c>
      <c r="AE21" s="221" t="n">
        <v>0.87</v>
      </c>
      <c r="AF21" s="222" t="n">
        <v>0.61</v>
      </c>
      <c r="AG21" s="244" t="n">
        <v>303</v>
      </c>
      <c r="AH21" s="244" t="n">
        <v>266</v>
      </c>
      <c r="AI21" s="244" t="n">
        <v>198</v>
      </c>
      <c r="AJ21" s="245" t="n">
        <v>0.877887788778878</v>
      </c>
      <c r="AK21" s="246" t="n">
        <v>0.653465346534653</v>
      </c>
      <c r="AL21" t="n">
        <v>334</v>
      </c>
      <c r="AM21" t="n">
        <v>287</v>
      </c>
      <c r="AN21" t="n">
        <v>230</v>
      </c>
      <c r="AO21" t="n">
        <v>0.8593</v>
      </c>
      <c r="AP21" t="n">
        <v>0.6886</v>
      </c>
    </row>
    <row r="22">
      <c r="A22" s="152" t="inlineStr">
        <is>
          <t>S45 - Handover to broker</t>
        </is>
      </c>
      <c r="B22" s="153" t="inlineStr">
        <is>
          <t>Actual</t>
        </is>
      </c>
      <c r="C22" s="154" t="n">
        <v>118</v>
      </c>
      <c r="D22" s="154" t="n">
        <v>118</v>
      </c>
      <c r="E22" s="154" t="n">
        <v>118</v>
      </c>
      <c r="F22" s="155" t="n">
        <v>1</v>
      </c>
      <c r="G22" s="155" t="n">
        <v>1</v>
      </c>
      <c r="H22" s="154" t="n">
        <v>129</v>
      </c>
      <c r="I22" s="154" t="n">
        <v>129</v>
      </c>
      <c r="J22" s="154" t="n">
        <v>119</v>
      </c>
      <c r="K22" s="155" t="n">
        <v>1</v>
      </c>
      <c r="L22" s="155" t="n">
        <v>0.92</v>
      </c>
      <c r="M22" s="154" t="n">
        <v>213</v>
      </c>
      <c r="N22" s="154" t="n">
        <v>120</v>
      </c>
      <c r="O22" s="154" t="n">
        <v>116</v>
      </c>
      <c r="P22" s="155" t="n">
        <v>0.5600000000000001</v>
      </c>
      <c r="Q22" s="155" t="n">
        <v>0.54</v>
      </c>
      <c r="R22" s="154" t="n">
        <v>184</v>
      </c>
      <c r="S22" s="154" t="n">
        <v>77</v>
      </c>
      <c r="T22" s="154" t="n">
        <v>68</v>
      </c>
      <c r="U22" s="155" t="n">
        <v>0.42</v>
      </c>
      <c r="V22" s="155" t="n">
        <v>0.37</v>
      </c>
      <c r="W22" s="154" t="n">
        <v>109</v>
      </c>
      <c r="X22" s="154" t="n">
        <v>52</v>
      </c>
      <c r="Y22" s="154" t="n">
        <v>52</v>
      </c>
      <c r="Z22" s="155" t="n">
        <v>0.477064220183486</v>
      </c>
      <c r="AA22" s="155" t="n">
        <v>0.477064220183486</v>
      </c>
      <c r="AB22" s="154" t="n">
        <v>110</v>
      </c>
      <c r="AC22" s="154" t="n">
        <v>23</v>
      </c>
      <c r="AD22" s="154" t="n">
        <v>23</v>
      </c>
      <c r="AE22" s="155" t="n">
        <v>0.21</v>
      </c>
      <c r="AF22" s="155" t="n">
        <v>0.21</v>
      </c>
      <c r="AG22" s="154" t="n">
        <v>193</v>
      </c>
      <c r="AH22" s="154" t="n">
        <v>56</v>
      </c>
      <c r="AI22" s="154" t="n">
        <v>54</v>
      </c>
      <c r="AJ22" s="155" t="n">
        <v>0.290155440414508</v>
      </c>
      <c r="AK22" s="155" t="n">
        <v>0.27979274611399</v>
      </c>
      <c r="AL22" t="n">
        <v>118</v>
      </c>
      <c r="AM22" t="n">
        <v>3</v>
      </c>
      <c r="AN22" t="n">
        <v>0</v>
      </c>
      <c r="AO22" t="n">
        <v>0.0254</v>
      </c>
      <c r="AP22" t="n">
        <v>0</v>
      </c>
    </row>
    <row r="23">
      <c r="A23" s="156" t="inlineStr">
        <is>
          <t>S05 - In delivery</t>
        </is>
      </c>
      <c r="B23" s="157" t="inlineStr">
        <is>
          <t>Actual</t>
        </is>
      </c>
      <c r="C23" s="158" t="n">
        <v>50</v>
      </c>
      <c r="D23" s="158" t="n">
        <v>10</v>
      </c>
      <c r="E23" s="158" t="n">
        <v>9</v>
      </c>
      <c r="F23" s="159" t="n">
        <v>0.2</v>
      </c>
      <c r="G23" s="159" t="n">
        <v>0.18</v>
      </c>
      <c r="H23" s="158" t="n">
        <v>261</v>
      </c>
      <c r="I23" s="158" t="n">
        <v>22</v>
      </c>
      <c r="J23" s="158" t="n">
        <v>19</v>
      </c>
      <c r="K23" s="159" t="n">
        <v>0.08</v>
      </c>
      <c r="L23" s="159" t="n">
        <v>0.07000000000000001</v>
      </c>
      <c r="M23" s="158" t="n">
        <v>462</v>
      </c>
      <c r="N23" s="158" t="n">
        <v>49</v>
      </c>
      <c r="O23" s="158" t="n">
        <v>18</v>
      </c>
      <c r="P23" s="159" t="n">
        <v>0.11</v>
      </c>
      <c r="Q23" s="159" t="n">
        <v>0.04</v>
      </c>
      <c r="R23" s="158" t="n">
        <v>535</v>
      </c>
      <c r="S23" s="158" t="n">
        <v>69</v>
      </c>
      <c r="T23" s="158" t="n">
        <v>12</v>
      </c>
      <c r="U23" s="159" t="n">
        <v>0.13</v>
      </c>
      <c r="V23" s="159" t="n">
        <v>0.02</v>
      </c>
      <c r="W23" s="158" t="n">
        <v>418</v>
      </c>
      <c r="X23" s="158" t="n">
        <v>73</v>
      </c>
      <c r="Y23" s="158" t="n">
        <v>37</v>
      </c>
      <c r="Z23" s="159" t="n">
        <v>0.174641148325359</v>
      </c>
      <c r="AA23" s="159" t="n">
        <v>0.0885167464114833</v>
      </c>
      <c r="AB23" s="220" t="n">
        <v>459</v>
      </c>
      <c r="AC23" s="220" t="n">
        <v>55</v>
      </c>
      <c r="AD23" s="220" t="n">
        <v>24</v>
      </c>
      <c r="AE23" s="221" t="n">
        <v>0.12</v>
      </c>
      <c r="AF23" s="222" t="n">
        <v>0.05</v>
      </c>
      <c r="AG23" s="244" t="n">
        <v>373</v>
      </c>
      <c r="AH23" s="244" t="n">
        <v>78</v>
      </c>
      <c r="AI23" s="244" t="n">
        <v>27</v>
      </c>
      <c r="AJ23" s="245" t="n">
        <v>0.20911528150134</v>
      </c>
      <c r="AK23" s="246" t="n">
        <v>0.07238605898123331</v>
      </c>
      <c r="AL23" t="n">
        <v>475</v>
      </c>
      <c r="AM23" t="n">
        <v>100</v>
      </c>
      <c r="AN23" t="n">
        <v>29</v>
      </c>
      <c r="AO23" t="n">
        <v>0.2105</v>
      </c>
      <c r="AP23" t="n">
        <v>0.0611</v>
      </c>
    </row>
    <row r="24">
      <c r="A24" s="152" t="inlineStr">
        <is>
          <t>S31 - Delivered</t>
        </is>
      </c>
      <c r="B24" s="153" t="inlineStr">
        <is>
          <t>Estimated</t>
        </is>
      </c>
      <c r="C24" s="154" t="n">
        <v>50</v>
      </c>
      <c r="D24" s="154" t="n">
        <v>48</v>
      </c>
      <c r="E24" s="154" t="n">
        <v>40</v>
      </c>
      <c r="F24" s="155" t="n">
        <v>0.96</v>
      </c>
      <c r="G24" s="155" t="n">
        <v>0.8</v>
      </c>
      <c r="H24" s="154" t="n">
        <v>261</v>
      </c>
      <c r="I24" s="154" t="n">
        <v>258</v>
      </c>
      <c r="J24" s="154" t="n">
        <v>214</v>
      </c>
      <c r="K24" s="155" t="n">
        <v>0.99</v>
      </c>
      <c r="L24" s="155" t="n">
        <v>0.82</v>
      </c>
      <c r="M24" s="154" t="n">
        <v>462</v>
      </c>
      <c r="N24" s="154" t="n">
        <v>449</v>
      </c>
      <c r="O24" s="154" t="n">
        <v>325</v>
      </c>
      <c r="P24" s="155" t="n">
        <v>0.97</v>
      </c>
      <c r="Q24" s="155" t="n">
        <v>0.7</v>
      </c>
      <c r="R24" s="154" t="n">
        <v>535</v>
      </c>
      <c r="S24" s="154" t="n">
        <v>522</v>
      </c>
      <c r="T24" s="154" t="n">
        <v>358</v>
      </c>
      <c r="U24" s="155" t="n">
        <v>0.98</v>
      </c>
      <c r="V24" s="155" t="n">
        <v>0.67</v>
      </c>
      <c r="W24" s="154" t="n">
        <v>418</v>
      </c>
      <c r="X24" s="154" t="n">
        <v>400</v>
      </c>
      <c r="Y24" s="154" t="n">
        <v>288</v>
      </c>
      <c r="Z24" s="155" t="n">
        <v>0.956937799043062</v>
      </c>
      <c r="AA24" s="155" t="n">
        <v>0.688995215311005</v>
      </c>
      <c r="AB24" s="154" t="n">
        <v>459</v>
      </c>
      <c r="AC24" s="154" t="n">
        <v>430</v>
      </c>
      <c r="AD24" s="154" t="n">
        <v>309</v>
      </c>
      <c r="AE24" s="155" t="n">
        <v>0.9399999999999999</v>
      </c>
      <c r="AF24" s="155" t="n">
        <v>0.67</v>
      </c>
      <c r="AG24" s="154" t="n">
        <v>373</v>
      </c>
      <c r="AH24" s="154" t="n">
        <v>355</v>
      </c>
      <c r="AI24" s="154" t="n">
        <v>271</v>
      </c>
      <c r="AJ24" s="155" t="n">
        <v>0.951742627345844</v>
      </c>
      <c r="AK24" s="155" t="n">
        <v>0.726541554959786</v>
      </c>
      <c r="AL24" t="n">
        <v>475</v>
      </c>
      <c r="AM24" t="n">
        <v>437</v>
      </c>
      <c r="AN24" t="n">
        <v>328</v>
      </c>
      <c r="AO24" t="n">
        <v>0.92</v>
      </c>
      <c r="AP24" t="n">
        <v>0.6905</v>
      </c>
    </row>
    <row r="25">
      <c r="A25" s="152" t="inlineStr">
        <is>
          <t>S31 - Delivered</t>
        </is>
      </c>
      <c r="B25" s="153" t="inlineStr">
        <is>
          <t>Actual</t>
        </is>
      </c>
      <c r="C25" s="154" t="n">
        <v>50</v>
      </c>
      <c r="D25" s="154" t="n">
        <v>50</v>
      </c>
      <c r="E25" s="154" t="n">
        <v>2</v>
      </c>
      <c r="F25" s="155" t="n">
        <v>1</v>
      </c>
      <c r="G25" s="155" t="n">
        <v>0.04</v>
      </c>
      <c r="H25" s="154" t="n">
        <v>261</v>
      </c>
      <c r="I25" s="154" t="n">
        <v>261</v>
      </c>
      <c r="J25" s="154" t="n">
        <v>32</v>
      </c>
      <c r="K25" s="155" t="n">
        <v>1</v>
      </c>
      <c r="L25" s="155" t="n">
        <v>0.12</v>
      </c>
      <c r="M25" s="154" t="n">
        <v>462</v>
      </c>
      <c r="N25" s="154" t="n">
        <v>353</v>
      </c>
      <c r="O25" s="154" t="n">
        <v>132</v>
      </c>
      <c r="P25" s="155" t="n">
        <v>0.76</v>
      </c>
      <c r="Q25" s="155" t="n">
        <v>0.29</v>
      </c>
      <c r="R25" s="154" t="n">
        <v>535</v>
      </c>
      <c r="S25" s="154" t="n">
        <v>445</v>
      </c>
      <c r="T25" s="154" t="n">
        <v>48</v>
      </c>
      <c r="U25" s="155" t="n">
        <v>0.83</v>
      </c>
      <c r="V25" s="155" t="n">
        <v>0.09</v>
      </c>
      <c r="W25" s="154" t="n">
        <v>418</v>
      </c>
      <c r="X25" s="154" t="n">
        <v>351</v>
      </c>
      <c r="Y25" s="154" t="n">
        <v>44</v>
      </c>
      <c r="Z25" s="155" t="n">
        <v>0.839712918660287</v>
      </c>
      <c r="AA25" s="155" t="n">
        <v>0.105263157894737</v>
      </c>
      <c r="AB25" s="154" t="n">
        <v>459</v>
      </c>
      <c r="AC25" s="154" t="n">
        <v>304</v>
      </c>
      <c r="AD25" s="154" t="n">
        <v>73</v>
      </c>
      <c r="AE25" s="155" t="n">
        <v>0.66</v>
      </c>
      <c r="AF25" s="155" t="n">
        <v>0.16</v>
      </c>
      <c r="AG25" s="154" t="n">
        <v>373</v>
      </c>
      <c r="AH25" s="154" t="n">
        <v>267</v>
      </c>
      <c r="AI25" s="154" t="n">
        <v>49</v>
      </c>
      <c r="AJ25" s="155" t="n">
        <v>0.715817694369973</v>
      </c>
      <c r="AK25" s="155" t="n">
        <v>0.131367292225201</v>
      </c>
      <c r="AL25" t="n">
        <v>475</v>
      </c>
      <c r="AM25" t="n">
        <v>349</v>
      </c>
      <c r="AN25" t="n">
        <v>56</v>
      </c>
      <c r="AO25" t="n">
        <v>0.7347</v>
      </c>
      <c r="AP25" t="n">
        <v>0.1179</v>
      </c>
    </row>
    <row r="26"/>
    <row r="27" ht="15" customHeight="1" s="340">
      <c r="T27" s="149" t="inlineStr">
        <is>
          <t>SC3+ SC4</t>
        </is>
      </c>
      <c r="V27" s="149" t="inlineStr">
        <is>
          <t>critical</t>
        </is>
      </c>
      <c r="W27" s="320">
        <f>SUM(W5:W7,W14:W17,W22,W24:W25,'SC3 Data'!W7:W8,'SC3 Data'!W12:W15,'SC3 Data'!W19:W20,'SC3 Data'!W22:W23)</f>
        <v/>
      </c>
      <c r="X27" s="321">
        <f>SUM(X5:X7,X14:X17,X22,X24:X25,'SC3 Data'!X7:X8,'SC3 Data'!X12:X15,'SC3 Data'!X19:X20,'SC3 Data'!X22:X23)</f>
        <v/>
      </c>
      <c r="Y27" s="321">
        <f>SUM(Y5:Y7,Y14:Y17,Y22,Y24:Y25,'SC3 Data'!Y7:Y8,'SC3 Data'!Y12:Y15,'SC3 Data'!Y19:Y20,'SC3 Data'!Y22:Y23)</f>
        <v/>
      </c>
      <c r="Z27" s="323">
        <f>X27/W27</f>
        <v/>
      </c>
      <c r="AA27" s="324">
        <f>Y27/X27</f>
        <v/>
      </c>
      <c r="AB27" s="321">
        <f>SUM(AB5:AB7,AB14:AB17,AB22,AB24:AB25,'SC3 Data'!AB7:AB8,'SC3 Data'!AB12:AB15,'SC3 Data'!AB19:AB20,'SC3 Data'!AB22:AB23)</f>
        <v/>
      </c>
      <c r="AC27" s="321">
        <f>SUM(AC5:AC7,AC14:AC17,AC22,AC24:AC25,'SC3 Data'!AC7:AC8,'SC3 Data'!AC12:AC15,'SC3 Data'!AC19:AC20,'SC3 Data'!AC22:AC23)</f>
        <v/>
      </c>
      <c r="AD27" s="321">
        <f>SUM(AD5:AD7,AD14:AD17,AD22,AD24:AD25,'SC3 Data'!AD7:AD8,'SC3 Data'!AD12:AD15,'SC3 Data'!AD19:AD20,'SC3 Data'!AD22:AD23)</f>
        <v/>
      </c>
      <c r="AE27" s="324">
        <f>AC27/AB27</f>
        <v/>
      </c>
      <c r="AF27" s="324">
        <f>AD27/AC27</f>
        <v/>
      </c>
      <c r="AG27" s="321">
        <f>SUM(AG5:AG7,AG14:AG17,AG22,AG24:AG25,'SC3 Data'!AG7:AG8,'SC3 Data'!AG12:AG15,'SC3 Data'!AG19:AG20,'SC3 Data'!AG22:AG23)</f>
        <v/>
      </c>
      <c r="AH27" s="321">
        <f>SUM(AH5:AH7,AH14:AH17,AH22,AH24:AH25,'SC3 Data'!AH7:AH8,'SC3 Data'!AH12:AH15,'SC3 Data'!AH19:AH20,'SC3 Data'!AH22:AH23)</f>
        <v/>
      </c>
      <c r="AI27" s="321">
        <f>SUM(AI5:AI7,AI14:AI17,AI22,AI24:AI25,'SC3 Data'!AI7:AI8,'SC3 Data'!AI12:AI15,'SC3 Data'!AI19:AI20,'SC3 Data'!AI22:AI23)</f>
        <v/>
      </c>
      <c r="AJ27" s="324">
        <f>AH27/AG27</f>
        <v/>
      </c>
      <c r="AK27" s="324">
        <f>AI27/AH27</f>
        <v/>
      </c>
    </row>
    <row r="28" ht="15" customHeight="1" s="340">
      <c r="V28" s="149" t="inlineStr">
        <is>
          <t>all</t>
        </is>
      </c>
      <c r="W28" s="320">
        <f>SUM(W8:W25,'SC3 Data'!W5:W24)</f>
        <v/>
      </c>
      <c r="X28" s="321">
        <f>SUM(X8:X25,'SC3 Data'!X5:X24)</f>
        <v/>
      </c>
      <c r="Y28" s="321">
        <f>SUM(Y8:Y25,'SC3 Data'!Y5:Y24)</f>
        <v/>
      </c>
      <c r="Z28" s="323">
        <f>X28/W28</f>
        <v/>
      </c>
      <c r="AA28" s="324">
        <f>Y28/X28</f>
        <v/>
      </c>
      <c r="AB28" s="321">
        <f>SUM(AB8:AB25,'SC3 Data'!AB5:AB24)</f>
        <v/>
      </c>
      <c r="AC28" s="321">
        <f>SUM(AC8:AC25,'SC3 Data'!AC5:AC24)</f>
        <v/>
      </c>
      <c r="AD28" s="321">
        <f>SUM(AD8:AD25,'SC3 Data'!AD5:AD24)</f>
        <v/>
      </c>
      <c r="AE28" s="324">
        <f>AC28/AB28</f>
        <v/>
      </c>
      <c r="AF28" s="324">
        <f>AD28/AC28</f>
        <v/>
      </c>
      <c r="AG28" s="321">
        <f>SUM(AG8:AG25,'SC3 Data'!AG5:AG24)</f>
        <v/>
      </c>
      <c r="AH28" s="321">
        <f>SUM(AH8:AH25,'SC3 Data'!AH5:AH24)</f>
        <v/>
      </c>
      <c r="AI28" s="321">
        <f>SUM(AI8:AI25,'SC3 Data'!AI5:AI24)</f>
        <v/>
      </c>
      <c r="AJ28" s="324">
        <f>AH28/AG28</f>
        <v/>
      </c>
      <c r="AK28" s="324">
        <f>AI28/AH28</f>
        <v/>
      </c>
    </row>
  </sheetData>
  <autoFilter ref="A4:AF4"/>
  <mergeCells count="9">
    <mergeCell ref="A2:V2"/>
    <mergeCell ref="AB3:AF3"/>
    <mergeCell ref="H3:L3"/>
    <mergeCell ref="AG3:AK3"/>
    <mergeCell ref="A1:V1"/>
    <mergeCell ref="R3:V3"/>
    <mergeCell ref="W3:AA3"/>
    <mergeCell ref="M3:Q3"/>
    <mergeCell ref="C3:G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2F5496"/>
    <outlinePr summaryBelow="1" summaryRight="1"/>
    <pageSetUpPr/>
  </sheetPr>
  <dimension ref="A1:AP25"/>
  <sheetViews>
    <sheetView zoomScaleNormal="100"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AJ23" activeCellId="9" sqref="AJ7 AJ8 AJ12 AJ13 AJ14 AJ15 AJ19 AJ20 AJ22 AJ23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6.5" customWidth="1" style="149" min="3" max="37"/>
    <col width="8.6640625" customWidth="1" style="149" min="38" max="16384"/>
  </cols>
  <sheetData>
    <row r="1" ht="30" customHeight="1" s="340">
      <c r="A1" s="384" t="inlineStr">
        <is>
          <t>SC3 - Weekly Milestone Data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  <c r="L1" s="441" t="n"/>
      <c r="M1" s="441" t="n"/>
      <c r="N1" s="441" t="n"/>
      <c r="O1" s="441" t="n"/>
      <c r="P1" s="441" t="n"/>
      <c r="Q1" s="441" t="n"/>
      <c r="R1" s="441" t="n"/>
      <c r="S1" s="441" t="n"/>
      <c r="T1" s="441" t="n"/>
      <c r="U1" s="441" t="n"/>
      <c r="V1" s="441" t="n"/>
    </row>
    <row r="2">
      <c r="A2" s="385" t="inlineStr">
        <is>
          <t>Critical Milestones: S02, S04, S07, S31, S45</t>
        </is>
      </c>
      <c r="B2" s="441" t="n"/>
      <c r="C2" s="441" t="n"/>
      <c r="D2" s="441" t="n"/>
      <c r="E2" s="441" t="n"/>
      <c r="F2" s="441" t="n"/>
      <c r="G2" s="441" t="n"/>
      <c r="H2" s="441" t="n"/>
      <c r="I2" s="441" t="n"/>
      <c r="J2" s="441" t="n"/>
      <c r="K2" s="441" t="n"/>
      <c r="L2" s="441" t="n"/>
      <c r="M2" s="441" t="n"/>
      <c r="N2" s="441" t="n"/>
      <c r="O2" s="441" t="n"/>
      <c r="P2" s="441" t="n"/>
      <c r="Q2" s="441" t="n"/>
      <c r="R2" s="441" t="n"/>
      <c r="S2" s="441" t="n"/>
      <c r="T2" s="441" t="n"/>
      <c r="U2" s="441" t="n"/>
      <c r="V2" s="441" t="n"/>
    </row>
    <row r="3">
      <c r="C3" s="383" t="inlineStr">
        <is>
          <t>Week 1</t>
        </is>
      </c>
      <c r="D3" s="441" t="n"/>
      <c r="E3" s="441" t="n"/>
      <c r="F3" s="441" t="n"/>
      <c r="G3" s="442" t="n"/>
      <c r="H3" s="383" t="inlineStr">
        <is>
          <t>Week 2</t>
        </is>
      </c>
      <c r="I3" s="441" t="n"/>
      <c r="J3" s="441" t="n"/>
      <c r="K3" s="441" t="n"/>
      <c r="L3" s="442" t="n"/>
      <c r="M3" s="383" t="inlineStr">
        <is>
          <t>Week 3</t>
        </is>
      </c>
      <c r="N3" s="441" t="n"/>
      <c r="O3" s="441" t="n"/>
      <c r="P3" s="441" t="n"/>
      <c r="Q3" s="442" t="n"/>
      <c r="R3" s="383" t="inlineStr">
        <is>
          <t>Week 4</t>
        </is>
      </c>
      <c r="S3" s="441" t="n"/>
      <c r="T3" s="441" t="n"/>
      <c r="U3" s="441" t="n"/>
      <c r="V3" s="442" t="n"/>
      <c r="W3" s="383" t="inlineStr">
        <is>
          <t>Week 5</t>
        </is>
      </c>
      <c r="X3" s="441" t="n"/>
      <c r="Y3" s="441" t="n"/>
      <c r="Z3" s="441" t="n"/>
      <c r="AA3" s="442" t="n"/>
      <c r="AB3" s="383" t="inlineStr">
        <is>
          <t>Week 6</t>
        </is>
      </c>
      <c r="AC3" s="441" t="n"/>
      <c r="AD3" s="441" t="n"/>
      <c r="AE3" s="441" t="n"/>
      <c r="AF3" s="442" t="n"/>
      <c r="AG3" s="383" t="inlineStr">
        <is>
          <t>Week 7</t>
        </is>
      </c>
      <c r="AH3" s="441" t="n"/>
      <c r="AI3" s="441" t="n"/>
      <c r="AJ3" s="441" t="n"/>
      <c r="AK3" s="442" t="n"/>
      <c r="AL3" t="inlineStr">
        <is>
          <t>Week 8</t>
        </is>
      </c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1" t="inlineStr">
        <is>
          <t>Required</t>
        </is>
      </c>
      <c r="D4" s="151" t="inlineStr">
        <is>
          <t>Available</t>
        </is>
      </c>
      <c r="E4" s="151" t="inlineStr">
        <is>
          <t>In Time</t>
        </is>
      </c>
      <c r="F4" s="151" t="inlineStr">
        <is>
          <t>Completeness</t>
        </is>
      </c>
      <c r="G4" s="151" t="inlineStr">
        <is>
          <t>Timeliness</t>
        </is>
      </c>
      <c r="H4" s="151" t="inlineStr">
        <is>
          <t>Required</t>
        </is>
      </c>
      <c r="I4" s="151" t="inlineStr">
        <is>
          <t>Available</t>
        </is>
      </c>
      <c r="J4" s="151" t="inlineStr">
        <is>
          <t>In Time</t>
        </is>
      </c>
      <c r="K4" s="151" t="inlineStr">
        <is>
          <t>Completeness</t>
        </is>
      </c>
      <c r="L4" s="151" t="inlineStr">
        <is>
          <t>Timeliness</t>
        </is>
      </c>
      <c r="M4" s="151" t="inlineStr">
        <is>
          <t>Required</t>
        </is>
      </c>
      <c r="N4" s="151" t="inlineStr">
        <is>
          <t>Available</t>
        </is>
      </c>
      <c r="O4" s="151" t="inlineStr">
        <is>
          <t>In Time</t>
        </is>
      </c>
      <c r="P4" s="151" t="inlineStr">
        <is>
          <t>Completeness</t>
        </is>
      </c>
      <c r="Q4" s="151" t="inlineStr">
        <is>
          <t>Timeliness</t>
        </is>
      </c>
      <c r="R4" s="151" t="inlineStr">
        <is>
          <t>Required</t>
        </is>
      </c>
      <c r="S4" s="151" t="inlineStr">
        <is>
          <t>Available</t>
        </is>
      </c>
      <c r="T4" s="151" t="inlineStr">
        <is>
          <t>In Time</t>
        </is>
      </c>
      <c r="U4" s="151" t="inlineStr">
        <is>
          <t>Completeness</t>
        </is>
      </c>
      <c r="V4" s="151" t="inlineStr">
        <is>
          <t>Timeliness</t>
        </is>
      </c>
      <c r="W4" s="151" t="inlineStr">
        <is>
          <t>Required</t>
        </is>
      </c>
      <c r="X4" s="151" t="inlineStr">
        <is>
          <t>Available</t>
        </is>
      </c>
      <c r="Y4" s="151" t="inlineStr">
        <is>
          <t>In Time</t>
        </is>
      </c>
      <c r="Z4" s="151" t="inlineStr">
        <is>
          <t>Completeness</t>
        </is>
      </c>
      <c r="AA4" s="151" t="inlineStr">
        <is>
          <t>Timeliness</t>
        </is>
      </c>
      <c r="AB4" s="151" t="inlineStr">
        <is>
          <t>Required</t>
        </is>
      </c>
      <c r="AC4" s="151" t="inlineStr">
        <is>
          <t>Available</t>
        </is>
      </c>
      <c r="AD4" s="151" t="inlineStr">
        <is>
          <t>In Time</t>
        </is>
      </c>
      <c r="AE4" s="151" t="inlineStr">
        <is>
          <t>Completeness</t>
        </is>
      </c>
      <c r="AF4" s="151" t="inlineStr">
        <is>
          <t>Timeliness</t>
        </is>
      </c>
      <c r="AG4" s="151" t="inlineStr">
        <is>
          <t>Required</t>
        </is>
      </c>
      <c r="AH4" s="151" t="inlineStr">
        <is>
          <t>Available</t>
        </is>
      </c>
      <c r="AI4" s="151" t="inlineStr">
        <is>
          <t>In Time</t>
        </is>
      </c>
      <c r="AJ4" s="151" t="inlineStr">
        <is>
          <t>Completeness</t>
        </is>
      </c>
      <c r="AK4" s="151" t="inlineStr">
        <is>
          <t>Timeliness</t>
        </is>
      </c>
      <c r="AL4" t="inlineStr">
        <is>
          <t>Required</t>
        </is>
      </c>
      <c r="AM4" t="inlineStr">
        <is>
          <t>Available</t>
        </is>
      </c>
      <c r="AN4" t="inlineStr">
        <is>
          <t>In Time</t>
        </is>
      </c>
      <c r="AO4" t="inlineStr">
        <is>
          <t>Completeness</t>
        </is>
      </c>
      <c r="AP4" t="inlineStr">
        <is>
          <t>Timeliness</t>
        </is>
      </c>
    </row>
    <row r="5">
      <c r="A5" s="156" t="inlineStr">
        <is>
          <t>S60 - Pre-Booking confirmed</t>
        </is>
      </c>
      <c r="B5" s="157" t="inlineStr">
        <is>
          <t>Actual</t>
        </is>
      </c>
      <c r="C5" s="158" t="n">
        <v>29</v>
      </c>
      <c r="D5" s="158" t="n">
        <v>27</v>
      </c>
      <c r="E5" s="158" t="n">
        <v>27</v>
      </c>
      <c r="F5" s="159" t="n">
        <v>0.931</v>
      </c>
      <c r="G5" s="159" t="n">
        <v>0.931</v>
      </c>
      <c r="H5" s="158" t="n">
        <v>36</v>
      </c>
      <c r="I5" s="158" t="n">
        <v>33</v>
      </c>
      <c r="J5" s="158" t="n">
        <v>33</v>
      </c>
      <c r="K5" s="159" t="n">
        <v>0.917</v>
      </c>
      <c r="L5" s="159" t="n">
        <v>0.917</v>
      </c>
      <c r="M5" s="158" t="n">
        <v>51</v>
      </c>
      <c r="N5" s="158" t="n">
        <v>47</v>
      </c>
      <c r="O5" s="158" t="n">
        <v>47</v>
      </c>
      <c r="P5" s="159" t="n">
        <v>0.922</v>
      </c>
      <c r="Q5" s="159" t="n">
        <v>0.922</v>
      </c>
      <c r="R5" s="158" t="n">
        <v>66</v>
      </c>
      <c r="S5" s="158" t="n">
        <v>63</v>
      </c>
      <c r="T5" s="158" t="n">
        <v>62</v>
      </c>
      <c r="U5" s="159" t="n">
        <v>0.955</v>
      </c>
      <c r="V5" s="159" t="n">
        <v>0.9389999999999999</v>
      </c>
      <c r="W5" s="158" t="n">
        <v>52</v>
      </c>
      <c r="X5" s="158" t="n">
        <v>48</v>
      </c>
      <c r="Y5" s="158" t="n">
        <v>48</v>
      </c>
      <c r="Z5" s="159" t="n">
        <v>0.923076923076923</v>
      </c>
      <c r="AA5" s="159" t="n">
        <v>0.923076923076923</v>
      </c>
      <c r="AB5" s="158" t="n">
        <v>76</v>
      </c>
      <c r="AC5" s="158" t="n">
        <v>70</v>
      </c>
      <c r="AD5" s="158" t="n">
        <v>70</v>
      </c>
      <c r="AE5" s="159">
        <f>AC5/AB5</f>
        <v/>
      </c>
      <c r="AF5" s="159">
        <f>AD5/AB5</f>
        <v/>
      </c>
      <c r="AG5" s="244" t="n">
        <v>74</v>
      </c>
      <c r="AH5" s="244" t="n">
        <v>69</v>
      </c>
      <c r="AI5" s="244" t="n">
        <v>67</v>
      </c>
      <c r="AJ5" s="245" t="n">
        <v>0.932432432432432</v>
      </c>
      <c r="AK5" s="246" t="n">
        <v>0.905405405405405</v>
      </c>
      <c r="AL5" t="n">
        <v>56</v>
      </c>
      <c r="AM5" t="n">
        <v>53</v>
      </c>
      <c r="AN5" t="n">
        <v>52</v>
      </c>
      <c r="AO5" t="n">
        <v>0.9464</v>
      </c>
      <c r="AP5" t="n">
        <v>0.9286</v>
      </c>
    </row>
    <row r="6">
      <c r="A6" s="156" t="inlineStr">
        <is>
          <t>S52 - Empty Container picked up</t>
        </is>
      </c>
      <c r="B6" s="157" t="inlineStr">
        <is>
          <t>Actual</t>
        </is>
      </c>
      <c r="C6" s="158" t="n">
        <v>26</v>
      </c>
      <c r="D6" s="158" t="n">
        <v>7</v>
      </c>
      <c r="E6" s="158" t="n">
        <v>5</v>
      </c>
      <c r="F6" s="159" t="n">
        <v>0.269</v>
      </c>
      <c r="G6" s="159" t="n">
        <v>0.192</v>
      </c>
      <c r="H6" s="158" t="n">
        <v>27</v>
      </c>
      <c r="I6" s="158" t="n">
        <v>8</v>
      </c>
      <c r="J6" s="158" t="n">
        <v>6</v>
      </c>
      <c r="K6" s="159" t="n">
        <v>0.296</v>
      </c>
      <c r="L6" s="159" t="n">
        <v>0.222</v>
      </c>
      <c r="M6" s="158" t="n">
        <v>47</v>
      </c>
      <c r="N6" s="158" t="n">
        <v>14</v>
      </c>
      <c r="O6" s="158" t="n">
        <v>12</v>
      </c>
      <c r="P6" s="159" t="n">
        <v>0.298</v>
      </c>
      <c r="Q6" s="159" t="n">
        <v>0.255</v>
      </c>
      <c r="R6" s="158" t="n">
        <v>52</v>
      </c>
      <c r="S6" s="158" t="n">
        <v>10</v>
      </c>
      <c r="T6" s="158" t="n">
        <v>6</v>
      </c>
      <c r="U6" s="159" t="n">
        <v>0.192</v>
      </c>
      <c r="V6" s="159" t="n">
        <v>0.115</v>
      </c>
      <c r="W6" s="158" t="n">
        <v>45</v>
      </c>
      <c r="X6" s="158" t="n">
        <v>13</v>
      </c>
      <c r="Y6" s="158" t="n">
        <v>11</v>
      </c>
      <c r="Z6" s="159" t="n">
        <v>0.288888888888889</v>
      </c>
      <c r="AA6" s="159" t="n">
        <v>0.244444444444444</v>
      </c>
      <c r="AB6" s="158" t="n">
        <v>46</v>
      </c>
      <c r="AC6" s="158" t="n">
        <v>14</v>
      </c>
      <c r="AD6" s="158" t="n">
        <v>6</v>
      </c>
      <c r="AE6" s="159">
        <f>AC6/AB6</f>
        <v/>
      </c>
      <c r="AF6" s="159">
        <f>AD6/AB6</f>
        <v/>
      </c>
      <c r="AG6" s="244" t="n">
        <v>64</v>
      </c>
      <c r="AH6" s="244" t="n">
        <v>22</v>
      </c>
      <c r="AI6" s="244" t="n">
        <v>16</v>
      </c>
      <c r="AJ6" s="245" t="n">
        <v>0.34375</v>
      </c>
      <c r="AK6" s="246" t="n">
        <v>0.25</v>
      </c>
      <c r="AL6" t="n">
        <v>54</v>
      </c>
      <c r="AM6" t="n">
        <v>15</v>
      </c>
      <c r="AN6" t="n">
        <v>4</v>
      </c>
      <c r="AO6" t="n">
        <v>0.2778</v>
      </c>
      <c r="AP6" t="n">
        <v>0.0741</v>
      </c>
    </row>
    <row r="7">
      <c r="A7" s="152" t="inlineStr">
        <is>
          <t>S02 - Collected</t>
        </is>
      </c>
      <c r="B7" s="153" t="inlineStr">
        <is>
          <t>Actual</t>
        </is>
      </c>
      <c r="C7" s="154" t="n">
        <v>240</v>
      </c>
      <c r="D7" s="154" t="n">
        <v>195</v>
      </c>
      <c r="E7" s="154" t="n">
        <v>76</v>
      </c>
      <c r="F7" s="155" t="n">
        <v>0.8129999999999999</v>
      </c>
      <c r="G7" s="155" t="n">
        <v>0.317</v>
      </c>
      <c r="H7" s="154" t="n">
        <v>283</v>
      </c>
      <c r="I7" s="154" t="n">
        <v>224</v>
      </c>
      <c r="J7" s="154" t="n">
        <v>111</v>
      </c>
      <c r="K7" s="155" t="n">
        <v>0.792</v>
      </c>
      <c r="L7" s="155" t="n">
        <v>0.392</v>
      </c>
      <c r="M7" s="154" t="n">
        <v>289</v>
      </c>
      <c r="N7" s="154" t="n">
        <v>211</v>
      </c>
      <c r="O7" s="154" t="n">
        <v>92</v>
      </c>
      <c r="P7" s="155" t="n">
        <v>0.73</v>
      </c>
      <c r="Q7" s="155" t="n">
        <v>0.318</v>
      </c>
      <c r="R7" s="154" t="n">
        <v>306</v>
      </c>
      <c r="S7" s="154" t="n">
        <v>242</v>
      </c>
      <c r="T7" s="154" t="n">
        <v>97</v>
      </c>
      <c r="U7" s="155" t="n">
        <v>0.791</v>
      </c>
      <c r="V7" s="155" t="n">
        <v>0.317</v>
      </c>
      <c r="W7" s="154" t="n">
        <v>292</v>
      </c>
      <c r="X7" s="154" t="n">
        <v>221</v>
      </c>
      <c r="Y7" s="154" t="n">
        <v>100</v>
      </c>
      <c r="Z7" s="155" t="n">
        <v>0.756849315068493</v>
      </c>
      <c r="AA7" s="155" t="n">
        <v>0.342465753424658</v>
      </c>
      <c r="AB7" s="154" t="n">
        <v>304</v>
      </c>
      <c r="AC7" s="154" t="n">
        <v>239</v>
      </c>
      <c r="AD7" s="154" t="n">
        <v>117</v>
      </c>
      <c r="AE7" s="155">
        <f>AC7/AB7</f>
        <v/>
      </c>
      <c r="AF7" s="155">
        <f>AD7/AB7</f>
        <v/>
      </c>
      <c r="AG7" s="154" t="n">
        <v>322</v>
      </c>
      <c r="AH7" s="154" t="n">
        <v>251</v>
      </c>
      <c r="AI7" s="154" t="n">
        <v>131</v>
      </c>
      <c r="AJ7" s="319" t="n">
        <v>0.779503105590062</v>
      </c>
      <c r="AK7" s="319" t="n">
        <v>0.406832298136646</v>
      </c>
      <c r="AL7" t="n">
        <v>302</v>
      </c>
      <c r="AM7" t="n">
        <v>228</v>
      </c>
      <c r="AN7" t="n">
        <v>114</v>
      </c>
      <c r="AO7" t="n">
        <v>0.755</v>
      </c>
      <c r="AP7" t="n">
        <v>0.3775</v>
      </c>
    </row>
    <row r="8">
      <c r="A8" s="152" t="inlineStr">
        <is>
          <t>S02 - Collected</t>
        </is>
      </c>
      <c r="B8" s="153" t="inlineStr">
        <is>
          <t>Estimated</t>
        </is>
      </c>
      <c r="C8" s="154" t="n">
        <v>214</v>
      </c>
      <c r="D8" s="154" t="n">
        <v>174</v>
      </c>
      <c r="E8" s="154" t="n">
        <v>0</v>
      </c>
      <c r="F8" s="155" t="n">
        <v>0.8129999999999999</v>
      </c>
      <c r="G8" s="155" t="n">
        <v>0</v>
      </c>
      <c r="H8" s="154" t="n">
        <v>256</v>
      </c>
      <c r="I8" s="154" t="n">
        <v>207</v>
      </c>
      <c r="J8" s="154" t="n">
        <v>0</v>
      </c>
      <c r="K8" s="155" t="n">
        <v>0.8090000000000001</v>
      </c>
      <c r="L8" s="155" t="n">
        <v>0</v>
      </c>
      <c r="M8" s="154" t="n">
        <v>242</v>
      </c>
      <c r="N8" s="154" t="n">
        <v>188</v>
      </c>
      <c r="O8" s="154" t="n">
        <v>0</v>
      </c>
      <c r="P8" s="155" t="n">
        <v>0.777</v>
      </c>
      <c r="Q8" s="155" t="n">
        <v>0</v>
      </c>
      <c r="R8" s="154" t="n">
        <v>254</v>
      </c>
      <c r="S8" s="154" t="n">
        <v>213</v>
      </c>
      <c r="T8" s="154" t="n">
        <v>0</v>
      </c>
      <c r="U8" s="155" t="n">
        <v>0.839</v>
      </c>
      <c r="V8" s="155" t="n">
        <v>0</v>
      </c>
      <c r="W8" s="154" t="n">
        <v>247</v>
      </c>
      <c r="X8" s="154" t="n">
        <v>205</v>
      </c>
      <c r="Y8" s="154" t="n">
        <v>0</v>
      </c>
      <c r="Z8" s="155" t="n">
        <v>0.82995951417004</v>
      </c>
      <c r="AA8" s="155" t="n">
        <v>0</v>
      </c>
      <c r="AB8" s="154" t="n">
        <v>258</v>
      </c>
      <c r="AC8" s="154" t="n">
        <v>219</v>
      </c>
      <c r="AD8" s="154" t="n">
        <v>0</v>
      </c>
      <c r="AE8" s="155">
        <f>AC8/AB8</f>
        <v/>
      </c>
      <c r="AF8" s="155">
        <f>AD8/AB8</f>
        <v/>
      </c>
      <c r="AG8" s="154" t="n">
        <v>258</v>
      </c>
      <c r="AH8" s="154" t="n">
        <v>223</v>
      </c>
      <c r="AI8" s="154" t="n">
        <v>0</v>
      </c>
      <c r="AJ8" s="319" t="n">
        <v>0.864341085271318</v>
      </c>
      <c r="AK8" s="319" t="n">
        <v>0</v>
      </c>
      <c r="AL8" t="n">
        <v>248</v>
      </c>
      <c r="AM8" t="n">
        <v>212</v>
      </c>
      <c r="AN8" t="n">
        <v>0</v>
      </c>
      <c r="AO8" t="n">
        <v>0.8548</v>
      </c>
      <c r="AP8" t="n">
        <v>0</v>
      </c>
    </row>
    <row r="9">
      <c r="A9" s="156" t="inlineStr">
        <is>
          <t>S10 - On hand at origin SVC</t>
        </is>
      </c>
      <c r="B9" s="157" t="inlineStr">
        <is>
          <t>Actual</t>
        </is>
      </c>
      <c r="C9" s="158" t="n">
        <v>146</v>
      </c>
      <c r="D9" s="158" t="n">
        <v>138</v>
      </c>
      <c r="E9" s="158" t="n">
        <v>95</v>
      </c>
      <c r="F9" s="159" t="n">
        <v>0.945</v>
      </c>
      <c r="G9" s="159" t="n">
        <v>0.651</v>
      </c>
      <c r="H9" s="158" t="n">
        <v>208</v>
      </c>
      <c r="I9" s="158" t="n">
        <v>194</v>
      </c>
      <c r="J9" s="158" t="n">
        <v>114</v>
      </c>
      <c r="K9" s="159" t="n">
        <v>0.9330000000000001</v>
      </c>
      <c r="L9" s="159" t="n">
        <v>0.548</v>
      </c>
      <c r="M9" s="158" t="n">
        <v>181</v>
      </c>
      <c r="N9" s="158" t="n">
        <v>162</v>
      </c>
      <c r="O9" s="158" t="n">
        <v>105</v>
      </c>
      <c r="P9" s="159" t="n">
        <v>0.895</v>
      </c>
      <c r="Q9" s="159" t="n">
        <v>0.58</v>
      </c>
      <c r="R9" s="158" t="n">
        <v>198</v>
      </c>
      <c r="S9" s="158" t="n">
        <v>176</v>
      </c>
      <c r="T9" s="158" t="n">
        <v>97</v>
      </c>
      <c r="U9" s="159" t="n">
        <v>0.889</v>
      </c>
      <c r="V9" s="159" t="n">
        <v>0.49</v>
      </c>
      <c r="W9" s="158" t="n">
        <v>183</v>
      </c>
      <c r="X9" s="158" t="n">
        <v>171</v>
      </c>
      <c r="Y9" s="158" t="n">
        <v>108</v>
      </c>
      <c r="Z9" s="159" t="n">
        <v>0.934426229508197</v>
      </c>
      <c r="AA9" s="159" t="n">
        <v>0.5901639344262291</v>
      </c>
      <c r="AB9" s="158" t="n">
        <v>216</v>
      </c>
      <c r="AC9" s="158" t="n">
        <v>195</v>
      </c>
      <c r="AD9" s="158" t="n">
        <v>104</v>
      </c>
      <c r="AE9" s="159">
        <f>AC9/AB9</f>
        <v/>
      </c>
      <c r="AF9" s="159">
        <f>AD9/AB9</f>
        <v/>
      </c>
      <c r="AG9" s="244" t="n">
        <v>213</v>
      </c>
      <c r="AH9" s="244" t="n">
        <v>192</v>
      </c>
      <c r="AI9" s="244" t="n">
        <v>114</v>
      </c>
      <c r="AJ9" s="245" t="n">
        <v>0.901408450704225</v>
      </c>
      <c r="AK9" s="246" t="n">
        <v>0.535211267605634</v>
      </c>
      <c r="AL9" t="n">
        <v>196</v>
      </c>
      <c r="AM9" t="n">
        <v>180</v>
      </c>
      <c r="AN9" t="n">
        <v>110</v>
      </c>
      <c r="AO9" t="n">
        <v>0.9184</v>
      </c>
      <c r="AP9" t="n">
        <v>0.5612</v>
      </c>
    </row>
    <row r="10">
      <c r="A10" s="156" t="inlineStr">
        <is>
          <t>S50 - Received origin CFS</t>
        </is>
      </c>
      <c r="B10" s="157" t="inlineStr">
        <is>
          <t>Actual</t>
        </is>
      </c>
      <c r="C10" s="158" t="n">
        <v>107</v>
      </c>
      <c r="D10" s="158" t="n">
        <v>84</v>
      </c>
      <c r="E10" s="158" t="n">
        <v>75</v>
      </c>
      <c r="F10" s="159" t="n">
        <v>0.785</v>
      </c>
      <c r="G10" s="159" t="n">
        <v>0.701</v>
      </c>
      <c r="H10" s="158" t="n">
        <v>115</v>
      </c>
      <c r="I10" s="158" t="n">
        <v>90</v>
      </c>
      <c r="J10" s="158" t="n">
        <v>82</v>
      </c>
      <c r="K10" s="159" t="n">
        <v>0.783</v>
      </c>
      <c r="L10" s="159" t="n">
        <v>0.713</v>
      </c>
      <c r="M10" s="158" t="n">
        <v>125</v>
      </c>
      <c r="N10" s="158" t="n">
        <v>97</v>
      </c>
      <c r="O10" s="158" t="n">
        <v>84</v>
      </c>
      <c r="P10" s="159" t="n">
        <v>0.776</v>
      </c>
      <c r="Q10" s="159" t="n">
        <v>0.672</v>
      </c>
      <c r="R10" s="158" t="n">
        <v>153</v>
      </c>
      <c r="S10" s="158" t="n">
        <v>106</v>
      </c>
      <c r="T10" s="158" t="n">
        <v>100</v>
      </c>
      <c r="U10" s="159" t="n">
        <v>0.6929999999999999</v>
      </c>
      <c r="V10" s="159" t="n">
        <v>0.654</v>
      </c>
      <c r="W10" s="158" t="n">
        <v>147</v>
      </c>
      <c r="X10" s="158" t="n">
        <v>117</v>
      </c>
      <c r="Y10" s="158" t="n">
        <v>104</v>
      </c>
      <c r="Z10" s="159" t="n">
        <v>0.795918367346939</v>
      </c>
      <c r="AA10" s="159" t="n">
        <v>0.707482993197279</v>
      </c>
      <c r="AB10" s="158" t="n">
        <v>150</v>
      </c>
      <c r="AC10" s="158" t="n">
        <v>96</v>
      </c>
      <c r="AD10" s="158" t="n">
        <v>74</v>
      </c>
      <c r="AE10" s="159">
        <f>AC10/AB10</f>
        <v/>
      </c>
      <c r="AF10" s="159">
        <f>AD10/AB10</f>
        <v/>
      </c>
      <c r="AG10" s="244" t="n">
        <v>130</v>
      </c>
      <c r="AH10" s="244" t="n">
        <v>79</v>
      </c>
      <c r="AI10" s="244" t="n">
        <v>55</v>
      </c>
      <c r="AJ10" s="245" t="n">
        <v>0.607692307692308</v>
      </c>
      <c r="AK10" s="246" t="n">
        <v>0.423076923076923</v>
      </c>
      <c r="AL10" t="n">
        <v>123</v>
      </c>
      <c r="AM10" t="n">
        <v>85</v>
      </c>
      <c r="AN10" t="n">
        <v>42</v>
      </c>
      <c r="AO10" t="n">
        <v>0.6911</v>
      </c>
      <c r="AP10" t="n">
        <v>0.3415</v>
      </c>
    </row>
    <row r="11">
      <c r="A11" s="156" t="inlineStr">
        <is>
          <t>S53 - Full Container loaded on vessel</t>
        </is>
      </c>
      <c r="B11" s="157" t="inlineStr">
        <is>
          <t>Actual</t>
        </is>
      </c>
      <c r="C11" s="158" t="n">
        <v>29</v>
      </c>
      <c r="D11" s="158" t="n">
        <v>12</v>
      </c>
      <c r="E11" s="158" t="n">
        <v>11</v>
      </c>
      <c r="F11" s="159" t="n">
        <v>0.414</v>
      </c>
      <c r="G11" s="159" t="n">
        <v>0.379</v>
      </c>
      <c r="H11" s="158" t="n">
        <v>36</v>
      </c>
      <c r="I11" s="158" t="n">
        <v>15</v>
      </c>
      <c r="J11" s="158" t="n">
        <v>14</v>
      </c>
      <c r="K11" s="159" t="n">
        <v>0.417</v>
      </c>
      <c r="L11" s="159" t="n">
        <v>0.389</v>
      </c>
      <c r="M11" s="158" t="n">
        <v>51</v>
      </c>
      <c r="N11" s="158" t="n">
        <v>26</v>
      </c>
      <c r="O11" s="158" t="n">
        <v>25</v>
      </c>
      <c r="P11" s="159" t="n">
        <v>0.51</v>
      </c>
      <c r="Q11" s="159" t="n">
        <v>0.49</v>
      </c>
      <c r="R11" s="158" t="n">
        <v>66</v>
      </c>
      <c r="S11" s="158" t="n">
        <v>28</v>
      </c>
      <c r="T11" s="158" t="n">
        <v>23</v>
      </c>
      <c r="U11" s="159" t="n">
        <v>0.424</v>
      </c>
      <c r="V11" s="159" t="n">
        <v>0.348</v>
      </c>
      <c r="W11" s="158" t="n">
        <v>54</v>
      </c>
      <c r="X11" s="158" t="n">
        <v>37</v>
      </c>
      <c r="Y11" s="158" t="n">
        <v>34</v>
      </c>
      <c r="Z11" s="159" t="n">
        <v>0.685185185185185</v>
      </c>
      <c r="AA11" s="159" t="n">
        <v>0.62962962962963</v>
      </c>
      <c r="AB11" s="158" t="n">
        <v>78</v>
      </c>
      <c r="AC11" s="158" t="n">
        <v>46</v>
      </c>
      <c r="AD11" s="158" t="n">
        <v>43</v>
      </c>
      <c r="AE11" s="159">
        <f>AC11/AB11</f>
        <v/>
      </c>
      <c r="AF11" s="159">
        <f>AD11/AB11</f>
        <v/>
      </c>
      <c r="AG11" s="244" t="n">
        <v>82</v>
      </c>
      <c r="AH11" s="244" t="n">
        <v>42</v>
      </c>
      <c r="AI11" s="244" t="n">
        <v>30</v>
      </c>
      <c r="AJ11" s="245" t="n">
        <v>0.51219512195122</v>
      </c>
      <c r="AK11" s="246" t="n">
        <v>0.365853658536585</v>
      </c>
      <c r="AL11" t="n">
        <v>66</v>
      </c>
      <c r="AM11" t="n">
        <v>37</v>
      </c>
      <c r="AN11" t="n">
        <v>24</v>
      </c>
      <c r="AO11" t="n">
        <v>0.5606</v>
      </c>
      <c r="AP11" t="n">
        <v>0.3636</v>
      </c>
    </row>
    <row r="12">
      <c r="A12" s="152" t="inlineStr">
        <is>
          <t>S04 - Vessel/ flight departed</t>
        </is>
      </c>
      <c r="B12" s="153" t="inlineStr">
        <is>
          <t>Actual</t>
        </is>
      </c>
      <c r="C12" s="154" t="n">
        <v>253</v>
      </c>
      <c r="D12" s="154" t="n">
        <v>219</v>
      </c>
      <c r="E12" s="154" t="n">
        <v>217</v>
      </c>
      <c r="F12" s="155" t="n">
        <v>0.866</v>
      </c>
      <c r="G12" s="155" t="n">
        <v>0.858</v>
      </c>
      <c r="H12" s="154" t="n">
        <v>323</v>
      </c>
      <c r="I12" s="154" t="n">
        <v>279</v>
      </c>
      <c r="J12" s="154" t="n">
        <v>277</v>
      </c>
      <c r="K12" s="155" t="n">
        <v>0.864</v>
      </c>
      <c r="L12" s="155" t="n">
        <v>0.858</v>
      </c>
      <c r="M12" s="154" t="n">
        <v>306</v>
      </c>
      <c r="N12" s="154" t="n">
        <v>258</v>
      </c>
      <c r="O12" s="154" t="n">
        <v>250</v>
      </c>
      <c r="P12" s="155" t="n">
        <v>0.843</v>
      </c>
      <c r="Q12" s="155" t="n">
        <v>0.8169999999999999</v>
      </c>
      <c r="R12" s="154" t="n">
        <v>351</v>
      </c>
      <c r="S12" s="154" t="n">
        <v>281</v>
      </c>
      <c r="T12" s="154" t="n">
        <v>274</v>
      </c>
      <c r="U12" s="155" t="n">
        <v>0.801</v>
      </c>
      <c r="V12" s="155" t="n">
        <v>0.781</v>
      </c>
      <c r="W12" s="154" t="n">
        <v>330</v>
      </c>
      <c r="X12" s="154" t="n">
        <v>301</v>
      </c>
      <c r="Y12" s="154" t="n">
        <v>294</v>
      </c>
      <c r="Z12" s="155" t="n">
        <v>0.912121212121212</v>
      </c>
      <c r="AA12" s="155" t="n">
        <v>0.890909090909091</v>
      </c>
      <c r="AB12" s="154" t="n">
        <v>366</v>
      </c>
      <c r="AC12" s="154" t="n">
        <v>311</v>
      </c>
      <c r="AD12" s="154" t="n">
        <v>304</v>
      </c>
      <c r="AE12" s="155">
        <f>AC12/AB12</f>
        <v/>
      </c>
      <c r="AF12" s="155">
        <f>AD12/AB12</f>
        <v/>
      </c>
      <c r="AG12" s="154" t="n">
        <v>343</v>
      </c>
      <c r="AH12" s="154" t="n">
        <v>283</v>
      </c>
      <c r="AI12" s="154" t="n">
        <v>277</v>
      </c>
      <c r="AJ12" s="319" t="n">
        <v>0.825072886297376</v>
      </c>
      <c r="AK12" s="319" t="n">
        <v>0.807580174927114</v>
      </c>
      <c r="AL12" t="n">
        <v>319</v>
      </c>
      <c r="AM12" t="n">
        <v>269</v>
      </c>
      <c r="AN12" t="n">
        <v>263</v>
      </c>
      <c r="AO12" t="n">
        <v>0.8433</v>
      </c>
      <c r="AP12" t="n">
        <v>0.8245</v>
      </c>
    </row>
    <row r="13">
      <c r="A13" s="152" t="inlineStr">
        <is>
          <t>S04 - Vessel/ flight departed</t>
        </is>
      </c>
      <c r="B13" s="153" t="inlineStr">
        <is>
          <t>Estimated</t>
        </is>
      </c>
      <c r="C13" s="154" t="n">
        <v>253</v>
      </c>
      <c r="D13" s="154" t="n">
        <v>219</v>
      </c>
      <c r="E13" s="154" t="n">
        <v>174</v>
      </c>
      <c r="F13" s="155" t="n">
        <v>0.866</v>
      </c>
      <c r="G13" s="155" t="n">
        <v>0.6879999999999999</v>
      </c>
      <c r="H13" s="154" t="n">
        <v>323</v>
      </c>
      <c r="I13" s="154" t="n">
        <v>289</v>
      </c>
      <c r="J13" s="154" t="n">
        <v>234</v>
      </c>
      <c r="K13" s="155" t="n">
        <v>0.895</v>
      </c>
      <c r="L13" s="155" t="n">
        <v>0.724</v>
      </c>
      <c r="M13" s="154" t="n">
        <v>306</v>
      </c>
      <c r="N13" s="154" t="n">
        <v>264</v>
      </c>
      <c r="O13" s="154" t="n">
        <v>216</v>
      </c>
      <c r="P13" s="155" t="n">
        <v>0.863</v>
      </c>
      <c r="Q13" s="155" t="n">
        <v>0.706</v>
      </c>
      <c r="R13" s="154" t="n">
        <v>351</v>
      </c>
      <c r="S13" s="154" t="n">
        <v>297</v>
      </c>
      <c r="T13" s="154" t="n">
        <v>239</v>
      </c>
      <c r="U13" s="155" t="n">
        <v>0.846</v>
      </c>
      <c r="V13" s="155" t="n">
        <v>0.681</v>
      </c>
      <c r="W13" s="154" t="n">
        <v>330</v>
      </c>
      <c r="X13" s="154" t="n">
        <v>301</v>
      </c>
      <c r="Y13" s="154" t="n">
        <v>268</v>
      </c>
      <c r="Z13" s="155" t="n">
        <v>0.912121212121212</v>
      </c>
      <c r="AA13" s="155" t="n">
        <v>0.812121212121212</v>
      </c>
      <c r="AB13" s="154" t="n">
        <v>366</v>
      </c>
      <c r="AC13" s="154" t="n">
        <v>307</v>
      </c>
      <c r="AD13" s="154" t="n">
        <v>259</v>
      </c>
      <c r="AE13" s="155">
        <f>AC13/AB13</f>
        <v/>
      </c>
      <c r="AF13" s="155">
        <f>AD13/AB13</f>
        <v/>
      </c>
      <c r="AG13" s="154" t="n">
        <v>343</v>
      </c>
      <c r="AH13" s="154" t="n">
        <v>288</v>
      </c>
      <c r="AI13" s="154" t="n">
        <v>261</v>
      </c>
      <c r="AJ13" s="319" t="n">
        <v>0.839650145772595</v>
      </c>
      <c r="AK13" s="319" t="n">
        <v>0.760932944606414</v>
      </c>
      <c r="AL13" t="n">
        <v>319</v>
      </c>
      <c r="AM13" t="n">
        <v>265</v>
      </c>
      <c r="AN13" t="n">
        <v>231</v>
      </c>
      <c r="AO13" t="n">
        <v>0.8307</v>
      </c>
      <c r="AP13" t="n">
        <v>0.7241</v>
      </c>
    </row>
    <row r="14">
      <c r="A14" s="152" t="inlineStr">
        <is>
          <t>S07 - Vessel/ flight arrived</t>
        </is>
      </c>
      <c r="B14" s="153" t="inlineStr">
        <is>
          <t>Actual</t>
        </is>
      </c>
      <c r="C14" s="154" t="n">
        <v>253</v>
      </c>
      <c r="D14" s="154" t="n">
        <v>229</v>
      </c>
      <c r="E14" s="154" t="n">
        <v>224</v>
      </c>
      <c r="F14" s="155" t="n">
        <v>0.905</v>
      </c>
      <c r="G14" s="155" t="n">
        <v>0.885</v>
      </c>
      <c r="H14" s="154" t="n">
        <v>323</v>
      </c>
      <c r="I14" s="154" t="n">
        <v>291</v>
      </c>
      <c r="J14" s="154" t="n">
        <v>287</v>
      </c>
      <c r="K14" s="155" t="n">
        <v>0.901</v>
      </c>
      <c r="L14" s="155" t="n">
        <v>0.889</v>
      </c>
      <c r="M14" s="154" t="n">
        <v>306</v>
      </c>
      <c r="N14" s="154" t="n">
        <v>264</v>
      </c>
      <c r="O14" s="154" t="n">
        <v>260</v>
      </c>
      <c r="P14" s="155" t="n">
        <v>0.863</v>
      </c>
      <c r="Q14" s="155" t="n">
        <v>0.85</v>
      </c>
      <c r="R14" s="154" t="n">
        <v>351</v>
      </c>
      <c r="S14" s="154" t="n">
        <v>302</v>
      </c>
      <c r="T14" s="154" t="n">
        <v>298</v>
      </c>
      <c r="U14" s="155" t="n">
        <v>0.86</v>
      </c>
      <c r="V14" s="155" t="n">
        <v>0.849</v>
      </c>
      <c r="W14" s="154" t="n">
        <v>330</v>
      </c>
      <c r="X14" s="154" t="n">
        <v>308</v>
      </c>
      <c r="Y14" s="154" t="n">
        <v>307</v>
      </c>
      <c r="Z14" s="155" t="n">
        <v>0.933333333333333</v>
      </c>
      <c r="AA14" s="155" t="n">
        <v>0.93030303030303</v>
      </c>
      <c r="AB14" s="154" t="n">
        <v>366</v>
      </c>
      <c r="AC14" s="154" t="n">
        <v>320</v>
      </c>
      <c r="AD14" s="154" t="n">
        <v>316</v>
      </c>
      <c r="AE14" s="155">
        <f>AC14/AB14</f>
        <v/>
      </c>
      <c r="AF14" s="155">
        <f>AD14/AB14</f>
        <v/>
      </c>
      <c r="AG14" s="154" t="n">
        <v>343</v>
      </c>
      <c r="AH14" s="154" t="n">
        <v>303</v>
      </c>
      <c r="AI14" s="154" t="n">
        <v>301</v>
      </c>
      <c r="AJ14" s="319" t="n">
        <v>0.883381924198251</v>
      </c>
      <c r="AK14" s="319" t="n">
        <v>0.877551020408163</v>
      </c>
      <c r="AL14" t="n">
        <v>319</v>
      </c>
      <c r="AM14" t="n">
        <v>274</v>
      </c>
      <c r="AN14" t="n">
        <v>273</v>
      </c>
      <c r="AO14" t="n">
        <v>0.8589</v>
      </c>
      <c r="AP14" t="n">
        <v>0.8558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4" t="n">
        <v>253</v>
      </c>
      <c r="D15" s="154" t="n">
        <v>223</v>
      </c>
      <c r="E15" s="154" t="n">
        <v>211</v>
      </c>
      <c r="F15" s="155" t="n">
        <v>0.881</v>
      </c>
      <c r="G15" s="155" t="n">
        <v>0.834</v>
      </c>
      <c r="H15" s="154" t="n">
        <v>323</v>
      </c>
      <c r="I15" s="154" t="n">
        <v>295</v>
      </c>
      <c r="J15" s="154" t="n">
        <v>279</v>
      </c>
      <c r="K15" s="155" t="n">
        <v>0.913</v>
      </c>
      <c r="L15" s="155" t="n">
        <v>0.864</v>
      </c>
      <c r="M15" s="154" t="n">
        <v>306</v>
      </c>
      <c r="N15" s="154" t="n">
        <v>269</v>
      </c>
      <c r="O15" s="154" t="n">
        <v>254</v>
      </c>
      <c r="P15" s="155" t="n">
        <v>0.879</v>
      </c>
      <c r="Q15" s="155" t="n">
        <v>0.83</v>
      </c>
      <c r="R15" s="154" t="n">
        <v>351</v>
      </c>
      <c r="S15" s="154" t="n">
        <v>304</v>
      </c>
      <c r="T15" s="154" t="n">
        <v>290</v>
      </c>
      <c r="U15" s="155" t="n">
        <v>0.866</v>
      </c>
      <c r="V15" s="155" t="n">
        <v>0.826</v>
      </c>
      <c r="W15" s="154" t="n">
        <v>330</v>
      </c>
      <c r="X15" s="154" t="n">
        <v>309</v>
      </c>
      <c r="Y15" s="154" t="n">
        <v>294</v>
      </c>
      <c r="Z15" s="155" t="n">
        <v>0.936363636363636</v>
      </c>
      <c r="AA15" s="155" t="n">
        <v>0.890909090909091</v>
      </c>
      <c r="AB15" s="154" t="n">
        <v>366</v>
      </c>
      <c r="AC15" s="154" t="n">
        <v>325</v>
      </c>
      <c r="AD15" s="154" t="n">
        <v>303</v>
      </c>
      <c r="AE15" s="155">
        <f>AC15/AB15</f>
        <v/>
      </c>
      <c r="AF15" s="155">
        <f>AD15/AB15</f>
        <v/>
      </c>
      <c r="AG15" s="154" t="n">
        <v>343</v>
      </c>
      <c r="AH15" s="154" t="n">
        <v>303</v>
      </c>
      <c r="AI15" s="154" t="n">
        <v>272</v>
      </c>
      <c r="AJ15" s="319" t="n">
        <v>0.883381924198251</v>
      </c>
      <c r="AK15" s="319" t="n">
        <v>0.7930029154518951</v>
      </c>
      <c r="AL15" t="n">
        <v>319</v>
      </c>
      <c r="AM15" t="n">
        <v>280</v>
      </c>
      <c r="AN15" t="n">
        <v>271</v>
      </c>
      <c r="AO15" t="n">
        <v>0.8777</v>
      </c>
      <c r="AP15" t="n">
        <v>0.8495</v>
      </c>
    </row>
    <row r="16">
      <c r="A16" s="156" t="inlineStr">
        <is>
          <t>S54 - Full Container discharge from vessel</t>
        </is>
      </c>
      <c r="B16" s="157" t="inlineStr">
        <is>
          <t>Actual</t>
        </is>
      </c>
      <c r="C16" s="158" t="n">
        <v>29</v>
      </c>
      <c r="D16" s="158" t="n">
        <v>4</v>
      </c>
      <c r="E16" s="158" t="n">
        <v>2</v>
      </c>
      <c r="F16" s="159" t="n">
        <v>0.138</v>
      </c>
      <c r="G16" s="159" t="n">
        <v>0.06900000000000001</v>
      </c>
      <c r="H16" s="158" t="n">
        <v>36</v>
      </c>
      <c r="I16" s="158" t="n">
        <v>5</v>
      </c>
      <c r="J16" s="158" t="n">
        <v>5</v>
      </c>
      <c r="K16" s="159" t="n">
        <v>0.139</v>
      </c>
      <c r="L16" s="159" t="n">
        <v>0.139</v>
      </c>
      <c r="M16" s="158" t="n">
        <v>51</v>
      </c>
      <c r="N16" s="158" t="n">
        <v>2</v>
      </c>
      <c r="O16" s="158" t="n">
        <v>0</v>
      </c>
      <c r="P16" s="159" t="n">
        <v>0.039</v>
      </c>
      <c r="Q16" s="159" t="n">
        <v>0</v>
      </c>
      <c r="R16" s="158" t="n">
        <v>66</v>
      </c>
      <c r="S16" s="158" t="n">
        <v>3</v>
      </c>
      <c r="T16" s="158" t="n">
        <v>3</v>
      </c>
      <c r="U16" s="159" t="n">
        <v>0.045</v>
      </c>
      <c r="V16" s="159" t="n">
        <v>0.045</v>
      </c>
      <c r="W16" s="158" t="n">
        <v>54</v>
      </c>
      <c r="X16" s="158" t="n">
        <v>4</v>
      </c>
      <c r="Y16" s="158" t="n">
        <v>3</v>
      </c>
      <c r="Z16" s="159" t="n">
        <v>0.0740740740740741</v>
      </c>
      <c r="AA16" s="159" t="n">
        <v>0.0555555555555556</v>
      </c>
      <c r="AB16" s="158" t="n">
        <v>78</v>
      </c>
      <c r="AC16" s="158" t="n">
        <v>2</v>
      </c>
      <c r="AD16" s="158" t="n">
        <v>2</v>
      </c>
      <c r="AE16" s="159">
        <f>AC16/AB16</f>
        <v/>
      </c>
      <c r="AF16" s="159">
        <f>AD16/AB16</f>
        <v/>
      </c>
      <c r="AG16" s="244" t="n">
        <v>82</v>
      </c>
      <c r="AH16" s="244" t="n">
        <v>10</v>
      </c>
      <c r="AI16" s="244" t="n">
        <v>6</v>
      </c>
      <c r="AJ16" s="245" t="n">
        <v>0.121951219512195</v>
      </c>
      <c r="AK16" s="246" t="n">
        <v>0.0731707317073171</v>
      </c>
      <c r="AL16" t="n">
        <v>66</v>
      </c>
      <c r="AM16" t="n">
        <v>12</v>
      </c>
      <c r="AN16" t="n">
        <v>10</v>
      </c>
      <c r="AO16" t="n">
        <v>0.1818</v>
      </c>
      <c r="AP16" t="n">
        <v>0.1515</v>
      </c>
    </row>
    <row r="17">
      <c r="A17" s="156" t="inlineStr">
        <is>
          <t>S51 - Arrived destination CFS</t>
        </is>
      </c>
      <c r="B17" s="157" t="inlineStr">
        <is>
          <t>Actual</t>
        </is>
      </c>
      <c r="C17" s="158" t="n">
        <v>107</v>
      </c>
      <c r="D17" s="158" t="n">
        <v>44</v>
      </c>
      <c r="E17" s="158" t="n">
        <v>9</v>
      </c>
      <c r="F17" s="159" t="n">
        <v>0.411</v>
      </c>
      <c r="G17" s="159" t="n">
        <v>0.08400000000000001</v>
      </c>
      <c r="H17" s="158" t="n">
        <v>115</v>
      </c>
      <c r="I17" s="158" t="n">
        <v>49</v>
      </c>
      <c r="J17" s="158" t="n">
        <v>8</v>
      </c>
      <c r="K17" s="159" t="n">
        <v>0.426</v>
      </c>
      <c r="L17" s="159" t="n">
        <v>0.07000000000000001</v>
      </c>
      <c r="M17" s="158" t="n">
        <v>125</v>
      </c>
      <c r="N17" s="158" t="n">
        <v>39</v>
      </c>
      <c r="O17" s="158" t="n">
        <v>7</v>
      </c>
      <c r="P17" s="159" t="n">
        <v>0.312</v>
      </c>
      <c r="Q17" s="159" t="n">
        <v>0.056</v>
      </c>
      <c r="R17" s="158" t="n">
        <v>153</v>
      </c>
      <c r="S17" s="158" t="n">
        <v>61</v>
      </c>
      <c r="T17" s="158" t="n">
        <v>42</v>
      </c>
      <c r="U17" s="159" t="n">
        <v>0.399</v>
      </c>
      <c r="V17" s="159" t="n">
        <v>0.275</v>
      </c>
      <c r="W17" s="158" t="n">
        <v>147</v>
      </c>
      <c r="X17" s="158" t="n">
        <v>63</v>
      </c>
      <c r="Y17" s="158" t="n">
        <v>55</v>
      </c>
      <c r="Z17" s="159" t="n">
        <v>0.428571428571429</v>
      </c>
      <c r="AA17" s="159" t="n">
        <v>0.374149659863946</v>
      </c>
      <c r="AB17" s="158" t="n">
        <v>150</v>
      </c>
      <c r="AC17" s="158" t="n">
        <v>47</v>
      </c>
      <c r="AD17" s="158" t="n">
        <v>42</v>
      </c>
      <c r="AE17" s="159">
        <f>AC17/AB17</f>
        <v/>
      </c>
      <c r="AF17" s="159">
        <f>AD17/AB17</f>
        <v/>
      </c>
      <c r="AG17" s="244" t="n">
        <v>130</v>
      </c>
      <c r="AH17" s="244" t="n">
        <v>29</v>
      </c>
      <c r="AI17" s="244" t="n">
        <v>25</v>
      </c>
      <c r="AJ17" s="245" t="n">
        <v>0.223076923076923</v>
      </c>
      <c r="AK17" s="246" t="n">
        <v>0.192307692307692</v>
      </c>
      <c r="AL17" t="n">
        <v>123</v>
      </c>
      <c r="AM17" t="n">
        <v>33</v>
      </c>
      <c r="AN17" t="n">
        <v>32</v>
      </c>
      <c r="AO17" t="n">
        <v>0.2683</v>
      </c>
      <c r="AP17" t="n">
        <v>0.2602</v>
      </c>
    </row>
    <row r="18">
      <c r="A18" s="156" t="inlineStr">
        <is>
          <t>S13 - On hand at destination SVC</t>
        </is>
      </c>
      <c r="B18" s="157" t="inlineStr">
        <is>
          <t>Actual</t>
        </is>
      </c>
      <c r="C18" s="158" t="n">
        <v>146</v>
      </c>
      <c r="D18" s="158" t="n">
        <v>12</v>
      </c>
      <c r="E18" s="158" t="n">
        <v>9</v>
      </c>
      <c r="F18" s="159" t="n">
        <v>0.082</v>
      </c>
      <c r="G18" s="159" t="n">
        <v>0.062</v>
      </c>
      <c r="H18" s="158" t="n">
        <v>208</v>
      </c>
      <c r="I18" s="158" t="n">
        <v>38</v>
      </c>
      <c r="J18" s="158" t="n">
        <v>36</v>
      </c>
      <c r="K18" s="159" t="n">
        <v>0.183</v>
      </c>
      <c r="L18" s="159" t="n">
        <v>0.173</v>
      </c>
      <c r="M18" s="158" t="n">
        <v>181</v>
      </c>
      <c r="N18" s="158" t="n">
        <v>75</v>
      </c>
      <c r="O18" s="158" t="n">
        <v>66</v>
      </c>
      <c r="P18" s="159" t="n">
        <v>0.414</v>
      </c>
      <c r="Q18" s="159" t="n">
        <v>0.365</v>
      </c>
      <c r="R18" s="158" t="n">
        <v>198</v>
      </c>
      <c r="S18" s="158" t="n">
        <v>118</v>
      </c>
      <c r="T18" s="158" t="n">
        <v>108</v>
      </c>
      <c r="U18" s="159" t="n">
        <v>0.596</v>
      </c>
      <c r="V18" s="159" t="n">
        <v>0.545</v>
      </c>
      <c r="W18" s="158" t="n">
        <v>183</v>
      </c>
      <c r="X18" s="158" t="n">
        <v>147</v>
      </c>
      <c r="Y18" s="158" t="n">
        <v>132</v>
      </c>
      <c r="Z18" s="159" t="n">
        <v>0.8032786885245899</v>
      </c>
      <c r="AA18" s="159" t="n">
        <v>0.721311475409836</v>
      </c>
      <c r="AB18" s="158" t="n">
        <v>216</v>
      </c>
      <c r="AC18" s="158" t="n">
        <v>182</v>
      </c>
      <c r="AD18" s="158" t="n">
        <v>170</v>
      </c>
      <c r="AE18" s="159">
        <f>AC18/AB18</f>
        <v/>
      </c>
      <c r="AF18" s="159">
        <f>AD18/AB18</f>
        <v/>
      </c>
      <c r="AG18" s="244" t="n">
        <v>213</v>
      </c>
      <c r="AH18" s="244" t="n">
        <v>192</v>
      </c>
      <c r="AI18" s="244" t="n">
        <v>179</v>
      </c>
      <c r="AJ18" s="245" t="n">
        <v>0.901408450704225</v>
      </c>
      <c r="AK18" s="246" t="n">
        <v>0.84037558685446</v>
      </c>
      <c r="AL18" t="n">
        <v>196</v>
      </c>
      <c r="AM18" t="n">
        <v>182</v>
      </c>
      <c r="AN18" t="n">
        <v>164</v>
      </c>
      <c r="AO18" t="n">
        <v>0.9286</v>
      </c>
      <c r="AP18" t="n">
        <v>0.8367</v>
      </c>
    </row>
    <row r="19">
      <c r="A19" s="152" t="inlineStr">
        <is>
          <t>S45 - Handover to broker</t>
        </is>
      </c>
      <c r="B19" s="153" t="inlineStr">
        <is>
          <t>Actual</t>
        </is>
      </c>
      <c r="C19" s="154" t="n">
        <v>111</v>
      </c>
      <c r="D19" s="154" t="n">
        <v>41</v>
      </c>
      <c r="E19" s="154" t="n">
        <v>41</v>
      </c>
      <c r="F19" s="155" t="n">
        <v>0.369</v>
      </c>
      <c r="G19" s="155" t="n">
        <v>0.369</v>
      </c>
      <c r="H19" s="154" t="n">
        <v>111</v>
      </c>
      <c r="I19" s="154" t="n">
        <v>31</v>
      </c>
      <c r="J19" s="154" t="n">
        <v>31</v>
      </c>
      <c r="K19" s="155" t="n">
        <v>0.279</v>
      </c>
      <c r="L19" s="155" t="n">
        <v>0.279</v>
      </c>
      <c r="M19" s="154" t="n">
        <v>106</v>
      </c>
      <c r="N19" s="154" t="n">
        <v>43</v>
      </c>
      <c r="O19" s="154" t="n">
        <v>42</v>
      </c>
      <c r="P19" s="155" t="n">
        <v>0.406</v>
      </c>
      <c r="Q19" s="155" t="n">
        <v>0.396</v>
      </c>
      <c r="R19" s="154" t="n">
        <v>124</v>
      </c>
      <c r="S19" s="154" t="n">
        <v>58</v>
      </c>
      <c r="T19" s="154" t="n">
        <v>56</v>
      </c>
      <c r="U19" s="155" t="n">
        <v>0.468</v>
      </c>
      <c r="V19" s="155" t="n">
        <v>0.452</v>
      </c>
      <c r="W19" s="154" t="n">
        <v>127</v>
      </c>
      <c r="X19" s="154" t="n">
        <v>56</v>
      </c>
      <c r="Y19" s="154" t="n">
        <v>53</v>
      </c>
      <c r="Z19" s="155" t="n">
        <v>0.440944881889764</v>
      </c>
      <c r="AA19" s="155" t="n">
        <v>0.417322834645669</v>
      </c>
      <c r="AB19" s="154" t="n">
        <v>115</v>
      </c>
      <c r="AC19" s="154" t="n">
        <v>53</v>
      </c>
      <c r="AD19" s="154" t="n">
        <v>49</v>
      </c>
      <c r="AE19" s="155">
        <f>AC19/AB19</f>
        <v/>
      </c>
      <c r="AF19" s="155">
        <f>AD19/AB19</f>
        <v/>
      </c>
      <c r="AG19" s="154" t="n">
        <v>94</v>
      </c>
      <c r="AH19" s="154" t="n">
        <v>40</v>
      </c>
      <c r="AI19" s="154" t="n">
        <v>36</v>
      </c>
      <c r="AJ19" s="319" t="n">
        <v>0.425531914893617</v>
      </c>
      <c r="AK19" s="319" t="n">
        <v>0.382978723404255</v>
      </c>
      <c r="AL19" t="n">
        <v>91</v>
      </c>
      <c r="AM19" t="n">
        <v>38</v>
      </c>
      <c r="AN19" t="n">
        <v>36</v>
      </c>
      <c r="AO19" t="n">
        <v>0.4176</v>
      </c>
      <c r="AP19" t="n">
        <v>0.3956</v>
      </c>
    </row>
    <row r="20">
      <c r="A20" s="152" t="inlineStr">
        <is>
          <t>S45 - Handover to broker</t>
        </is>
      </c>
      <c r="B20" s="153" t="inlineStr">
        <is>
          <t>Estimated</t>
        </is>
      </c>
      <c r="C20" s="154" t="n">
        <v>33</v>
      </c>
      <c r="D20" s="154" t="n">
        <v>3</v>
      </c>
      <c r="E20" s="154" t="n">
        <v>3</v>
      </c>
      <c r="F20" s="155" t="n">
        <v>0.091</v>
      </c>
      <c r="G20" s="155" t="n">
        <v>0.091</v>
      </c>
      <c r="H20" s="154" t="n">
        <v>32</v>
      </c>
      <c r="I20" s="154" t="n">
        <v>8</v>
      </c>
      <c r="J20" s="154" t="n">
        <v>8</v>
      </c>
      <c r="K20" s="155" t="n">
        <v>0.25</v>
      </c>
      <c r="L20" s="155" t="n">
        <v>0.25</v>
      </c>
      <c r="M20" s="154" t="n">
        <v>32</v>
      </c>
      <c r="N20" s="154" t="n">
        <v>12</v>
      </c>
      <c r="O20" s="154" t="n">
        <v>12</v>
      </c>
      <c r="P20" s="155" t="n">
        <v>0.375</v>
      </c>
      <c r="Q20" s="155" t="n">
        <v>0.375</v>
      </c>
      <c r="R20" s="154" t="n">
        <v>37</v>
      </c>
      <c r="S20" s="154" t="n">
        <v>19</v>
      </c>
      <c r="T20" s="154" t="n">
        <v>17</v>
      </c>
      <c r="U20" s="155" t="n">
        <v>0.514</v>
      </c>
      <c r="V20" s="155" t="n">
        <v>0.459</v>
      </c>
      <c r="W20" s="154" t="n">
        <v>34</v>
      </c>
      <c r="X20" s="154" t="n">
        <v>21</v>
      </c>
      <c r="Y20" s="154" t="n">
        <v>20</v>
      </c>
      <c r="Z20" s="155" t="n">
        <v>0.617647058823529</v>
      </c>
      <c r="AA20" s="155" t="n">
        <v>0.588235294117647</v>
      </c>
      <c r="AB20" s="154" t="n">
        <v>43</v>
      </c>
      <c r="AC20" s="154" t="n">
        <v>28</v>
      </c>
      <c r="AD20" s="154" t="n">
        <v>25</v>
      </c>
      <c r="AE20" s="155">
        <f>AC20/AB20</f>
        <v/>
      </c>
      <c r="AF20" s="155">
        <f>AD20/AB20</f>
        <v/>
      </c>
      <c r="AG20" s="154" t="n">
        <v>46</v>
      </c>
      <c r="AH20" s="154" t="n">
        <v>22</v>
      </c>
      <c r="AI20" s="154" t="n">
        <v>21</v>
      </c>
      <c r="AJ20" s="319" t="n">
        <v>0.478260869565217</v>
      </c>
      <c r="AK20" s="319" t="n">
        <v>0.456521739130435</v>
      </c>
      <c r="AL20" t="n">
        <v>91</v>
      </c>
      <c r="AM20" t="n">
        <v>34</v>
      </c>
      <c r="AN20" t="n">
        <v>24</v>
      </c>
      <c r="AO20" t="n">
        <v>0.3736</v>
      </c>
      <c r="AP20" t="n">
        <v>0.2637</v>
      </c>
    </row>
    <row r="21">
      <c r="A21" s="156" t="inlineStr">
        <is>
          <t>S05 - In delivery</t>
        </is>
      </c>
      <c r="B21" s="157" t="inlineStr">
        <is>
          <t>Actual</t>
        </is>
      </c>
      <c r="C21" s="158" t="n">
        <v>187</v>
      </c>
      <c r="D21" s="158" t="n">
        <v>74</v>
      </c>
      <c r="E21" s="158" t="n">
        <v>44</v>
      </c>
      <c r="F21" s="159" t="n">
        <v>0.396</v>
      </c>
      <c r="G21" s="159" t="n">
        <v>0.235</v>
      </c>
      <c r="H21" s="158" t="n">
        <v>259</v>
      </c>
      <c r="I21" s="158" t="n">
        <v>135</v>
      </c>
      <c r="J21" s="158" t="n">
        <v>59</v>
      </c>
      <c r="K21" s="159" t="n">
        <v>0.521</v>
      </c>
      <c r="L21" s="159" t="n">
        <v>0.228</v>
      </c>
      <c r="M21" s="158" t="n">
        <v>248</v>
      </c>
      <c r="N21" s="158" t="n">
        <v>109</v>
      </c>
      <c r="O21" s="158" t="n">
        <v>63</v>
      </c>
      <c r="P21" s="159" t="n">
        <v>0.44</v>
      </c>
      <c r="Q21" s="159" t="n">
        <v>0.254</v>
      </c>
      <c r="R21" s="158" t="n">
        <v>278</v>
      </c>
      <c r="S21" s="158" t="n">
        <v>133</v>
      </c>
      <c r="T21" s="158" t="n">
        <v>96</v>
      </c>
      <c r="U21" s="159" t="n">
        <v>0.478</v>
      </c>
      <c r="V21" s="159" t="n">
        <v>0.345</v>
      </c>
      <c r="W21" s="158" t="n">
        <v>258</v>
      </c>
      <c r="X21" s="158" t="n">
        <v>143</v>
      </c>
      <c r="Y21" s="158" t="n">
        <v>113</v>
      </c>
      <c r="Z21" s="159" t="n">
        <v>0.554263565891473</v>
      </c>
      <c r="AA21" s="159" t="n">
        <v>0.437984496124031</v>
      </c>
      <c r="AB21" s="158" t="n">
        <v>312</v>
      </c>
      <c r="AC21" s="158" t="n">
        <v>177</v>
      </c>
      <c r="AD21" s="158" t="n">
        <v>162</v>
      </c>
      <c r="AE21" s="159">
        <f>AC21/AB21</f>
        <v/>
      </c>
      <c r="AF21" s="159">
        <f>AD21/AB21</f>
        <v/>
      </c>
      <c r="AG21" s="244" t="n">
        <v>297</v>
      </c>
      <c r="AH21" s="244" t="n">
        <v>192</v>
      </c>
      <c r="AI21" s="244" t="n">
        <v>171</v>
      </c>
      <c r="AJ21" s="245" t="n">
        <v>0.646464646464647</v>
      </c>
      <c r="AK21" s="246" t="n">
        <v>0.575757575757576</v>
      </c>
      <c r="AL21" t="n">
        <v>277</v>
      </c>
      <c r="AM21" t="n">
        <v>192</v>
      </c>
      <c r="AN21" t="n">
        <v>167</v>
      </c>
      <c r="AO21" t="n">
        <v>0.6931</v>
      </c>
      <c r="AP21" t="n">
        <v>0.6029</v>
      </c>
    </row>
    <row r="22">
      <c r="A22" s="152" t="inlineStr">
        <is>
          <t>S31 - Delivered</t>
        </is>
      </c>
      <c r="B22" s="153" t="inlineStr">
        <is>
          <t>Actual</t>
        </is>
      </c>
      <c r="C22" s="154" t="n">
        <v>187</v>
      </c>
      <c r="D22" s="154" t="n">
        <v>79</v>
      </c>
      <c r="E22" s="154" t="n">
        <v>27</v>
      </c>
      <c r="F22" s="155" t="n">
        <v>0.422</v>
      </c>
      <c r="G22" s="155" t="n">
        <v>0.144</v>
      </c>
      <c r="H22" s="154" t="n">
        <v>259</v>
      </c>
      <c r="I22" s="154" t="n">
        <v>149</v>
      </c>
      <c r="J22" s="154" t="n">
        <v>40</v>
      </c>
      <c r="K22" s="155" t="n">
        <v>0.575</v>
      </c>
      <c r="L22" s="155" t="n">
        <v>0.154</v>
      </c>
      <c r="M22" s="154" t="n">
        <v>248</v>
      </c>
      <c r="N22" s="154" t="n">
        <v>134</v>
      </c>
      <c r="O22" s="154" t="n">
        <v>25</v>
      </c>
      <c r="P22" s="155" t="n">
        <v>0.54</v>
      </c>
      <c r="Q22" s="155" t="n">
        <v>0.101</v>
      </c>
      <c r="R22" s="154" t="n">
        <v>278</v>
      </c>
      <c r="S22" s="154" t="n">
        <v>162</v>
      </c>
      <c r="T22" s="154" t="n">
        <v>26</v>
      </c>
      <c r="U22" s="155" t="n">
        <v>0.583</v>
      </c>
      <c r="V22" s="155" t="n">
        <v>0.094</v>
      </c>
      <c r="W22" s="154" t="n">
        <v>258</v>
      </c>
      <c r="X22" s="154" t="n">
        <v>146</v>
      </c>
      <c r="Y22" s="154" t="n">
        <v>33</v>
      </c>
      <c r="Z22" s="155" t="n">
        <v>0.5658914728682169</v>
      </c>
      <c r="AA22" s="155" t="n">
        <v>0.127906976744186</v>
      </c>
      <c r="AB22" s="154" t="n">
        <v>312</v>
      </c>
      <c r="AC22" s="154" t="n">
        <v>179</v>
      </c>
      <c r="AD22" s="154" t="n">
        <v>59</v>
      </c>
      <c r="AE22" s="155">
        <f>AC22/AB22</f>
        <v/>
      </c>
      <c r="AF22" s="155">
        <f>AD22/AB22</f>
        <v/>
      </c>
      <c r="AG22" s="154" t="n">
        <v>297</v>
      </c>
      <c r="AH22" s="154" t="n">
        <v>180</v>
      </c>
      <c r="AI22" s="154" t="n">
        <v>42</v>
      </c>
      <c r="AJ22" s="319" t="n">
        <v>0.606060606060606</v>
      </c>
      <c r="AK22" s="319" t="n">
        <v>0.141414141414141</v>
      </c>
      <c r="AL22" t="n">
        <v>277</v>
      </c>
      <c r="AM22" t="n">
        <v>175</v>
      </c>
      <c r="AN22" t="n">
        <v>38</v>
      </c>
      <c r="AO22" t="n">
        <v>0.6318</v>
      </c>
      <c r="AP22" t="n">
        <v>0.1372</v>
      </c>
    </row>
    <row r="23">
      <c r="A23" s="152" t="inlineStr">
        <is>
          <t>S31 - Delivered</t>
        </is>
      </c>
      <c r="B23" s="153" t="inlineStr">
        <is>
          <t>Estimated</t>
        </is>
      </c>
      <c r="C23" s="154" t="n">
        <v>187</v>
      </c>
      <c r="D23" s="154" t="n">
        <v>135</v>
      </c>
      <c r="E23" s="154" t="n">
        <v>108</v>
      </c>
      <c r="F23" s="155" t="n">
        <v>0.722</v>
      </c>
      <c r="G23" s="155" t="n">
        <v>0.578</v>
      </c>
      <c r="H23" s="154" t="n">
        <v>259</v>
      </c>
      <c r="I23" s="154" t="n">
        <v>198</v>
      </c>
      <c r="J23" s="154" t="n">
        <v>152</v>
      </c>
      <c r="K23" s="155" t="n">
        <v>0.764</v>
      </c>
      <c r="L23" s="155" t="n">
        <v>0.587</v>
      </c>
      <c r="M23" s="154" t="n">
        <v>248</v>
      </c>
      <c r="N23" s="154" t="n">
        <v>172</v>
      </c>
      <c r="O23" s="154" t="n">
        <v>125</v>
      </c>
      <c r="P23" s="155" t="n">
        <v>0.694</v>
      </c>
      <c r="Q23" s="155" t="n">
        <v>0.504</v>
      </c>
      <c r="R23" s="154" t="n">
        <v>278</v>
      </c>
      <c r="S23" s="154" t="n">
        <v>197</v>
      </c>
      <c r="T23" s="154" t="n">
        <v>130</v>
      </c>
      <c r="U23" s="155" t="n">
        <v>0.709</v>
      </c>
      <c r="V23" s="155" t="n">
        <v>0.468</v>
      </c>
      <c r="W23" s="154" t="n">
        <v>258</v>
      </c>
      <c r="X23" s="154" t="n">
        <v>173</v>
      </c>
      <c r="Y23" s="154" t="n">
        <v>125</v>
      </c>
      <c r="Z23" s="155" t="n">
        <v>0.670542635658915</v>
      </c>
      <c r="AA23" s="155" t="n">
        <v>0.484496124031008</v>
      </c>
      <c r="AB23" s="154" t="n">
        <v>312</v>
      </c>
      <c r="AC23" s="154" t="n">
        <v>202</v>
      </c>
      <c r="AD23" s="154" t="n">
        <v>141</v>
      </c>
      <c r="AE23" s="155">
        <f>AC23/AB23</f>
        <v/>
      </c>
      <c r="AF23" s="155">
        <f>AD23/AB23</f>
        <v/>
      </c>
      <c r="AG23" s="154" t="n">
        <v>297</v>
      </c>
      <c r="AH23" s="154" t="n">
        <v>195</v>
      </c>
      <c r="AI23" s="154" t="n">
        <v>149</v>
      </c>
      <c r="AJ23" s="319" t="n">
        <v>0.656565656565657</v>
      </c>
      <c r="AK23" s="319" t="n">
        <v>0.501683501683502</v>
      </c>
      <c r="AL23" t="n">
        <v>277</v>
      </c>
      <c r="AM23" t="n">
        <v>197</v>
      </c>
      <c r="AN23" t="n">
        <v>141</v>
      </c>
      <c r="AO23" t="n">
        <v>0.7112000000000001</v>
      </c>
      <c r="AP23" t="n">
        <v>0.509</v>
      </c>
    </row>
    <row r="24">
      <c r="A24" s="156" t="inlineStr">
        <is>
          <t>S55 - Empty Container returned</t>
        </is>
      </c>
      <c r="B24" s="157" t="inlineStr">
        <is>
          <t>Actual</t>
        </is>
      </c>
      <c r="C24" s="158" t="n">
        <v>28</v>
      </c>
      <c r="D24" s="158" t="n">
        <v>10</v>
      </c>
      <c r="E24" s="158" t="n">
        <v>7</v>
      </c>
      <c r="F24" s="159" t="n">
        <v>0.357</v>
      </c>
      <c r="G24" s="159" t="n">
        <v>0.25</v>
      </c>
      <c r="H24" s="158" t="n">
        <v>36</v>
      </c>
      <c r="I24" s="158" t="n">
        <v>24</v>
      </c>
      <c r="J24" s="158" t="n">
        <v>20</v>
      </c>
      <c r="K24" s="159" t="n">
        <v>0.667</v>
      </c>
      <c r="L24" s="159" t="n">
        <v>0.556</v>
      </c>
      <c r="M24" s="158" t="n">
        <v>50</v>
      </c>
      <c r="N24" s="158" t="n">
        <v>31</v>
      </c>
      <c r="O24" s="158" t="n">
        <v>26</v>
      </c>
      <c r="P24" s="159" t="n">
        <v>0.62</v>
      </c>
      <c r="Q24" s="159" t="n">
        <v>0.52</v>
      </c>
      <c r="R24" s="158" t="n">
        <v>64</v>
      </c>
      <c r="S24" s="158" t="n">
        <v>42</v>
      </c>
      <c r="T24" s="158" t="n">
        <v>40</v>
      </c>
      <c r="U24" s="159" t="n">
        <v>0.656</v>
      </c>
      <c r="V24" s="159" t="n">
        <v>0.625</v>
      </c>
      <c r="W24" s="158" t="n">
        <v>52</v>
      </c>
      <c r="X24" s="158" t="n">
        <v>40</v>
      </c>
      <c r="Y24" s="158" t="n">
        <v>40</v>
      </c>
      <c r="Z24" s="159" t="n">
        <v>0.7692307692307691</v>
      </c>
      <c r="AA24" s="159" t="n">
        <v>0.7692307692307691</v>
      </c>
      <c r="AB24" s="220" t="n">
        <v>77</v>
      </c>
      <c r="AC24" s="220" t="n">
        <v>61</v>
      </c>
      <c r="AD24" s="220" t="n">
        <v>60</v>
      </c>
      <c r="AE24" s="159">
        <f>AC24/AB24</f>
        <v/>
      </c>
      <c r="AF24" s="159">
        <f>AD24/AB24</f>
        <v/>
      </c>
      <c r="AG24" s="244" t="n">
        <v>80</v>
      </c>
      <c r="AH24" s="244" t="n">
        <v>55</v>
      </c>
      <c r="AI24" s="244" t="n">
        <v>54</v>
      </c>
      <c r="AJ24" s="245" t="n">
        <v>0.6875</v>
      </c>
      <c r="AK24" s="246" t="n">
        <v>0.675</v>
      </c>
      <c r="AL24" t="n">
        <v>66</v>
      </c>
      <c r="AM24" t="n">
        <v>49</v>
      </c>
      <c r="AN24" t="n">
        <v>48</v>
      </c>
      <c r="AO24" t="n">
        <v>0.7423999999999999</v>
      </c>
      <c r="AP24" t="n">
        <v>0.7272999999999999</v>
      </c>
    </row>
    <row r="25" ht="15" customHeight="1" s="340">
      <c r="AB25" s="223" t="n"/>
      <c r="AC25" s="223" t="n"/>
      <c r="AD25" s="223" t="n"/>
    </row>
  </sheetData>
  <autoFilter ref="A4:AF4"/>
  <mergeCells count="9">
    <mergeCell ref="A2:V2"/>
    <mergeCell ref="AB3:AF3"/>
    <mergeCell ref="H3:L3"/>
    <mergeCell ref="AG3:AK3"/>
    <mergeCell ref="A1:V1"/>
    <mergeCell ref="R3:V3"/>
    <mergeCell ref="W3:AA3"/>
    <mergeCell ref="M3:Q3"/>
    <mergeCell ref="C3:G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9"/>
  <sheetViews>
    <sheetView zoomScale="81" workbookViewId="0">
      <pane xSplit="9" ySplit="1" topLeftCell="J70" activePane="bottomRight" state="frozen"/>
      <selection pane="topRight" activeCell="I1" sqref="I1"/>
      <selection pane="bottomLeft" activeCell="A2" sqref="A2"/>
      <selection pane="bottomRight" activeCell="J12" sqref="J12:J89"/>
    </sheetView>
  </sheetViews>
  <sheetFormatPr baseColWidth="10" defaultRowHeight="89" customHeight="1"/>
  <cols>
    <col width="22.33203125" customWidth="1" style="340" min="3" max="3"/>
    <col width="22.1640625" bestFit="1" customWidth="1" style="340" min="4" max="4"/>
    <col hidden="1" width="22.1640625" customWidth="1" style="340" min="5" max="5"/>
    <col hidden="1" width="28.1640625" customWidth="1" style="340" min="6" max="6"/>
    <col hidden="1" width="15.83203125" customWidth="1" style="340" min="7" max="7"/>
    <col hidden="1" width="6.5" customWidth="1" style="340" min="8" max="8"/>
    <col width="15.33203125" customWidth="1" style="340" min="9" max="9"/>
    <col width="21.5" customWidth="1" style="340" min="10" max="10"/>
    <col width="35.33203125" customWidth="1" style="340" min="11" max="11"/>
    <col width="20.6640625" customWidth="1" style="340" min="12" max="14"/>
    <col width="15.33203125" customWidth="1" style="340" min="15" max="15"/>
  </cols>
  <sheetData>
    <row r="1" ht="18" customHeight="1" s="340">
      <c r="A1" s="413" t="inlineStr">
        <is>
          <t>Nr.</t>
        </is>
      </c>
      <c r="B1" s="413" t="inlineStr">
        <is>
          <t>Code</t>
        </is>
      </c>
      <c r="C1" s="413" t="inlineStr">
        <is>
          <t>Description</t>
        </is>
      </c>
      <c r="D1" s="413" t="inlineStr">
        <is>
          <t>Metric</t>
        </is>
      </c>
      <c r="E1" s="413" t="n"/>
      <c r="F1" s="413" t="n"/>
      <c r="G1" s="413" t="n"/>
      <c r="H1" s="413" t="n"/>
      <c r="I1" s="413" t="inlineStr">
        <is>
          <t>type</t>
        </is>
      </c>
      <c r="J1" t="inlineStr">
        <is>
          <t>Error</t>
        </is>
      </c>
      <c r="K1" s="317" t="inlineStr">
        <is>
          <t>Rootcause</t>
        </is>
      </c>
      <c r="L1" s="289" t="inlineStr">
        <is>
          <t>Measure 1</t>
        </is>
      </c>
      <c r="M1" s="289" t="inlineStr">
        <is>
          <t>Measure 2</t>
        </is>
      </c>
      <c r="N1" s="289" t="inlineStr">
        <is>
          <t>Measure 3</t>
        </is>
      </c>
      <c r="O1" t="inlineStr">
        <is>
          <t>Main problem</t>
        </is>
      </c>
    </row>
    <row r="2" ht="89" customHeight="1" s="340">
      <c r="A2" s="232" t="n">
        <v>1</v>
      </c>
      <c r="B2" s="233" t="inlineStr">
        <is>
          <t xml:space="preserve">SC4 – S00 </t>
        </is>
      </c>
      <c r="C2" s="286" t="inlineStr">
        <is>
          <t xml:space="preserve"> Shipment created (Actual)</t>
        </is>
      </c>
      <c r="D2" s="286" t="inlineStr">
        <is>
          <t>Completeness (Critical)</t>
        </is>
      </c>
      <c r="E2" s="233">
        <f t="array" ref="E2:F2">_xlfn.TEXTSPLIT(D2,"(")</f>
        <v/>
      </c>
      <c r="F2" s="233" t="inlineStr">
        <is>
          <t>Critical)</t>
        </is>
      </c>
      <c r="G2" s="413">
        <f t="array" ref="G2:H2">_xlfn.TEXTSPLIT(C2,"(")</f>
        <v/>
      </c>
      <c r="H2" s="413" t="inlineStr">
        <is>
          <t>Actual)</t>
        </is>
      </c>
      <c r="I2" s="413">
        <f>SUBSTITUTE(H2,")","")</f>
        <v/>
      </c>
      <c r="J2" s="274">
        <f>IF(K2="","No RCA","Not received because "&amp;K2)</f>
        <v/>
      </c>
      <c r="K2" s="274" t="inlineStr">
        <is>
          <t>CW1 configurations are not set up correctly to handle Bosch requirements</t>
        </is>
      </c>
      <c r="L2" s="274">
        <f>_xlfn.XLOOKUP(K2,Rootcauses!$B$2:$B$21,Rootcauses!$D$2:$D$21)</f>
        <v/>
      </c>
      <c r="M2" s="274">
        <f>_xlfn.XLOOKUP(K2,Rootcauses!$B$2:$B$21,Rootcauses!$E$2:$E$21)</f>
        <v/>
      </c>
      <c r="N2" s="274" t="inlineStr">
        <is>
          <t>Review the legacy system shipments flow for the branch in Japan</t>
        </is>
      </c>
      <c r="O2">
        <f>B2&amp;"- "&amp;I2&amp;" - "&amp;J2</f>
        <v/>
      </c>
    </row>
    <row r="3" ht="89" customHeight="1" s="340">
      <c r="A3" s="232" t="n">
        <v>2</v>
      </c>
      <c r="B3" s="233" t="inlineStr">
        <is>
          <t xml:space="preserve">SC4 – S00 </t>
        </is>
      </c>
      <c r="C3" s="286" t="inlineStr">
        <is>
          <t xml:space="preserve"> Shipment created (Actual)</t>
        </is>
      </c>
      <c r="D3" s="286" t="inlineStr">
        <is>
          <t>Timeliness (Critical)</t>
        </is>
      </c>
      <c r="E3" s="233">
        <f t="array" ref="E3:F3">_xlfn.TEXTSPLIT(D3,"(")</f>
        <v/>
      </c>
      <c r="F3" s="233" t="inlineStr">
        <is>
          <t>Critical)</t>
        </is>
      </c>
      <c r="G3" s="413">
        <f t="array" ref="G3:H3">_xlfn.TEXTSPLIT(C3,"(")</f>
        <v/>
      </c>
      <c r="H3" s="413" t="inlineStr">
        <is>
          <t>Actual)</t>
        </is>
      </c>
      <c r="I3" s="413">
        <f>SUBSTITUTE(H3,")","")</f>
        <v/>
      </c>
      <c r="J3" s="274">
        <f>IF(K3="","No RCA","Not received because "&amp;K3)</f>
        <v/>
      </c>
      <c r="K3" s="274" t="inlineStr">
        <is>
          <t>CW1 configurations are not set up correctly to handle Bosch requirements</t>
        </is>
      </c>
      <c r="L3" s="274">
        <f>_xlfn.XLOOKUP(K3,Rootcauses!$B$2:$B$21,Rootcauses!$D$2:$D$21)</f>
        <v/>
      </c>
      <c r="M3" s="274">
        <f>_xlfn.XLOOKUP(K3,Rootcauses!$B$2:$B$21,Rootcauses!$E$2:$E$21)</f>
        <v/>
      </c>
      <c r="N3" s="274" t="inlineStr">
        <is>
          <t>Review the legacy system shipments flow for the branch in Japan</t>
        </is>
      </c>
      <c r="O3">
        <f>B3&amp;"- "&amp;I3&amp;" - "&amp;J3</f>
        <v/>
      </c>
    </row>
    <row r="4" ht="89" customHeight="1" s="340">
      <c r="A4" s="232" t="n">
        <v>3</v>
      </c>
      <c r="B4" s="233" t="inlineStr">
        <is>
          <t xml:space="preserve">SC4 – S02 </t>
        </is>
      </c>
      <c r="C4" s="286" t="inlineStr">
        <is>
          <t xml:space="preserve"> Collected (Estimated)</t>
        </is>
      </c>
      <c r="D4" s="286" t="inlineStr">
        <is>
          <t>Completeness (Critical)</t>
        </is>
      </c>
      <c r="E4" s="233">
        <f t="array" ref="E4:F4">_xlfn.TEXTSPLIT(D4,"(")</f>
        <v/>
      </c>
      <c r="F4" s="233" t="inlineStr">
        <is>
          <t>Critical)</t>
        </is>
      </c>
      <c r="G4" s="413">
        <f t="array" ref="G4:H4">_xlfn.TEXTSPLIT(C4,"(")</f>
        <v/>
      </c>
      <c r="H4" s="413" t="inlineStr">
        <is>
          <t>Estimated)</t>
        </is>
      </c>
      <c r="I4" s="413">
        <f>SUBSTITUTE(H4,")","")</f>
        <v/>
      </c>
      <c r="J4" s="274">
        <f>IF(K4="","No RCA","Not received because "&amp;K4)</f>
        <v/>
      </c>
      <c r="K4" s="274" t="inlineStr">
        <is>
          <t>Manual milestones not updated on time by Operators due to lack of resources</t>
        </is>
      </c>
      <c r="L4" s="274">
        <f>_xlfn.XLOOKUP(K4,Rootcauses!$B$2:$B$21,Rootcauses!$D$2:$D$21)</f>
        <v/>
      </c>
      <c r="M4" s="274">
        <f>_xlfn.XLOOKUP(K4,Rootcauses!$B$2:$B$21,Rootcauses!$E$2:$E$21)</f>
        <v/>
      </c>
      <c r="N4" s="274">
        <f>_xlfn.XLOOKUP(K4,Rootcauses!$B$2:$B$21,Rootcauses!$F$2:$F$21)</f>
        <v/>
      </c>
      <c r="O4">
        <f>B4&amp;"- "&amp;I4&amp;" - "&amp;J4</f>
        <v/>
      </c>
    </row>
    <row r="5" ht="89" customHeight="1" s="340">
      <c r="A5" s="232" t="n">
        <v>4</v>
      </c>
      <c r="B5" s="236" t="inlineStr">
        <is>
          <t xml:space="preserve">SC4 – S02 </t>
        </is>
      </c>
      <c r="C5" s="286" t="inlineStr">
        <is>
          <t xml:space="preserve"> Collected (Estimated)</t>
        </is>
      </c>
      <c r="D5" s="286" t="inlineStr">
        <is>
          <t>Timeliness (Critical)</t>
        </is>
      </c>
      <c r="E5" s="233">
        <f t="array" ref="E5:F5">_xlfn.TEXTSPLIT(D5,"(")</f>
        <v/>
      </c>
      <c r="F5" s="233" t="inlineStr">
        <is>
          <t>Critical)</t>
        </is>
      </c>
      <c r="G5" s="413">
        <f t="array" ref="G5:H5">_xlfn.TEXTSPLIT(C5,"(")</f>
        <v/>
      </c>
      <c r="H5" s="413" t="inlineStr">
        <is>
          <t>Estimated)</t>
        </is>
      </c>
      <c r="I5" s="413">
        <f>SUBSTITUTE(H5,")","")</f>
        <v/>
      </c>
      <c r="J5" s="274">
        <f>IF(K5="","No RCA","Not received because "&amp;K5)</f>
        <v/>
      </c>
      <c r="K5" s="274" t="inlineStr">
        <is>
          <t>Manual milestones not updated on time by Operators due to lack of resources</t>
        </is>
      </c>
      <c r="L5" s="274">
        <f>_xlfn.XLOOKUP(K5,Rootcauses!$B$2:$B$21,Rootcauses!$D$2:$D$21)</f>
        <v/>
      </c>
      <c r="M5" s="274">
        <f>_xlfn.XLOOKUP(K5,Rootcauses!$B$2:$B$21,Rootcauses!$E$2:$E$21)</f>
        <v/>
      </c>
      <c r="N5" s="274">
        <f>_xlfn.XLOOKUP(K5,Rootcauses!$B$2:$B$21,Rootcauses!$F$2:$F$21)</f>
        <v/>
      </c>
      <c r="O5">
        <f>B5&amp;"- "&amp;I5&amp;" - "&amp;J5</f>
        <v/>
      </c>
    </row>
    <row r="6" ht="89" customHeight="1" s="340">
      <c r="A6" s="232" t="n">
        <v>5</v>
      </c>
      <c r="B6" s="236" t="inlineStr">
        <is>
          <t xml:space="preserve">SC4 – S02 </t>
        </is>
      </c>
      <c r="C6" s="286" t="inlineStr">
        <is>
          <t xml:space="preserve"> Collected (Actual)</t>
        </is>
      </c>
      <c r="D6" s="286" t="inlineStr">
        <is>
          <t>Completeness (Critical)</t>
        </is>
      </c>
      <c r="E6" s="233">
        <f t="array" ref="E6:F6">_xlfn.TEXTSPLIT(D6,"(")</f>
        <v/>
      </c>
      <c r="F6" s="233" t="inlineStr">
        <is>
          <t>Critical)</t>
        </is>
      </c>
      <c r="G6" s="413">
        <f t="array" ref="G6:H6">_xlfn.TEXTSPLIT(C6,"(")</f>
        <v/>
      </c>
      <c r="H6" s="413" t="inlineStr">
        <is>
          <t>Actual)</t>
        </is>
      </c>
      <c r="I6" s="413">
        <f>SUBSTITUTE(H6,")","")</f>
        <v/>
      </c>
      <c r="J6" s="274">
        <f>IF(K6="","No RCA","Not received because "&amp;K6)</f>
        <v/>
      </c>
      <c r="K6" s="274" t="inlineStr">
        <is>
          <t>Manual milestones not updated on time by Operators due to lack of resources</t>
        </is>
      </c>
      <c r="L6" s="274">
        <f>_xlfn.XLOOKUP(K6,Rootcauses!$B$2:$B$21,Rootcauses!$D$2:$D$21)</f>
        <v/>
      </c>
      <c r="M6" s="274">
        <f>_xlfn.XLOOKUP(K6,Rootcauses!$B$2:$B$21,Rootcauses!$E$2:$E$21)</f>
        <v/>
      </c>
      <c r="N6" s="274">
        <f>_xlfn.XLOOKUP(K6,Rootcauses!$B$2:$B$21,Rootcauses!$F$2:$F$21)</f>
        <v/>
      </c>
      <c r="O6">
        <f>B6&amp;"- "&amp;I6&amp;" - "&amp;J6</f>
        <v/>
      </c>
    </row>
    <row r="7" ht="89" customHeight="1" s="340">
      <c r="A7" s="232" t="n">
        <v>6</v>
      </c>
      <c r="B7" s="236" t="inlineStr">
        <is>
          <t xml:space="preserve">SC4 – S02 </t>
        </is>
      </c>
      <c r="C7" s="286" t="inlineStr">
        <is>
          <t xml:space="preserve"> Collected (Actual)</t>
        </is>
      </c>
      <c r="D7" s="286" t="inlineStr">
        <is>
          <t>Timeliness (Critical)</t>
        </is>
      </c>
      <c r="E7" s="233">
        <f t="array" ref="E7:F7">_xlfn.TEXTSPLIT(D7,"(")</f>
        <v/>
      </c>
      <c r="F7" s="233" t="inlineStr">
        <is>
          <t>Critical)</t>
        </is>
      </c>
      <c r="G7" s="413">
        <f t="array" ref="G7:H7">_xlfn.TEXTSPLIT(C7,"(")</f>
        <v/>
      </c>
      <c r="H7" s="413" t="inlineStr">
        <is>
          <t>Actual)</t>
        </is>
      </c>
      <c r="I7" s="413">
        <f>SUBSTITUTE(H7,")","")</f>
        <v/>
      </c>
      <c r="J7" s="274">
        <f>IF(K7="","No RCA","Not received because "&amp;K7)</f>
        <v/>
      </c>
      <c r="K7" s="274" t="inlineStr">
        <is>
          <t>Manual milestones not updated on time by Operators due to lack of resources</t>
        </is>
      </c>
      <c r="L7" s="274">
        <f>_xlfn.XLOOKUP(K7,Rootcauses!$B$2:$B$21,Rootcauses!$D$2:$D$21)</f>
        <v/>
      </c>
      <c r="M7" s="274">
        <f>_xlfn.XLOOKUP(K7,Rootcauses!$B$2:$B$21,Rootcauses!$E$2:$E$21)</f>
        <v/>
      </c>
      <c r="N7" s="274">
        <f>_xlfn.XLOOKUP(K7,Rootcauses!$B$2:$B$21,Rootcauses!$F$2:$F$21)</f>
        <v/>
      </c>
      <c r="O7">
        <f>B7&amp;"- "&amp;I7&amp;" - "&amp;J7</f>
        <v/>
      </c>
    </row>
    <row r="8" ht="89" customHeight="1" s="340">
      <c r="A8" s="232" t="n">
        <v>7</v>
      </c>
      <c r="B8" s="236" t="inlineStr">
        <is>
          <t xml:space="preserve">SC4 – S46 </t>
        </is>
      </c>
      <c r="C8" s="286" t="inlineStr">
        <is>
          <t xml:space="preserve"> Documents rcvd from shipper (Actual)</t>
        </is>
      </c>
      <c r="D8" s="286" t="inlineStr">
        <is>
          <t>Completeness (All)</t>
        </is>
      </c>
      <c r="E8" s="233">
        <f t="array" ref="E8:F8">_xlfn.TEXTSPLIT(D8,"(")</f>
        <v/>
      </c>
      <c r="F8" s="233" t="inlineStr">
        <is>
          <t>All)</t>
        </is>
      </c>
      <c r="G8" s="413">
        <f t="array" ref="G8:H8">_xlfn.TEXTSPLIT(C8,"(")</f>
        <v/>
      </c>
      <c r="H8" s="413" t="inlineStr">
        <is>
          <t>Actual)</t>
        </is>
      </c>
      <c r="I8" s="413">
        <f>SUBSTITUTE(H8,")","")</f>
        <v/>
      </c>
      <c r="J8" s="274">
        <f>IF(K8="","No RCA","Not received because "&amp;K8)</f>
        <v/>
      </c>
      <c r="K8" s="274" t="inlineStr">
        <is>
          <t>SOP to fill CW1 fields are not followed by Operators due to lack of resources</t>
        </is>
      </c>
      <c r="L8" s="274">
        <f>_xlfn.XLOOKUP(K8,Rootcauses!$B$2:$B$21,Rootcauses!$D$2:$D$21)</f>
        <v/>
      </c>
      <c r="M8" s="274">
        <f>_xlfn.XLOOKUP(K8,Rootcauses!$B$2:$B$21,Rootcauses!$E$2:$E$21)</f>
        <v/>
      </c>
      <c r="N8" s="274">
        <f>_xlfn.XLOOKUP(K8,Rootcauses!$B$2:$B$21,Rootcauses!$F$2:$F$21)</f>
        <v/>
      </c>
      <c r="O8">
        <f>B8&amp;"- "&amp;I8&amp;" - "&amp;J8</f>
        <v/>
      </c>
    </row>
    <row r="9" ht="89" customHeight="1" s="340">
      <c r="A9" s="232" t="n">
        <v>8</v>
      </c>
      <c r="B9" s="236" t="inlineStr">
        <is>
          <t xml:space="preserve">SC4 – S46 </t>
        </is>
      </c>
      <c r="C9" s="286" t="inlineStr">
        <is>
          <t xml:space="preserve"> Documents rcvd from shipper (Actual)</t>
        </is>
      </c>
      <c r="D9" s="286" t="inlineStr">
        <is>
          <t>Timeliness (All)</t>
        </is>
      </c>
      <c r="E9" s="233">
        <f t="array" ref="E9:F9">_xlfn.TEXTSPLIT(D9,"(")</f>
        <v/>
      </c>
      <c r="F9" s="233" t="inlineStr">
        <is>
          <t>All)</t>
        </is>
      </c>
      <c r="G9" s="413">
        <f t="array" ref="G9:H9">_xlfn.TEXTSPLIT(C9,"(")</f>
        <v/>
      </c>
      <c r="H9" s="413" t="inlineStr">
        <is>
          <t>Actual)</t>
        </is>
      </c>
      <c r="I9" s="413">
        <f>SUBSTITUTE(H9,")","")</f>
        <v/>
      </c>
      <c r="J9" s="274">
        <f>IF(K9="","No RCA","Not received because "&amp;K9)</f>
        <v/>
      </c>
      <c r="K9" s="274" t="inlineStr">
        <is>
          <t>SOP to fill CW1 fields are not followed by Operators due to lack of resources</t>
        </is>
      </c>
      <c r="L9" s="274">
        <f>_xlfn.XLOOKUP(K9,Rootcauses!$B$2:$B$21,Rootcauses!$D$2:$D$21)</f>
        <v/>
      </c>
      <c r="M9" s="274">
        <f>_xlfn.XLOOKUP(K9,Rootcauses!$B$2:$B$21,Rootcauses!$E$2:$E$21)</f>
        <v/>
      </c>
      <c r="N9" s="274">
        <f>_xlfn.XLOOKUP(K9,Rootcauses!$B$2:$B$21,Rootcauses!$F$2:$F$21)</f>
        <v/>
      </c>
      <c r="O9">
        <f>B9&amp;"- "&amp;I9&amp;" - "&amp;J9</f>
        <v/>
      </c>
    </row>
    <row r="10" ht="89" customHeight="1" s="340">
      <c r="A10" s="232" t="n">
        <v>9</v>
      </c>
      <c r="B10" s="236" t="inlineStr">
        <is>
          <t xml:space="preserve">SC4 – S10 </t>
        </is>
      </c>
      <c r="C10" s="286" t="inlineStr">
        <is>
          <t xml:space="preserve"> On hand at origin SVC (Actual)</t>
        </is>
      </c>
      <c r="D10" s="286" t="inlineStr">
        <is>
          <t>Completeness (All)</t>
        </is>
      </c>
      <c r="E10" s="233">
        <f t="array" ref="E10:F10">_xlfn.TEXTSPLIT(D10,"(")</f>
        <v/>
      </c>
      <c r="F10" s="233" t="inlineStr">
        <is>
          <t>All)</t>
        </is>
      </c>
      <c r="G10" s="413">
        <f t="array" ref="G10:H10">_xlfn.TEXTSPLIT(C10,"(")</f>
        <v/>
      </c>
      <c r="H10" s="413" t="inlineStr">
        <is>
          <t>Actual)</t>
        </is>
      </c>
      <c r="I10" s="413">
        <f>SUBSTITUTE(H10,")","")</f>
        <v/>
      </c>
      <c r="J10" s="274">
        <f>IF(K10="","No RCA","Not received because "&amp;K10)</f>
        <v/>
      </c>
      <c r="K10" s="274" t="inlineStr">
        <is>
          <t>Manual milestones not updated on time by Operators due to lack of resources</t>
        </is>
      </c>
      <c r="L10" s="274">
        <f>_xlfn.XLOOKUP(K10,Rootcauses!$B$2:$B$21,Rootcauses!$D$2:$D$21)</f>
        <v/>
      </c>
      <c r="M10" s="274">
        <f>_xlfn.XLOOKUP(K10,Rootcauses!$B$2:$B$21,Rootcauses!$E$2:$E$21)</f>
        <v/>
      </c>
      <c r="N10" s="274">
        <f>_xlfn.XLOOKUP(K10,Rootcauses!$B$2:$B$21,Rootcauses!$F$2:$F$21)</f>
        <v/>
      </c>
      <c r="O10">
        <f>B10&amp;"- "&amp;I10&amp;" - "&amp;J10</f>
        <v/>
      </c>
    </row>
    <row r="11" ht="89" customHeight="1" s="340">
      <c r="A11" s="232" t="n">
        <v>10</v>
      </c>
      <c r="B11" s="236" t="inlineStr">
        <is>
          <t xml:space="preserve">SC4 – S10 </t>
        </is>
      </c>
      <c r="C11" s="286" t="inlineStr">
        <is>
          <t xml:space="preserve"> On hand at origin SVC (Actual)</t>
        </is>
      </c>
      <c r="D11" s="286" t="inlineStr">
        <is>
          <t>Timeliness (All)</t>
        </is>
      </c>
      <c r="E11" s="233">
        <f t="array" ref="E11:F11">_xlfn.TEXTSPLIT(D11,"(")</f>
        <v/>
      </c>
      <c r="F11" s="233" t="inlineStr">
        <is>
          <t>All)</t>
        </is>
      </c>
      <c r="G11" s="413">
        <f t="array" ref="G11:H11">_xlfn.TEXTSPLIT(C11,"(")</f>
        <v/>
      </c>
      <c r="H11" s="413" t="inlineStr">
        <is>
          <t>Actual)</t>
        </is>
      </c>
      <c r="I11" s="413">
        <f>SUBSTITUTE(H11,")","")</f>
        <v/>
      </c>
      <c r="J11" s="274">
        <f>IF(K11="","No RCA","Not received because "&amp;K11)</f>
        <v/>
      </c>
      <c r="K11" s="274" t="inlineStr">
        <is>
          <t>Manual milestones not updated on time by Operators due to lack of resources</t>
        </is>
      </c>
      <c r="L11" s="274">
        <f>_xlfn.XLOOKUP(K11,Rootcauses!$B$2:$B$21,Rootcauses!$D$2:$D$21)</f>
        <v/>
      </c>
      <c r="M11" s="274">
        <f>_xlfn.XLOOKUP(K11,Rootcauses!$B$2:$B$21,Rootcauses!$E$2:$E$21)</f>
        <v/>
      </c>
      <c r="N11" s="274">
        <f>_xlfn.XLOOKUP(K11,Rootcauses!$B$2:$B$21,Rootcauses!$F$2:$F$21)</f>
        <v/>
      </c>
      <c r="O11">
        <f>B11&amp;"- "&amp;I11&amp;" - "&amp;J11</f>
        <v/>
      </c>
    </row>
    <row r="12" ht="89" customHeight="1" s="340">
      <c r="A12" s="232" t="n">
        <v>11</v>
      </c>
      <c r="B12" s="236" t="inlineStr">
        <is>
          <t xml:space="preserve">SC4 – S11 </t>
        </is>
      </c>
      <c r="C12" s="286" t="inlineStr">
        <is>
          <t xml:space="preserve"> On hand at origin Hub/CC (Actual)</t>
        </is>
      </c>
      <c r="D12" s="286" t="inlineStr">
        <is>
          <t>Completeness (All)</t>
        </is>
      </c>
      <c r="E12" s="233">
        <f t="array" ref="E12:F12">_xlfn.TEXTSPLIT(D12,"(")</f>
        <v/>
      </c>
      <c r="F12" s="233" t="inlineStr">
        <is>
          <t>All)</t>
        </is>
      </c>
      <c r="G12" s="413">
        <f t="array" ref="G12:H12">_xlfn.TEXTSPLIT(C12,"(")</f>
        <v/>
      </c>
      <c r="H12" s="413" t="inlineStr">
        <is>
          <t>Actual)</t>
        </is>
      </c>
      <c r="I12" s="413">
        <f>SUBSTITUTE(H12,")","")</f>
        <v/>
      </c>
      <c r="J12" s="274">
        <f>IF(K12="","No RCA","Not received because "&amp;K12)</f>
        <v/>
      </c>
      <c r="K12" s="274" t="n"/>
      <c r="L12" s="274">
        <f>_xlfn.XLOOKUP(K12,Rootcauses!$B$2:$B$21,Rootcauses!$D$2:$D$21)</f>
        <v/>
      </c>
      <c r="M12" s="274">
        <f>_xlfn.XLOOKUP(K12,Rootcauses!$B$2:$B$21,Rootcauses!$E$2:$E$21)</f>
        <v/>
      </c>
      <c r="N12" s="274">
        <f>_xlfn.XLOOKUP(K12,Rootcauses!$B$2:$B$21,Rootcauses!$F$2:$F$21)</f>
        <v/>
      </c>
      <c r="O12">
        <f>B12&amp;"- "&amp;I12&amp;" - "&amp;J12</f>
        <v/>
      </c>
    </row>
    <row r="13" ht="89" customHeight="1" s="340">
      <c r="A13" s="232" t="n">
        <v>12</v>
      </c>
      <c r="B13" s="236" t="inlineStr">
        <is>
          <t xml:space="preserve">SC4 – S11 </t>
        </is>
      </c>
      <c r="C13" s="286" t="inlineStr">
        <is>
          <t xml:space="preserve"> On hand at origin Hub/CC (Actual)</t>
        </is>
      </c>
      <c r="D13" s="286" t="inlineStr">
        <is>
          <t>Timeliness (All)</t>
        </is>
      </c>
      <c r="E13" s="233">
        <f t="array" ref="E13:F13">_xlfn.TEXTSPLIT(D13,"(")</f>
        <v/>
      </c>
      <c r="F13" s="233" t="inlineStr">
        <is>
          <t>All)</t>
        </is>
      </c>
      <c r="G13" s="413">
        <f t="array" ref="G13:H13">_xlfn.TEXTSPLIT(C13,"(")</f>
        <v/>
      </c>
      <c r="H13" s="413" t="inlineStr">
        <is>
          <t>Actual)</t>
        </is>
      </c>
      <c r="I13" s="413">
        <f>SUBSTITUTE(H13,")","")</f>
        <v/>
      </c>
      <c r="J13" s="274">
        <f>IF(K13="","No RCA","Not received because "&amp;K13)</f>
        <v/>
      </c>
      <c r="K13" s="274" t="inlineStr">
        <is>
          <t>Manual milestones not updated on time by Operators due to lack of resources</t>
        </is>
      </c>
      <c r="L13" s="274">
        <f>_xlfn.XLOOKUP(K13,Rootcauses!$B$2:$B$21,Rootcauses!$D$2:$D$21)</f>
        <v/>
      </c>
      <c r="M13" s="274">
        <f>_xlfn.XLOOKUP(K13,Rootcauses!$B$2:$B$21,Rootcauses!$E$2:$E$21)</f>
        <v/>
      </c>
      <c r="N13" s="274">
        <f>_xlfn.XLOOKUP(K13,Rootcauses!$B$2:$B$21,Rootcauses!$F$2:$F$21)</f>
        <v/>
      </c>
      <c r="O13">
        <f>B13&amp;"- "&amp;I13&amp;" - "&amp;J13</f>
        <v/>
      </c>
    </row>
    <row r="14" ht="89" customHeight="1" s="340">
      <c r="A14" s="232" t="n">
        <v>13</v>
      </c>
      <c r="B14" s="236" t="inlineStr">
        <is>
          <t xml:space="preserve">SC4 – S16 </t>
        </is>
      </c>
      <c r="C14" s="286" t="inlineStr">
        <is>
          <t xml:space="preserve"> Shipment booked with carrier (Actual)</t>
        </is>
      </c>
      <c r="D14" s="286" t="inlineStr">
        <is>
          <t>Completeness (All)</t>
        </is>
      </c>
      <c r="E14" s="233">
        <f t="array" ref="E14:F14">_xlfn.TEXTSPLIT(D14,"(")</f>
        <v/>
      </c>
      <c r="F14" s="233" t="inlineStr">
        <is>
          <t>All)</t>
        </is>
      </c>
      <c r="G14" s="413">
        <f t="array" ref="G14:H14">_xlfn.TEXTSPLIT(C14,"(")</f>
        <v/>
      </c>
      <c r="H14" s="413" t="inlineStr">
        <is>
          <t>Actual)</t>
        </is>
      </c>
      <c r="I14" s="413">
        <f>SUBSTITUTE(H14,")","")</f>
        <v/>
      </c>
      <c r="J14" s="274">
        <f>IF(K14="","No RCA","Not received because "&amp;K14)</f>
        <v/>
      </c>
      <c r="K14" s="274" t="inlineStr">
        <is>
          <t>SOP to fill CW1 fields are not followed by Operators due to lack of resources</t>
        </is>
      </c>
      <c r="L14" s="274">
        <f>_xlfn.XLOOKUP(K14,Rootcauses!$B$2:$B$21,Rootcauses!$D$2:$D$21)</f>
        <v/>
      </c>
      <c r="M14" s="274">
        <f>_xlfn.XLOOKUP(K14,Rootcauses!$B$2:$B$21,Rootcauses!$E$2:$E$21)</f>
        <v/>
      </c>
      <c r="N14" s="274">
        <f>_xlfn.XLOOKUP(K14,Rootcauses!$B$2:$B$21,Rootcauses!$F$2:$F$21)</f>
        <v/>
      </c>
      <c r="O14">
        <f>B14&amp;"- "&amp;I14&amp;" - "&amp;J14</f>
        <v/>
      </c>
    </row>
    <row r="15" ht="89" customHeight="1" s="340">
      <c r="A15" s="232" t="n">
        <v>14</v>
      </c>
      <c r="B15" s="236" t="inlineStr">
        <is>
          <t xml:space="preserve">SC4 – S16 </t>
        </is>
      </c>
      <c r="C15" s="286" t="inlineStr">
        <is>
          <t xml:space="preserve"> Shipment booked with carrier (Actual)</t>
        </is>
      </c>
      <c r="D15" s="286" t="inlineStr">
        <is>
          <t>Timeliness (All)</t>
        </is>
      </c>
      <c r="E15" s="233">
        <f t="array" ref="E15:F15">_xlfn.TEXTSPLIT(D15,"(")</f>
        <v/>
      </c>
      <c r="F15" s="233" t="inlineStr">
        <is>
          <t>All)</t>
        </is>
      </c>
      <c r="G15" s="413">
        <f t="array" ref="G15:H15">_xlfn.TEXTSPLIT(C15,"(")</f>
        <v/>
      </c>
      <c r="H15" s="413" t="inlineStr">
        <is>
          <t>Actual)</t>
        </is>
      </c>
      <c r="I15" s="413">
        <f>SUBSTITUTE(H15,")","")</f>
        <v/>
      </c>
      <c r="J15" s="274">
        <f>IF(K15="","No RCA","Not received because "&amp;K15)</f>
        <v/>
      </c>
      <c r="K15" s="274" t="inlineStr">
        <is>
          <t>Manual milestones not updated on time by Operators due to lack of resources</t>
        </is>
      </c>
      <c r="L15" s="274">
        <f>_xlfn.XLOOKUP(K15,Rootcauses!$B$2:$B$21,Rootcauses!$D$2:$D$21)</f>
        <v/>
      </c>
      <c r="M15" s="274">
        <f>_xlfn.XLOOKUP(K15,Rootcauses!$B$2:$B$21,Rootcauses!$E$2:$E$21)</f>
        <v/>
      </c>
      <c r="N15" s="274">
        <f>_xlfn.XLOOKUP(K15,Rootcauses!$B$2:$B$21,Rootcauses!$F$2:$F$21)</f>
        <v/>
      </c>
      <c r="O15">
        <f>B15&amp;"- "&amp;I15&amp;" - "&amp;J15</f>
        <v/>
      </c>
    </row>
    <row r="16" ht="89" customHeight="1" s="340">
      <c r="A16" s="232" t="n">
        <v>15</v>
      </c>
      <c r="B16" s="236" t="inlineStr">
        <is>
          <t xml:space="preserve">SC4 – S17 </t>
        </is>
      </c>
      <c r="C16" s="286" t="inlineStr">
        <is>
          <t xml:space="preserve"> Tendered carrier (Actual)</t>
        </is>
      </c>
      <c r="D16" s="286" t="inlineStr">
        <is>
          <t>Completeness (All)</t>
        </is>
      </c>
      <c r="E16" s="233">
        <f t="array" ref="E16:F16">_xlfn.TEXTSPLIT(D16,"(")</f>
        <v/>
      </c>
      <c r="F16" s="233" t="inlineStr">
        <is>
          <t>All)</t>
        </is>
      </c>
      <c r="G16" s="413">
        <f t="array" ref="G16:H16">_xlfn.TEXTSPLIT(C16,"(")</f>
        <v/>
      </c>
      <c r="H16" s="413" t="inlineStr">
        <is>
          <t>Actual)</t>
        </is>
      </c>
      <c r="I16" s="413">
        <f>SUBSTITUTE(H16,")","")</f>
        <v/>
      </c>
      <c r="J16" s="274">
        <f>IF(K16="","No RCA","Not received because "&amp;K16)</f>
        <v/>
      </c>
      <c r="K16" s="274" t="inlineStr">
        <is>
          <t>CW1 configurations are not set up correctly to handle Bosch requirements</t>
        </is>
      </c>
      <c r="L16" s="274">
        <f>_xlfn.XLOOKUP(K16,Rootcauses!$B$2:$B$21,Rootcauses!$D$2:$D$21)</f>
        <v/>
      </c>
      <c r="M16" s="274">
        <f>_xlfn.XLOOKUP(K16,Rootcauses!$B$2:$B$21,Rootcauses!$E$2:$E$21)</f>
        <v/>
      </c>
      <c r="N16" s="274">
        <f>_xlfn.XLOOKUP(K16,Rootcauses!$B$2:$B$21,Rootcauses!$F$2:$F$21)</f>
        <v/>
      </c>
      <c r="O16">
        <f>B16&amp;"- "&amp;I16&amp;" - "&amp;J16</f>
        <v/>
      </c>
    </row>
    <row r="17" ht="89" customHeight="1" s="340">
      <c r="A17" s="232" t="n">
        <v>16</v>
      </c>
      <c r="B17" s="236" t="inlineStr">
        <is>
          <t xml:space="preserve">SC4 – S17 </t>
        </is>
      </c>
      <c r="C17" s="286" t="inlineStr">
        <is>
          <t xml:space="preserve"> Tendered carrier (Actual)</t>
        </is>
      </c>
      <c r="D17" s="286" t="inlineStr">
        <is>
          <t>Timeliness (All)</t>
        </is>
      </c>
      <c r="E17" s="233">
        <f t="array" ref="E17:F17">_xlfn.TEXTSPLIT(D17,"(")</f>
        <v/>
      </c>
      <c r="F17" s="233" t="inlineStr">
        <is>
          <t>All)</t>
        </is>
      </c>
      <c r="G17" s="413">
        <f t="array" ref="G17:H17">_xlfn.TEXTSPLIT(C17,"(")</f>
        <v/>
      </c>
      <c r="H17" s="413" t="inlineStr">
        <is>
          <t>Actual)</t>
        </is>
      </c>
      <c r="I17" s="413">
        <f>SUBSTITUTE(H17,")","")</f>
        <v/>
      </c>
      <c r="J17" s="274">
        <f>IF(K17="","No RCA","Not received because "&amp;K17)</f>
        <v/>
      </c>
      <c r="K17" s="274" t="inlineStr">
        <is>
          <t>CW1 configurations are not set up correctly to handle Bosch requirements</t>
        </is>
      </c>
      <c r="L17" s="274">
        <f>_xlfn.XLOOKUP(K17,Rootcauses!$B$2:$B$21,Rootcauses!$D$2:$D$21)</f>
        <v/>
      </c>
      <c r="M17" s="274">
        <f>_xlfn.XLOOKUP(K17,Rootcauses!$B$2:$B$21,Rootcauses!$E$2:$E$21)</f>
        <v/>
      </c>
      <c r="N17" s="274">
        <f>_xlfn.XLOOKUP(K17,Rootcauses!$B$2:$B$21,Rootcauses!$F$2:$F$21)</f>
        <v/>
      </c>
      <c r="O17">
        <f>B17&amp;"- "&amp;I17&amp;" - "&amp;J17</f>
        <v/>
      </c>
    </row>
    <row r="18" ht="89" customHeight="1" s="340">
      <c r="A18" s="232" t="n">
        <v>17</v>
      </c>
      <c r="B18" s="236" t="inlineStr">
        <is>
          <t xml:space="preserve">SC4 – S50 </t>
        </is>
      </c>
      <c r="C18" s="286" t="inlineStr">
        <is>
          <t xml:space="preserve"> Received origin CFS (Actual)</t>
        </is>
      </c>
      <c r="D18" s="286" t="inlineStr">
        <is>
          <t>Completeness (All)</t>
        </is>
      </c>
      <c r="E18" s="233">
        <f t="array" ref="E18:F18">_xlfn.TEXTSPLIT(D18,"(")</f>
        <v/>
      </c>
      <c r="F18" s="233" t="inlineStr">
        <is>
          <t>All)</t>
        </is>
      </c>
      <c r="G18" s="413">
        <f t="array" ref="G18:H18">_xlfn.TEXTSPLIT(C18,"(")</f>
        <v/>
      </c>
      <c r="H18" s="413" t="inlineStr">
        <is>
          <t>Actual)</t>
        </is>
      </c>
      <c r="I18" s="413">
        <f>SUBSTITUTE(H18,")","")</f>
        <v/>
      </c>
      <c r="J18" s="274">
        <f>IF(K18="","No RCA","Not received because "&amp;K18)</f>
        <v/>
      </c>
      <c r="K18" s="274" t="inlineStr">
        <is>
          <t>SOP to fill CW1 fields are not followed by Operators due to lack of resources</t>
        </is>
      </c>
      <c r="L18" s="274">
        <f>_xlfn.XLOOKUP(K18,Rootcauses!$B$2:$B$21,Rootcauses!$D$2:$D$21)</f>
        <v/>
      </c>
      <c r="M18" s="274">
        <f>_xlfn.XLOOKUP(K18,Rootcauses!$B$2:$B$21,Rootcauses!$E$2:$E$21)</f>
        <v/>
      </c>
      <c r="N18" s="274">
        <f>_xlfn.XLOOKUP(K18,Rootcauses!$B$2:$B$21,Rootcauses!$F$2:$F$21)</f>
        <v/>
      </c>
      <c r="O18">
        <f>B18&amp;"- "&amp;I18&amp;" - "&amp;J18</f>
        <v/>
      </c>
    </row>
    <row r="19" ht="89" customHeight="1" s="340">
      <c r="A19" s="232" t="n">
        <v>18</v>
      </c>
      <c r="B19" s="236" t="inlineStr">
        <is>
          <t xml:space="preserve">SC4 – S50 </t>
        </is>
      </c>
      <c r="C19" s="286" t="inlineStr">
        <is>
          <t xml:space="preserve"> Received origin CFS (Actual)</t>
        </is>
      </c>
      <c r="D19" s="286" t="inlineStr">
        <is>
          <t>Timeliness (All)</t>
        </is>
      </c>
      <c r="E19" s="233">
        <f t="array" ref="E19:F19">_xlfn.TEXTSPLIT(D19,"(")</f>
        <v/>
      </c>
      <c r="F19" s="233" t="inlineStr">
        <is>
          <t>All)</t>
        </is>
      </c>
      <c r="G19" s="413">
        <f t="array" ref="G19:H19">_xlfn.TEXTSPLIT(C19,"(")</f>
        <v/>
      </c>
      <c r="H19" s="413" t="inlineStr">
        <is>
          <t>Actual)</t>
        </is>
      </c>
      <c r="I19" s="413">
        <f>SUBSTITUTE(H19,")","")</f>
        <v/>
      </c>
      <c r="J19" s="274">
        <f>IF(K19="","No RCA","Not received because "&amp;K19)</f>
        <v/>
      </c>
      <c r="K19" s="274" t="inlineStr">
        <is>
          <t>CW1 configurations are not set up correctly to handle Bosch requirements</t>
        </is>
      </c>
      <c r="L19" s="274">
        <f>_xlfn.XLOOKUP(K19,Rootcauses!$B$2:$B$21,Rootcauses!$D$2:$D$21)</f>
        <v/>
      </c>
      <c r="M19" s="274">
        <f>_xlfn.XLOOKUP(K19,Rootcauses!$B$2:$B$21,Rootcauses!$E$2:$E$21)</f>
        <v/>
      </c>
      <c r="N19" s="274">
        <f>_xlfn.XLOOKUP(K19,Rootcauses!$B$2:$B$21,Rootcauses!$F$2:$F$21)</f>
        <v/>
      </c>
      <c r="O19">
        <f>B19&amp;"- "&amp;I19&amp;" - "&amp;J19</f>
        <v/>
      </c>
    </row>
    <row r="20" ht="89" customHeight="1" s="340">
      <c r="A20" s="232" t="n">
        <v>19</v>
      </c>
      <c r="B20" s="236" t="inlineStr">
        <is>
          <t xml:space="preserve">SC4 – S04 </t>
        </is>
      </c>
      <c r="C20" s="286" t="inlineStr">
        <is>
          <t xml:space="preserve"> Vessel/flight departed (Estimated)</t>
        </is>
      </c>
      <c r="D20" s="286" t="inlineStr">
        <is>
          <t>Completeness (Critical)</t>
        </is>
      </c>
      <c r="E20" s="233">
        <f t="array" ref="E20:F20">_xlfn.TEXTSPLIT(D20,"(")</f>
        <v/>
      </c>
      <c r="F20" s="233" t="inlineStr">
        <is>
          <t>Critical)</t>
        </is>
      </c>
      <c r="G20" s="413">
        <f t="array" ref="G20:H20">_xlfn.TEXTSPLIT(C20,"(")</f>
        <v/>
      </c>
      <c r="H20" s="413" t="inlineStr">
        <is>
          <t>Estimated)</t>
        </is>
      </c>
      <c r="I20" s="413">
        <f>SUBSTITUTE(H20,")","")</f>
        <v/>
      </c>
      <c r="J20" s="274">
        <f>IF(K20="","No RCA","Not received because "&amp;K20)</f>
        <v/>
      </c>
      <c r="K20" s="274" t="inlineStr">
        <is>
          <t>The Consol is not attached to shipment with "is Linked" Flag</t>
        </is>
      </c>
      <c r="L20" s="274">
        <f>_xlfn.XLOOKUP(K20,Rootcauses!$B$2:$B$21,Rootcauses!$D$2:$D$21)</f>
        <v/>
      </c>
      <c r="M20" s="274">
        <f>_xlfn.XLOOKUP(K20,Rootcauses!$B$2:$B$21,Rootcauses!$E$2:$E$21)</f>
        <v/>
      </c>
      <c r="N20" s="274">
        <f>_xlfn.XLOOKUP(K20,Rootcauses!$B$2:$B$21,Rootcauses!$F$2:$F$21)</f>
        <v/>
      </c>
      <c r="O20">
        <f>B20&amp;"- "&amp;I20&amp;" - "&amp;J20</f>
        <v/>
      </c>
    </row>
    <row r="21" ht="89" customHeight="1" s="340">
      <c r="A21" s="232" t="n">
        <v>20</v>
      </c>
      <c r="B21" s="236" t="inlineStr">
        <is>
          <t xml:space="preserve">SC4 – S04 </t>
        </is>
      </c>
      <c r="C21" s="286" t="inlineStr">
        <is>
          <t xml:space="preserve"> Vessel/flight departed (Estimated)</t>
        </is>
      </c>
      <c r="D21" s="286" t="inlineStr">
        <is>
          <t>Timeliness (Critical)</t>
        </is>
      </c>
      <c r="E21" s="233">
        <f t="array" ref="E21:F21">_xlfn.TEXTSPLIT(D21,"(")</f>
        <v/>
      </c>
      <c r="F21" s="233" t="inlineStr">
        <is>
          <t>Critical)</t>
        </is>
      </c>
      <c r="G21" s="413">
        <f t="array" ref="G21:H21">_xlfn.TEXTSPLIT(C21,"(")</f>
        <v/>
      </c>
      <c r="H21" s="413" t="inlineStr">
        <is>
          <t>Estimated)</t>
        </is>
      </c>
      <c r="I21" s="413">
        <f>SUBSTITUTE(H21,")","")</f>
        <v/>
      </c>
      <c r="J21" s="274">
        <f>IF(K21="","No RCA","Not received because "&amp;K21)</f>
        <v/>
      </c>
      <c r="K21" s="274" t="inlineStr">
        <is>
          <t>The Consol is not attached to shipment with "is Linked" Flag</t>
        </is>
      </c>
      <c r="L21" s="274">
        <f>_xlfn.XLOOKUP(K21,Rootcauses!$B$2:$B$21,Rootcauses!$D$2:$D$21)</f>
        <v/>
      </c>
      <c r="M21" s="274">
        <f>_xlfn.XLOOKUP(K21,Rootcauses!$B$2:$B$21,Rootcauses!$E$2:$E$21)</f>
        <v/>
      </c>
      <c r="N21" s="274">
        <f>_xlfn.XLOOKUP(K21,Rootcauses!$B$2:$B$21,Rootcauses!$F$2:$F$21)</f>
        <v/>
      </c>
      <c r="O21">
        <f>B21&amp;"- "&amp;I21&amp;" - "&amp;J21</f>
        <v/>
      </c>
    </row>
    <row r="22" ht="89" customHeight="1" s="340">
      <c r="A22" s="232" t="n">
        <v>21</v>
      </c>
      <c r="B22" s="236" t="inlineStr">
        <is>
          <t xml:space="preserve">SC4 – S04 </t>
        </is>
      </c>
      <c r="C22" s="286" t="inlineStr">
        <is>
          <t xml:space="preserve"> Vessel/flight departed (Actual)</t>
        </is>
      </c>
      <c r="D22" s="286" t="inlineStr">
        <is>
          <t>Completeness (Critical)</t>
        </is>
      </c>
      <c r="E22" s="233">
        <f t="array" ref="E22:F22">_xlfn.TEXTSPLIT(D22,"(")</f>
        <v/>
      </c>
      <c r="F22" s="233" t="inlineStr">
        <is>
          <t>Critical)</t>
        </is>
      </c>
      <c r="G22" s="413">
        <f t="array" ref="G22:H22">_xlfn.TEXTSPLIT(C22,"(")</f>
        <v/>
      </c>
      <c r="H22" s="413" t="inlineStr">
        <is>
          <t>Actual)</t>
        </is>
      </c>
      <c r="I22" s="413">
        <f>SUBSTITUTE(H22,")","")</f>
        <v/>
      </c>
      <c r="J22" s="274">
        <f>IF(K22="","No RCA","Not received because "&amp;K22)</f>
        <v/>
      </c>
      <c r="K22" s="274" t="inlineStr">
        <is>
          <t>The Consol is not attached to shipment with "is Linked" Flag</t>
        </is>
      </c>
      <c r="L22" s="274">
        <f>_xlfn.XLOOKUP(K22,Rootcauses!$B$2:$B$21,Rootcauses!$D$2:$D$21)</f>
        <v/>
      </c>
      <c r="M22" s="274">
        <f>_xlfn.XLOOKUP(K22,Rootcauses!$B$2:$B$21,Rootcauses!$E$2:$E$21)</f>
        <v/>
      </c>
      <c r="N22" s="274">
        <f>_xlfn.XLOOKUP(K22,Rootcauses!$B$2:$B$21,Rootcauses!$F$2:$F$21)</f>
        <v/>
      </c>
      <c r="O22">
        <f>B22&amp;"- "&amp;I22&amp;" - "&amp;J22</f>
        <v/>
      </c>
    </row>
    <row r="23" ht="89" customHeight="1" s="340">
      <c r="A23" s="232" t="n">
        <v>22</v>
      </c>
      <c r="B23" s="236" t="inlineStr">
        <is>
          <t xml:space="preserve">SC4 – S04 </t>
        </is>
      </c>
      <c r="C23" s="286" t="inlineStr">
        <is>
          <t xml:space="preserve"> Vessel/flight departed (Actual)</t>
        </is>
      </c>
      <c r="D23" s="286" t="inlineStr">
        <is>
          <t>Timeliness (Critical)</t>
        </is>
      </c>
      <c r="E23" s="233">
        <f t="array" ref="E23:F23">_xlfn.TEXTSPLIT(D23,"(")</f>
        <v/>
      </c>
      <c r="F23" s="233" t="inlineStr">
        <is>
          <t>Critical)</t>
        </is>
      </c>
      <c r="G23" s="413">
        <f t="array" ref="G23:H23">_xlfn.TEXTSPLIT(C23,"(")</f>
        <v/>
      </c>
      <c r="H23" s="413" t="inlineStr">
        <is>
          <t>Actual)</t>
        </is>
      </c>
      <c r="I23" s="413">
        <f>SUBSTITUTE(H23,")","")</f>
        <v/>
      </c>
      <c r="J23" s="274">
        <f>IF(K23="","No RCA","Not received because "&amp;K23)</f>
        <v/>
      </c>
      <c r="K23" s="274" t="inlineStr">
        <is>
          <t>The Consol is not attached to shipment with "is Linked" Flag</t>
        </is>
      </c>
      <c r="L23" s="274">
        <f>_xlfn.XLOOKUP(K23,Rootcauses!$B$2:$B$21,Rootcauses!$D$2:$D$21)</f>
        <v/>
      </c>
      <c r="M23" s="274">
        <f>_xlfn.XLOOKUP(K23,Rootcauses!$B$2:$B$21,Rootcauses!$E$2:$E$21)</f>
        <v/>
      </c>
      <c r="N23" s="274">
        <f>_xlfn.XLOOKUP(K23,Rootcauses!$B$2:$B$21,Rootcauses!$F$2:$F$21)</f>
        <v/>
      </c>
      <c r="O23">
        <f>B23&amp;"- "&amp;I23&amp;" - "&amp;J23</f>
        <v/>
      </c>
    </row>
    <row r="24" ht="89" customHeight="1" s="340">
      <c r="A24" s="232" t="n">
        <v>23</v>
      </c>
      <c r="B24" s="236" t="inlineStr">
        <is>
          <t xml:space="preserve">SC4 – S07 </t>
        </is>
      </c>
      <c r="C24" s="286" t="inlineStr">
        <is>
          <t xml:space="preserve"> Vessel/flight arrived (Estimated)</t>
        </is>
      </c>
      <c r="D24" s="286" t="inlineStr">
        <is>
          <t>Completeness (Critical)</t>
        </is>
      </c>
      <c r="E24" s="233">
        <f t="array" ref="E24:F24">_xlfn.TEXTSPLIT(D24,"(")</f>
        <v/>
      </c>
      <c r="F24" s="233" t="inlineStr">
        <is>
          <t>Critical)</t>
        </is>
      </c>
      <c r="G24" s="413">
        <f t="array" ref="G24:H24">_xlfn.TEXTSPLIT(C24,"(")</f>
        <v/>
      </c>
      <c r="H24" s="413" t="inlineStr">
        <is>
          <t>Estimated)</t>
        </is>
      </c>
      <c r="I24" s="413">
        <f>SUBSTITUTE(H24,")","")</f>
        <v/>
      </c>
      <c r="J24" s="274">
        <f>IF(K24="","No RCA","Not received because "&amp;K24)</f>
        <v/>
      </c>
      <c r="K24" s="274" t="inlineStr">
        <is>
          <t>The Consol is not attached to shipment with "is Linked" Flag</t>
        </is>
      </c>
      <c r="L24" s="274">
        <f>_xlfn.XLOOKUP(K24,Rootcauses!$B$2:$B$21,Rootcauses!$D$2:$D$21)</f>
        <v/>
      </c>
      <c r="M24" s="274">
        <f>_xlfn.XLOOKUP(K24,Rootcauses!$B$2:$B$21,Rootcauses!$E$2:$E$21)</f>
        <v/>
      </c>
      <c r="N24" s="274">
        <f>_xlfn.XLOOKUP(K24,Rootcauses!$B$2:$B$21,Rootcauses!$F$2:$F$21)</f>
        <v/>
      </c>
      <c r="O24">
        <f>B24&amp;"- "&amp;I24&amp;" - "&amp;J24</f>
        <v/>
      </c>
    </row>
    <row r="25" ht="89" customHeight="1" s="340">
      <c r="A25" s="232" t="n">
        <v>24</v>
      </c>
      <c r="B25" s="236" t="inlineStr">
        <is>
          <t xml:space="preserve">SC4 – S07 </t>
        </is>
      </c>
      <c r="C25" s="286" t="inlineStr">
        <is>
          <t xml:space="preserve"> Vessel/flight arrived (Estimated)</t>
        </is>
      </c>
      <c r="D25" s="286" t="inlineStr">
        <is>
          <t>Timeliness (Critical)</t>
        </is>
      </c>
      <c r="E25" s="233">
        <f t="array" ref="E25:F25">_xlfn.TEXTSPLIT(D25,"(")</f>
        <v/>
      </c>
      <c r="F25" s="233" t="inlineStr">
        <is>
          <t>Critical)</t>
        </is>
      </c>
      <c r="G25" s="413">
        <f t="array" ref="G25:H25">_xlfn.TEXTSPLIT(C25,"(")</f>
        <v/>
      </c>
      <c r="H25" s="413" t="inlineStr">
        <is>
          <t>Estimated)</t>
        </is>
      </c>
      <c r="I25" s="413">
        <f>SUBSTITUTE(H25,")","")</f>
        <v/>
      </c>
      <c r="J25" s="274">
        <f>IF(K25="","No RCA","Not received because "&amp;K25)</f>
        <v/>
      </c>
      <c r="K25" s="274" t="inlineStr">
        <is>
          <t>The Consol is not attached to shipment with "is Linked" Flag</t>
        </is>
      </c>
      <c r="L25" s="274">
        <f>_xlfn.XLOOKUP(K25,Rootcauses!$B$2:$B$21,Rootcauses!$D$2:$D$21)</f>
        <v/>
      </c>
      <c r="M25" s="274">
        <f>_xlfn.XLOOKUP(K25,Rootcauses!$B$2:$B$21,Rootcauses!$E$2:$E$21)</f>
        <v/>
      </c>
      <c r="N25" s="274">
        <f>_xlfn.XLOOKUP(K25,Rootcauses!$B$2:$B$21,Rootcauses!$F$2:$F$21)</f>
        <v/>
      </c>
      <c r="O25">
        <f>B25&amp;"- "&amp;I25&amp;" - "&amp;J25</f>
        <v/>
      </c>
    </row>
    <row r="26" ht="89" customHeight="1" s="340">
      <c r="A26" s="232" t="n">
        <v>25</v>
      </c>
      <c r="B26" s="236" t="inlineStr">
        <is>
          <t xml:space="preserve">SC4 – S07 </t>
        </is>
      </c>
      <c r="C26" s="286" t="inlineStr">
        <is>
          <t xml:space="preserve"> Vessel/flight arrived (Actual)</t>
        </is>
      </c>
      <c r="D26" s="286" t="inlineStr">
        <is>
          <t>Completeness (Critical)</t>
        </is>
      </c>
      <c r="E26" s="233">
        <f t="array" ref="E26:F26">_xlfn.TEXTSPLIT(D26,"(")</f>
        <v/>
      </c>
      <c r="F26" s="233" t="inlineStr">
        <is>
          <t>Critical)</t>
        </is>
      </c>
      <c r="G26" s="413">
        <f t="array" ref="G26:H26">_xlfn.TEXTSPLIT(C26,"(")</f>
        <v/>
      </c>
      <c r="H26" s="413" t="inlineStr">
        <is>
          <t>Actual)</t>
        </is>
      </c>
      <c r="I26" s="413">
        <f>SUBSTITUTE(H26,")","")</f>
        <v/>
      </c>
      <c r="J26" s="274">
        <f>IF(K26="","No RCA","Not received because "&amp;K26)</f>
        <v/>
      </c>
      <c r="K26" s="274" t="inlineStr">
        <is>
          <t>The Consol is not attached to shipment with "is Linked" Flag</t>
        </is>
      </c>
      <c r="L26" s="274">
        <f>_xlfn.XLOOKUP(K26,Rootcauses!$B$2:$B$21,Rootcauses!$D$2:$D$21)</f>
        <v/>
      </c>
      <c r="M26" s="274">
        <f>_xlfn.XLOOKUP(K26,Rootcauses!$B$2:$B$21,Rootcauses!$E$2:$E$21)</f>
        <v/>
      </c>
      <c r="N26" s="274">
        <f>_xlfn.XLOOKUP(K26,Rootcauses!$B$2:$B$21,Rootcauses!$F$2:$F$21)</f>
        <v/>
      </c>
      <c r="O26">
        <f>B26&amp;"- "&amp;I26&amp;" - "&amp;J26</f>
        <v/>
      </c>
    </row>
    <row r="27" ht="89" customHeight="1" s="340">
      <c r="A27" s="232" t="n">
        <v>26</v>
      </c>
      <c r="B27" s="236" t="inlineStr">
        <is>
          <t xml:space="preserve">SC4 – S07 </t>
        </is>
      </c>
      <c r="C27" s="286" t="inlineStr">
        <is>
          <t xml:space="preserve"> Vessel/flight arrived (Actual)</t>
        </is>
      </c>
      <c r="D27" s="286" t="inlineStr">
        <is>
          <t>Timeliness (Critical)</t>
        </is>
      </c>
      <c r="E27" s="233">
        <f t="array" ref="E27:F27">_xlfn.TEXTSPLIT(D27,"(")</f>
        <v/>
      </c>
      <c r="F27" s="233" t="inlineStr">
        <is>
          <t>Critical)</t>
        </is>
      </c>
      <c r="G27" s="413">
        <f t="array" ref="G27:H27">_xlfn.TEXTSPLIT(C27,"(")</f>
        <v/>
      </c>
      <c r="H27" s="413" t="inlineStr">
        <is>
          <t>Actual)</t>
        </is>
      </c>
      <c r="I27" s="413">
        <f>SUBSTITUTE(H27,")","")</f>
        <v/>
      </c>
      <c r="J27" s="274">
        <f>IF(K27="","No RCA","Not received because "&amp;K27)</f>
        <v/>
      </c>
      <c r="K27" s="274" t="inlineStr">
        <is>
          <t>The Consol is not attached to shipment with "is Linked" Flag</t>
        </is>
      </c>
      <c r="L27" s="274">
        <f>_xlfn.XLOOKUP(K27,Rootcauses!$B$2:$B$21,Rootcauses!$D$2:$D$21)</f>
        <v/>
      </c>
      <c r="M27" s="274">
        <f>_xlfn.XLOOKUP(K27,Rootcauses!$B$2:$B$21,Rootcauses!$E$2:$E$21)</f>
        <v/>
      </c>
      <c r="N27" s="274">
        <f>_xlfn.XLOOKUP(K27,Rootcauses!$B$2:$B$21,Rootcauses!$F$2:$F$21)</f>
        <v/>
      </c>
      <c r="O27">
        <f>B27&amp;"- "&amp;I27&amp;" - "&amp;J27</f>
        <v/>
      </c>
    </row>
    <row r="28" ht="89" customHeight="1" s="340">
      <c r="A28" s="232" t="n">
        <v>27</v>
      </c>
      <c r="B28" s="236" t="inlineStr">
        <is>
          <t xml:space="preserve">SC4 – S51 </t>
        </is>
      </c>
      <c r="C28" s="286" t="inlineStr">
        <is>
          <t xml:space="preserve"> Arrived destination CFS (Actual)</t>
        </is>
      </c>
      <c r="D28" s="286" t="inlineStr">
        <is>
          <t>Completeness (All)</t>
        </is>
      </c>
      <c r="E28" s="233">
        <f t="array" ref="E28:F28">_xlfn.TEXTSPLIT(D28,"(")</f>
        <v/>
      </c>
      <c r="F28" s="233" t="inlineStr">
        <is>
          <t>All)</t>
        </is>
      </c>
      <c r="G28" s="413">
        <f t="array" ref="G28:H28">_xlfn.TEXTSPLIT(C28,"(")</f>
        <v/>
      </c>
      <c r="H28" s="413" t="inlineStr">
        <is>
          <t>Actual)</t>
        </is>
      </c>
      <c r="I28" s="413">
        <f>SUBSTITUTE(H28,")","")</f>
        <v/>
      </c>
      <c r="J28" s="274">
        <f>IF(K28="","No RCA","Not received because "&amp;K28)</f>
        <v/>
      </c>
      <c r="K28" s="274" t="inlineStr">
        <is>
          <t>The Automation of the Milestones is not working based the DEX events</t>
        </is>
      </c>
      <c r="L28" s="274">
        <f>_xlfn.XLOOKUP(K28,Rootcauses!$B$2:$B$21,Rootcauses!$D$2:$D$21)</f>
        <v/>
      </c>
      <c r="M28" s="274">
        <f>_xlfn.XLOOKUP(K28,Rootcauses!$B$2:$B$21,Rootcauses!$E$2:$E$21)</f>
        <v/>
      </c>
      <c r="N28" s="274">
        <f>_xlfn.XLOOKUP(K28,Rootcauses!$B$2:$B$21,Rootcauses!$F$2:$F$21)</f>
        <v/>
      </c>
      <c r="O28">
        <f>B28&amp;"- "&amp;I28&amp;" - "&amp;J28</f>
        <v/>
      </c>
    </row>
    <row r="29" ht="89" customHeight="1" s="340">
      <c r="A29" s="232" t="n">
        <v>28</v>
      </c>
      <c r="B29" s="236" t="inlineStr">
        <is>
          <t xml:space="preserve">SC4 – S51 </t>
        </is>
      </c>
      <c r="C29" s="286" t="inlineStr">
        <is>
          <t xml:space="preserve"> Arrived destination CFS (Actual)</t>
        </is>
      </c>
      <c r="D29" s="286" t="inlineStr">
        <is>
          <t>Timeliness (All)</t>
        </is>
      </c>
      <c r="E29" s="233">
        <f t="array" ref="E29:F29">_xlfn.TEXTSPLIT(D29,"(")</f>
        <v/>
      </c>
      <c r="F29" s="233" t="inlineStr">
        <is>
          <t>All)</t>
        </is>
      </c>
      <c r="G29" s="413">
        <f t="array" ref="G29:H29">_xlfn.TEXTSPLIT(C29,"(")</f>
        <v/>
      </c>
      <c r="H29" s="413" t="inlineStr">
        <is>
          <t>Actual)</t>
        </is>
      </c>
      <c r="I29" s="413">
        <f>SUBSTITUTE(H29,")","")</f>
        <v/>
      </c>
      <c r="J29" s="274">
        <f>IF(K29="","No RCA","Not received because "&amp;K29)</f>
        <v/>
      </c>
      <c r="K29" s="274" t="inlineStr">
        <is>
          <t>The Automation of the Milestones is not working based the DEX events</t>
        </is>
      </c>
      <c r="L29" s="274">
        <f>_xlfn.XLOOKUP(K29,Rootcauses!$B$2:$B$21,Rootcauses!$D$2:$D$21)</f>
        <v/>
      </c>
      <c r="M29" s="274">
        <f>_xlfn.XLOOKUP(K29,Rootcauses!$B$2:$B$21,Rootcauses!$E$2:$E$21)</f>
        <v/>
      </c>
      <c r="N29" s="274">
        <f>_xlfn.XLOOKUP(K29,Rootcauses!$B$2:$B$21,Rootcauses!$F$2:$F$21)</f>
        <v/>
      </c>
      <c r="O29">
        <f>B29&amp;"- "&amp;I29&amp;" - "&amp;J29</f>
        <v/>
      </c>
    </row>
    <row r="30" ht="89" customHeight="1" s="340">
      <c r="A30" s="232" t="n">
        <v>29</v>
      </c>
      <c r="B30" s="236" t="inlineStr">
        <is>
          <t xml:space="preserve">SC4 – S18 </t>
        </is>
      </c>
      <c r="C30" s="286" t="inlineStr">
        <is>
          <t xml:space="preserve"> Recovered from carrier (Actual)</t>
        </is>
      </c>
      <c r="D30" s="286" t="inlineStr">
        <is>
          <t>Completeness (All)</t>
        </is>
      </c>
      <c r="E30" s="233">
        <f t="array" ref="E30:F30">_xlfn.TEXTSPLIT(D30,"(")</f>
        <v/>
      </c>
      <c r="F30" s="233" t="inlineStr">
        <is>
          <t>All)</t>
        </is>
      </c>
      <c r="G30" s="413">
        <f t="array" ref="G30:H30">_xlfn.TEXTSPLIT(C30,"(")</f>
        <v/>
      </c>
      <c r="H30" s="413" t="inlineStr">
        <is>
          <t>Actual)</t>
        </is>
      </c>
      <c r="I30" s="413">
        <f>SUBSTITUTE(H30,")","")</f>
        <v/>
      </c>
      <c r="J30" s="274">
        <f>IF(K30="","No RCA","Not received because "&amp;K30)</f>
        <v/>
      </c>
      <c r="K30" s="274" t="inlineStr">
        <is>
          <t>CW1 configurations are not set up correctly to handle Bosch requirements</t>
        </is>
      </c>
      <c r="L30" s="274">
        <f>_xlfn.XLOOKUP(K30,Rootcauses!$B$2:$B$21,Rootcauses!$D$2:$D$21)</f>
        <v/>
      </c>
      <c r="M30" s="274">
        <f>_xlfn.XLOOKUP(K30,Rootcauses!$B$2:$B$21,Rootcauses!$E$2:$E$21)</f>
        <v/>
      </c>
      <c r="N30" s="274">
        <f>_xlfn.XLOOKUP(K30,Rootcauses!$B$2:$B$21,Rootcauses!$F$2:$F$21)</f>
        <v/>
      </c>
      <c r="O30">
        <f>B30&amp;"- "&amp;I30&amp;" - "&amp;J30</f>
        <v/>
      </c>
    </row>
    <row r="31" ht="89" customHeight="1" s="340">
      <c r="A31" s="232" t="n">
        <v>30</v>
      </c>
      <c r="B31" s="236" t="inlineStr">
        <is>
          <t xml:space="preserve">SC4 – S18 </t>
        </is>
      </c>
      <c r="C31" s="286" t="inlineStr">
        <is>
          <t xml:space="preserve"> Recovered from carrier (Actual)</t>
        </is>
      </c>
      <c r="D31" s="286" t="inlineStr">
        <is>
          <t>Timeliness (All)</t>
        </is>
      </c>
      <c r="E31" s="233">
        <f t="array" ref="E31:F31">_xlfn.TEXTSPLIT(D31,"(")</f>
        <v/>
      </c>
      <c r="F31" s="233" t="inlineStr">
        <is>
          <t>All)</t>
        </is>
      </c>
      <c r="G31" s="413">
        <f t="array" ref="G31:H31">_xlfn.TEXTSPLIT(C31,"(")</f>
        <v/>
      </c>
      <c r="H31" s="413" t="inlineStr">
        <is>
          <t>Actual)</t>
        </is>
      </c>
      <c r="I31" s="413">
        <f>SUBSTITUTE(H31,")","")</f>
        <v/>
      </c>
      <c r="J31" s="274">
        <f>IF(K31="","No RCA","Not received because "&amp;K31)</f>
        <v/>
      </c>
      <c r="K31" s="274" t="inlineStr">
        <is>
          <t>CW1 configurations are not set up correctly to handle Bosch requirements</t>
        </is>
      </c>
      <c r="L31" s="274">
        <f>_xlfn.XLOOKUP(K31,Rootcauses!$B$2:$B$21,Rootcauses!$D$2:$D$21)</f>
        <v/>
      </c>
      <c r="M31" s="274">
        <f>_xlfn.XLOOKUP(K31,Rootcauses!$B$2:$B$21,Rootcauses!$E$2:$E$21)</f>
        <v/>
      </c>
      <c r="N31" s="274">
        <f>_xlfn.XLOOKUP(K31,Rootcauses!$B$2:$B$21,Rootcauses!$F$2:$F$21)</f>
        <v/>
      </c>
      <c r="O31">
        <f>B31&amp;"- "&amp;I31&amp;" - "&amp;J31</f>
        <v/>
      </c>
    </row>
    <row r="32" ht="89" customHeight="1" s="340">
      <c r="A32" s="232" t="n">
        <v>31</v>
      </c>
      <c r="B32" s="236" t="inlineStr">
        <is>
          <t xml:space="preserve">SC4 – S12 </t>
        </is>
      </c>
      <c r="C32" s="286" t="inlineStr">
        <is>
          <t xml:space="preserve"> On hand at destination Hub/CC (Actual)</t>
        </is>
      </c>
      <c r="D32" s="286" t="inlineStr">
        <is>
          <t>Completeness (All)</t>
        </is>
      </c>
      <c r="E32" s="233">
        <f t="array" ref="E32:F32">_xlfn.TEXTSPLIT(D32,"(")</f>
        <v/>
      </c>
      <c r="F32" s="233" t="inlineStr">
        <is>
          <t>All)</t>
        </is>
      </c>
      <c r="G32" s="413">
        <f t="array" ref="G32:H32">_xlfn.TEXTSPLIT(C32,"(")</f>
        <v/>
      </c>
      <c r="H32" s="413" t="inlineStr">
        <is>
          <t>Actual)</t>
        </is>
      </c>
      <c r="I32" s="413">
        <f>SUBSTITUTE(H32,")","")</f>
        <v/>
      </c>
      <c r="J32" s="274">
        <f>IF(K32="","No RCA","Not received because "&amp;K32)</f>
        <v/>
      </c>
      <c r="K32" s="274" t="inlineStr">
        <is>
          <t>Milestone is dependent on Manual input and is missed due to Lack of resources</t>
        </is>
      </c>
      <c r="L32" s="274">
        <f>_xlfn.XLOOKUP(K32,Rootcauses!$B$2:$B$21,Rootcauses!$D$2:$D$21)</f>
        <v/>
      </c>
      <c r="M32" s="274">
        <f>_xlfn.XLOOKUP(K32,Rootcauses!$B$2:$B$21,Rootcauses!$E$2:$E$21)</f>
        <v/>
      </c>
      <c r="N32" s="274">
        <f>_xlfn.XLOOKUP(K32,Rootcauses!$B$2:$B$21,Rootcauses!$F$2:$F$21)</f>
        <v/>
      </c>
      <c r="O32">
        <f>B32&amp;"- "&amp;I32&amp;" - "&amp;J32</f>
        <v/>
      </c>
    </row>
    <row r="33" ht="89" customHeight="1" s="340">
      <c r="A33" s="232" t="n">
        <v>32</v>
      </c>
      <c r="B33" s="236" t="inlineStr">
        <is>
          <t xml:space="preserve">SC4 – S12 </t>
        </is>
      </c>
      <c r="C33" s="286" t="inlineStr">
        <is>
          <t xml:space="preserve"> On hand at destination Hub/CC (Actual)</t>
        </is>
      </c>
      <c r="D33" s="286" t="inlineStr">
        <is>
          <t>Timeliness (All)</t>
        </is>
      </c>
      <c r="E33" s="233">
        <f t="array" ref="E33:F33">_xlfn.TEXTSPLIT(D33,"(")</f>
        <v/>
      </c>
      <c r="F33" s="233" t="inlineStr">
        <is>
          <t>All)</t>
        </is>
      </c>
      <c r="G33" s="413">
        <f t="array" ref="G33:H33">_xlfn.TEXTSPLIT(C33,"(")</f>
        <v/>
      </c>
      <c r="H33" s="413" t="inlineStr">
        <is>
          <t>Actual)</t>
        </is>
      </c>
      <c r="I33" s="413">
        <f>SUBSTITUTE(H33,")","")</f>
        <v/>
      </c>
      <c r="J33" s="274">
        <f>IF(K33="","No RCA","Not received because "&amp;K33)</f>
        <v/>
      </c>
      <c r="K33" s="274" t="inlineStr">
        <is>
          <t>Milestone is dependent on Manual input and is missed due to Lack of resources</t>
        </is>
      </c>
      <c r="L33" s="274">
        <f>_xlfn.XLOOKUP(K33,Rootcauses!$B$2:$B$21,Rootcauses!$D$2:$D$21)</f>
        <v/>
      </c>
      <c r="M33" s="274">
        <f>_xlfn.XLOOKUP(K33,Rootcauses!$B$2:$B$21,Rootcauses!$E$2:$E$21)</f>
        <v/>
      </c>
      <c r="N33" s="274">
        <f>_xlfn.XLOOKUP(K33,Rootcauses!$B$2:$B$21,Rootcauses!$F$2:$F$21)</f>
        <v/>
      </c>
      <c r="O33">
        <f>B33&amp;"- "&amp;I33&amp;" - "&amp;J33</f>
        <v/>
      </c>
    </row>
    <row r="34" ht="89" customHeight="1" s="340">
      <c r="A34" s="232" t="n">
        <v>33</v>
      </c>
      <c r="B34" s="236" t="inlineStr">
        <is>
          <t xml:space="preserve">SC4 – S13 </t>
        </is>
      </c>
      <c r="C34" s="286" t="inlineStr">
        <is>
          <t xml:space="preserve"> On hand at destination SVC (Actual)</t>
        </is>
      </c>
      <c r="D34" s="286" t="inlineStr">
        <is>
          <t>Completeness (All)</t>
        </is>
      </c>
      <c r="E34" s="233">
        <f t="array" ref="E34:F34">_xlfn.TEXTSPLIT(D34,"(")</f>
        <v/>
      </c>
      <c r="F34" s="233" t="inlineStr">
        <is>
          <t>All)</t>
        </is>
      </c>
      <c r="G34" s="413">
        <f t="array" ref="G34:H34">_xlfn.TEXTSPLIT(C34,"(")</f>
        <v/>
      </c>
      <c r="H34" s="413" t="inlineStr">
        <is>
          <t>Actual)</t>
        </is>
      </c>
      <c r="I34" s="413">
        <f>SUBSTITUTE(H34,")","")</f>
        <v/>
      </c>
      <c r="J34" s="274">
        <f>IF(K34="","No RCA","Not received because "&amp;K34)</f>
        <v/>
      </c>
      <c r="K34" s="274" t="inlineStr">
        <is>
          <t>SOP to fill CW1 fields are not followed by Operators due to lack of resources</t>
        </is>
      </c>
      <c r="L34" s="274">
        <f>_xlfn.XLOOKUP(K34,Rootcauses!$B$2:$B$21,Rootcauses!$D$2:$D$21)</f>
        <v/>
      </c>
      <c r="M34" s="274">
        <f>_xlfn.XLOOKUP(K34,Rootcauses!$B$2:$B$21,Rootcauses!$E$2:$E$21)</f>
        <v/>
      </c>
      <c r="N34" s="274">
        <f>_xlfn.XLOOKUP(K34,Rootcauses!$B$2:$B$21,Rootcauses!$F$2:$F$21)</f>
        <v/>
      </c>
      <c r="O34">
        <f>B34&amp;"- "&amp;I34&amp;" - "&amp;J34</f>
        <v/>
      </c>
    </row>
    <row r="35" ht="89" customHeight="1" s="340">
      <c r="A35" s="232" t="n">
        <v>34</v>
      </c>
      <c r="B35" s="236" t="inlineStr">
        <is>
          <t xml:space="preserve">SC4 – S13 </t>
        </is>
      </c>
      <c r="C35" s="286" t="inlineStr">
        <is>
          <t xml:space="preserve"> On hand at destination SVC (Actual)</t>
        </is>
      </c>
      <c r="D35" s="286" t="inlineStr">
        <is>
          <t>Timeliness (All)</t>
        </is>
      </c>
      <c r="E35" s="233">
        <f t="array" ref="E35:F35">_xlfn.TEXTSPLIT(D35,"(")</f>
        <v/>
      </c>
      <c r="F35" s="233" t="inlineStr">
        <is>
          <t>All)</t>
        </is>
      </c>
      <c r="G35" s="413">
        <f t="array" ref="G35:H35">_xlfn.TEXTSPLIT(C35,"(")</f>
        <v/>
      </c>
      <c r="H35" s="413" t="inlineStr">
        <is>
          <t>Actual)</t>
        </is>
      </c>
      <c r="I35" s="413">
        <f>SUBSTITUTE(H35,")","")</f>
        <v/>
      </c>
      <c r="J35" s="274">
        <f>IF(K35="","No RCA","Not received because "&amp;K35)</f>
        <v/>
      </c>
      <c r="K35" s="274" t="inlineStr">
        <is>
          <t>Milestone is dependent on Manual input and is missed due to Lack of resources</t>
        </is>
      </c>
      <c r="L35" s="274">
        <f>_xlfn.XLOOKUP(K35,Rootcauses!$B$2:$B$21,Rootcauses!$D$2:$D$21)</f>
        <v/>
      </c>
      <c r="M35" s="274">
        <f>_xlfn.XLOOKUP(K35,Rootcauses!$B$2:$B$21,Rootcauses!$E$2:$E$21)</f>
        <v/>
      </c>
      <c r="N35" s="274">
        <f>_xlfn.XLOOKUP(K35,Rootcauses!$B$2:$B$21,Rootcauses!$F$2:$F$21)</f>
        <v/>
      </c>
      <c r="O35">
        <f>B35&amp;"- "&amp;I35&amp;" - "&amp;J35</f>
        <v/>
      </c>
    </row>
    <row r="36" ht="89" customHeight="1" s="340">
      <c r="A36" s="232" t="n">
        <v>35</v>
      </c>
      <c r="B36" s="236" t="inlineStr">
        <is>
          <t xml:space="preserve">SC4 – S45 </t>
        </is>
      </c>
      <c r="C36" s="286" t="inlineStr">
        <is>
          <t xml:space="preserve"> Handover to broker (Actual)</t>
        </is>
      </c>
      <c r="D36" s="286" t="inlineStr">
        <is>
          <t>Completeness (Critical)</t>
        </is>
      </c>
      <c r="E36" s="233">
        <f t="array" ref="E36:F36">_xlfn.TEXTSPLIT(D36,"(")</f>
        <v/>
      </c>
      <c r="F36" s="233" t="inlineStr">
        <is>
          <t>Critical)</t>
        </is>
      </c>
      <c r="G36" s="413">
        <f t="array" ref="G36:H36">_xlfn.TEXTSPLIT(C36,"(")</f>
        <v/>
      </c>
      <c r="H36" s="413" t="inlineStr">
        <is>
          <t>Actual)</t>
        </is>
      </c>
      <c r="I36" s="413">
        <f>SUBSTITUTE(H36,")","")</f>
        <v/>
      </c>
      <c r="J36" s="274">
        <f>IF(K36="","No RCA","Not received because "&amp;K36)</f>
        <v/>
      </c>
      <c r="K36" s="274" t="inlineStr">
        <is>
          <t>The HBL div mode is changed after receiving</t>
        </is>
      </c>
      <c r="L36" s="274">
        <f>_xlfn.XLOOKUP(K36,Rootcauses!$B$2:$B$21,Rootcauses!$D$2:$D$21)</f>
        <v/>
      </c>
      <c r="M36" s="274">
        <f>_xlfn.XLOOKUP(K36,Rootcauses!$B$2:$B$21,Rootcauses!$E$2:$E$21)</f>
        <v/>
      </c>
      <c r="N36" s="274">
        <f>_xlfn.XLOOKUP(K36,Rootcauses!$B$2:$B$21,Rootcauses!$F$2:$F$21)</f>
        <v/>
      </c>
      <c r="O36">
        <f>B36&amp;"- "&amp;I36&amp;" - "&amp;J36</f>
        <v/>
      </c>
    </row>
    <row r="37" ht="89" customHeight="1" s="340">
      <c r="A37" s="232" t="n">
        <v>36</v>
      </c>
      <c r="B37" s="236" t="inlineStr">
        <is>
          <t xml:space="preserve">SC4 – S45 </t>
        </is>
      </c>
      <c r="C37" s="286" t="inlineStr">
        <is>
          <t xml:space="preserve"> Handover to broker (Actual)</t>
        </is>
      </c>
      <c r="D37" s="286" t="inlineStr">
        <is>
          <t>Timeliness (Critical)</t>
        </is>
      </c>
      <c r="E37" s="233">
        <f t="array" ref="E37:F37">_xlfn.TEXTSPLIT(D37,"(")</f>
        <v/>
      </c>
      <c r="F37" s="233" t="inlineStr">
        <is>
          <t>Critical)</t>
        </is>
      </c>
      <c r="G37" s="413">
        <f t="array" ref="G37:H37">_xlfn.TEXTSPLIT(C37,"(")</f>
        <v/>
      </c>
      <c r="H37" s="413" t="inlineStr">
        <is>
          <t>Actual)</t>
        </is>
      </c>
      <c r="I37" s="413">
        <f>SUBSTITUTE(H37,")","")</f>
        <v/>
      </c>
      <c r="J37" s="274">
        <f>IF(K37="","No RCA","Not received because "&amp;K37)</f>
        <v/>
      </c>
      <c r="K37" s="274" t="inlineStr">
        <is>
          <t>The HBL div mode is changed after receiving</t>
        </is>
      </c>
      <c r="L37" s="274">
        <f>_xlfn.XLOOKUP(K37,Rootcauses!$B$2:$B$21,Rootcauses!$D$2:$D$21)</f>
        <v/>
      </c>
      <c r="M37" s="274">
        <f>_xlfn.XLOOKUP(K37,Rootcauses!$B$2:$B$21,Rootcauses!$E$2:$E$21)</f>
        <v/>
      </c>
      <c r="N37" s="274">
        <f>_xlfn.XLOOKUP(K37,Rootcauses!$B$2:$B$21,Rootcauses!$F$2:$F$21)</f>
        <v/>
      </c>
      <c r="O37">
        <f>B37&amp;"- "&amp;I37&amp;" - "&amp;J37</f>
        <v/>
      </c>
    </row>
    <row r="38" ht="89" customHeight="1" s="340">
      <c r="A38" s="232" t="n">
        <v>37</v>
      </c>
      <c r="B38" s="236" t="inlineStr">
        <is>
          <t xml:space="preserve">SC4 – S05 </t>
        </is>
      </c>
      <c r="C38" s="286" t="inlineStr">
        <is>
          <t xml:space="preserve"> In delivery (Actual)</t>
        </is>
      </c>
      <c r="D38" s="286" t="inlineStr">
        <is>
          <t>Completeness (All)</t>
        </is>
      </c>
      <c r="E38" s="233">
        <f t="array" ref="E38:F38">_xlfn.TEXTSPLIT(D38,"(")</f>
        <v/>
      </c>
      <c r="F38" s="233" t="inlineStr">
        <is>
          <t>All)</t>
        </is>
      </c>
      <c r="G38" s="413">
        <f t="array" ref="G38:H38">_xlfn.TEXTSPLIT(C38,"(")</f>
        <v/>
      </c>
      <c r="H38" s="413" t="inlineStr">
        <is>
          <t>Actual)</t>
        </is>
      </c>
      <c r="I38" s="413">
        <f>SUBSTITUTE(H38,")","")</f>
        <v/>
      </c>
      <c r="J38" s="274">
        <f>IF(K38="","No RCA","Not received because "&amp;K38)</f>
        <v/>
      </c>
      <c r="K38" s="274" t="inlineStr">
        <is>
          <t>CW1 configurations are not set up correctly to handle Bosch requirements</t>
        </is>
      </c>
      <c r="L38" s="274">
        <f>_xlfn.XLOOKUP(K38,Rootcauses!$B$2:$B$21,Rootcauses!$D$2:$D$21)</f>
        <v/>
      </c>
      <c r="M38" s="274">
        <f>_xlfn.XLOOKUP(K38,Rootcauses!$B$2:$B$21,Rootcauses!$E$2:$E$21)</f>
        <v/>
      </c>
      <c r="N38" s="274">
        <f>_xlfn.XLOOKUP(K38,Rootcauses!$B$2:$B$21,Rootcauses!$F$2:$F$21)</f>
        <v/>
      </c>
      <c r="O38">
        <f>B38&amp;"- "&amp;I38&amp;" - "&amp;J38</f>
        <v/>
      </c>
    </row>
    <row r="39" ht="89" customHeight="1" s="340">
      <c r="A39" s="232" t="n">
        <v>38</v>
      </c>
      <c r="B39" s="236" t="inlineStr">
        <is>
          <t xml:space="preserve">SC4 – S05 </t>
        </is>
      </c>
      <c r="C39" s="286" t="inlineStr">
        <is>
          <t xml:space="preserve"> In delivery (Actual)</t>
        </is>
      </c>
      <c r="D39" s="286" t="inlineStr">
        <is>
          <t>Timeliness (All)</t>
        </is>
      </c>
      <c r="E39" s="233">
        <f t="array" ref="E39:F39">_xlfn.TEXTSPLIT(D39,"(")</f>
        <v/>
      </c>
      <c r="F39" s="233" t="inlineStr">
        <is>
          <t>All)</t>
        </is>
      </c>
      <c r="G39" s="413">
        <f t="array" ref="G39:H39">_xlfn.TEXTSPLIT(C39,"(")</f>
        <v/>
      </c>
      <c r="H39" s="413" t="inlineStr">
        <is>
          <t>Actual)</t>
        </is>
      </c>
      <c r="I39" s="413">
        <f>SUBSTITUTE(H39,")","")</f>
        <v/>
      </c>
      <c r="J39" s="274">
        <f>IF(K39="","No RCA","Not received because "&amp;K39)</f>
        <v/>
      </c>
      <c r="K39" s="274" t="inlineStr">
        <is>
          <t>CW1 configurations are not set up correctly to handle Bosch requirements</t>
        </is>
      </c>
      <c r="L39" s="274">
        <f>_xlfn.XLOOKUP(K39,Rootcauses!$B$2:$B$21,Rootcauses!$D$2:$D$21)</f>
        <v/>
      </c>
      <c r="M39" s="274">
        <f>_xlfn.XLOOKUP(K39,Rootcauses!$B$2:$B$21,Rootcauses!$E$2:$E$21)</f>
        <v/>
      </c>
      <c r="N39" s="274">
        <f>_xlfn.XLOOKUP(K39,Rootcauses!$B$2:$B$21,Rootcauses!$F$2:$F$21)</f>
        <v/>
      </c>
      <c r="O39">
        <f>B39&amp;"- "&amp;I39&amp;" - "&amp;J39</f>
        <v/>
      </c>
    </row>
    <row r="40" ht="89" customHeight="1" s="340">
      <c r="A40" s="232" t="n">
        <v>39</v>
      </c>
      <c r="B40" s="236" t="inlineStr">
        <is>
          <t xml:space="preserve">SC4 – S31 </t>
        </is>
      </c>
      <c r="C40" s="286" t="inlineStr">
        <is>
          <t xml:space="preserve"> Delivered (Estimated)</t>
        </is>
      </c>
      <c r="D40" s="286" t="inlineStr">
        <is>
          <t>Completeness (Critical)</t>
        </is>
      </c>
      <c r="E40" s="233">
        <f t="array" ref="E40:F40">_xlfn.TEXTSPLIT(D40,"(")</f>
        <v/>
      </c>
      <c r="F40" s="233" t="inlineStr">
        <is>
          <t>Critical)</t>
        </is>
      </c>
      <c r="G40" s="413">
        <f t="array" ref="G40:H40">_xlfn.TEXTSPLIT(C40,"(")</f>
        <v/>
      </c>
      <c r="H40" s="413" t="inlineStr">
        <is>
          <t>Estimated)</t>
        </is>
      </c>
      <c r="I40" s="413">
        <f>SUBSTITUTE(H40,")","")</f>
        <v/>
      </c>
      <c r="J40" s="274">
        <f>IF(K40="","No RCA","Not received because "&amp;K40)</f>
        <v/>
      </c>
      <c r="K40" s="274" t="inlineStr">
        <is>
          <t>Milestone is dependent on Manual input and is missed due to Lack of resources</t>
        </is>
      </c>
      <c r="L40" s="274">
        <f>_xlfn.XLOOKUP(K40,Rootcauses!$B$2:$B$21,Rootcauses!$D$2:$D$21)</f>
        <v/>
      </c>
      <c r="M40" s="274">
        <f>_xlfn.XLOOKUP(K40,Rootcauses!$B$2:$B$21,Rootcauses!$E$2:$E$21)</f>
        <v/>
      </c>
      <c r="N40" s="274">
        <f>_xlfn.XLOOKUP(K40,Rootcauses!$B$2:$B$21,Rootcauses!$F$2:$F$21)</f>
        <v/>
      </c>
      <c r="O40">
        <f>B40&amp;"- "&amp;I40&amp;" - "&amp;J40</f>
        <v/>
      </c>
    </row>
    <row r="41" ht="89" customHeight="1" s="340">
      <c r="A41" s="232" t="n">
        <v>40</v>
      </c>
      <c r="B41" s="236" t="inlineStr">
        <is>
          <t xml:space="preserve">SC4 – S31 </t>
        </is>
      </c>
      <c r="C41" s="286" t="inlineStr">
        <is>
          <t xml:space="preserve"> Delivered (Estimated)</t>
        </is>
      </c>
      <c r="D41" s="286" t="inlineStr">
        <is>
          <t>Timeliness (Critical)</t>
        </is>
      </c>
      <c r="E41" s="233">
        <f t="array" ref="E41:F41">_xlfn.TEXTSPLIT(D41,"(")</f>
        <v/>
      </c>
      <c r="F41" s="233" t="inlineStr">
        <is>
          <t>Critical)</t>
        </is>
      </c>
      <c r="G41" s="413">
        <f t="array" ref="G41:H41">_xlfn.TEXTSPLIT(C41,"(")</f>
        <v/>
      </c>
      <c r="H41" s="413" t="inlineStr">
        <is>
          <t>Estimated)</t>
        </is>
      </c>
      <c r="I41" s="413">
        <f>SUBSTITUTE(H41,")","")</f>
        <v/>
      </c>
      <c r="J41" s="274">
        <f>IF(K41="","No RCA","Not received because "&amp;K41)</f>
        <v/>
      </c>
      <c r="K41" s="274" t="inlineStr">
        <is>
          <t>Milestone is dependent on Manual input and is missed due to Lack of resources</t>
        </is>
      </c>
      <c r="L41" s="274">
        <f>_xlfn.XLOOKUP(K41,Rootcauses!$B$2:$B$21,Rootcauses!$D$2:$D$21)</f>
        <v/>
      </c>
      <c r="M41" s="274">
        <f>_xlfn.XLOOKUP(K41,Rootcauses!$B$2:$B$21,Rootcauses!$E$2:$E$21)</f>
        <v/>
      </c>
      <c r="N41" s="274">
        <f>_xlfn.XLOOKUP(K41,Rootcauses!$B$2:$B$21,Rootcauses!$F$2:$F$21)</f>
        <v/>
      </c>
      <c r="O41">
        <f>B41&amp;"- "&amp;I41&amp;" - "&amp;J41</f>
        <v/>
      </c>
    </row>
    <row r="42" ht="89" customHeight="1" s="340">
      <c r="A42" s="232" t="n">
        <v>41</v>
      </c>
      <c r="B42" s="236" t="inlineStr">
        <is>
          <t xml:space="preserve">SC4 – S31 </t>
        </is>
      </c>
      <c r="C42" s="286" t="inlineStr">
        <is>
          <t xml:space="preserve"> Delivered (Actual)</t>
        </is>
      </c>
      <c r="D42" s="286" t="inlineStr">
        <is>
          <t>Completeness (Critical)</t>
        </is>
      </c>
      <c r="E42" s="233">
        <f t="array" ref="E42:F42">_xlfn.TEXTSPLIT(D42,"(")</f>
        <v/>
      </c>
      <c r="F42" s="233" t="inlineStr">
        <is>
          <t>Critical)</t>
        </is>
      </c>
      <c r="G42" s="413">
        <f t="array" ref="G42:H42">_xlfn.TEXTSPLIT(C42,"(")</f>
        <v/>
      </c>
      <c r="H42" s="413" t="inlineStr">
        <is>
          <t>Actual)</t>
        </is>
      </c>
      <c r="I42" s="413">
        <f>SUBSTITUTE(H42,")","")</f>
        <v/>
      </c>
      <c r="J42" s="274">
        <f>IF(K42="","No RCA","Not received because "&amp;K42)</f>
        <v/>
      </c>
      <c r="K42" s="274" t="inlineStr">
        <is>
          <t>Milestone is dependent on Manual input and is missed due to Lack of resources</t>
        </is>
      </c>
      <c r="L42" s="274">
        <f>_xlfn.XLOOKUP(K42,Rootcauses!$B$2:$B$21,Rootcauses!$D$2:$D$21)</f>
        <v/>
      </c>
      <c r="M42" s="274">
        <f>_xlfn.XLOOKUP(K42,Rootcauses!$B$2:$B$21,Rootcauses!$E$2:$E$21)</f>
        <v/>
      </c>
      <c r="N42" s="274">
        <f>_xlfn.XLOOKUP(K42,Rootcauses!$B$2:$B$21,Rootcauses!$F$2:$F$21)</f>
        <v/>
      </c>
      <c r="O42">
        <f>B42&amp;"- "&amp;I42&amp;" - "&amp;J42</f>
        <v/>
      </c>
    </row>
    <row r="43" ht="89" customHeight="1" s="340">
      <c r="A43" s="232" t="n">
        <v>42</v>
      </c>
      <c r="B43" s="236" t="inlineStr">
        <is>
          <t xml:space="preserve">SC4 – S31 </t>
        </is>
      </c>
      <c r="C43" s="286" t="inlineStr">
        <is>
          <t xml:space="preserve"> Delivered (Actual)</t>
        </is>
      </c>
      <c r="D43" s="286" t="inlineStr">
        <is>
          <t>Timeliness (Critical)</t>
        </is>
      </c>
      <c r="E43" s="233">
        <f t="array" ref="E43:F43">_xlfn.TEXTSPLIT(D43,"(")</f>
        <v/>
      </c>
      <c r="F43" s="233" t="inlineStr">
        <is>
          <t>Critical)</t>
        </is>
      </c>
      <c r="G43" s="413">
        <f t="array" ref="G43:H43">_xlfn.TEXTSPLIT(C43,"(")</f>
        <v/>
      </c>
      <c r="H43" s="413" t="inlineStr">
        <is>
          <t>Actual)</t>
        </is>
      </c>
      <c r="I43" s="413">
        <f>SUBSTITUTE(H43,")","")</f>
        <v/>
      </c>
      <c r="J43" s="274">
        <f>IF(K43="","No RCA","Not received because "&amp;K43)</f>
        <v/>
      </c>
      <c r="K43" s="274" t="inlineStr">
        <is>
          <t>Milestone is dependent on Manual input and is missed due to Lack of resources</t>
        </is>
      </c>
      <c r="L43" s="274">
        <f>_xlfn.XLOOKUP(K43,Rootcauses!$B$2:$B$21,Rootcauses!$D$2:$D$21)</f>
        <v/>
      </c>
      <c r="M43" s="274">
        <f>_xlfn.XLOOKUP(K43,Rootcauses!$B$2:$B$21,Rootcauses!$E$2:$E$21)</f>
        <v/>
      </c>
      <c r="N43" s="274">
        <f>_xlfn.XLOOKUP(K43,Rootcauses!$B$2:$B$21,Rootcauses!$F$2:$F$21)</f>
        <v/>
      </c>
      <c r="O43">
        <f>B43&amp;"- "&amp;I43&amp;" - "&amp;J43</f>
        <v/>
      </c>
    </row>
    <row r="44" ht="89" customHeight="1" s="340">
      <c r="A44" s="232" t="n">
        <v>43</v>
      </c>
      <c r="B44" s="236" t="inlineStr">
        <is>
          <t xml:space="preserve">SC3 – S60 </t>
        </is>
      </c>
      <c r="C44" s="286" t="inlineStr">
        <is>
          <t xml:space="preserve"> Pre Booking confirmed (Actual)</t>
        </is>
      </c>
      <c r="D44" s="286" t="inlineStr">
        <is>
          <t>Completeness (All)</t>
        </is>
      </c>
      <c r="E44" s="233">
        <f t="array" ref="E44:F44">_xlfn.TEXTSPLIT(D44,"(")</f>
        <v/>
      </c>
      <c r="F44" s="233" t="inlineStr">
        <is>
          <t>All)</t>
        </is>
      </c>
      <c r="G44" s="413">
        <f t="array" ref="G44:H44">_xlfn.TEXTSPLIT(C44,"(")</f>
        <v/>
      </c>
      <c r="H44" s="413" t="inlineStr">
        <is>
          <t>Actual)</t>
        </is>
      </c>
      <c r="I44" s="413">
        <f>SUBSTITUTE(H44,")","")</f>
        <v/>
      </c>
      <c r="J44" s="274">
        <f>IF(K44="","No RCA","Not received because "&amp;K44)</f>
        <v/>
      </c>
      <c r="K44" s="274" t="n"/>
      <c r="L44" s="274">
        <f>_xlfn.XLOOKUP(K44,Rootcauses!$B$2:$B$21,Rootcauses!$D$2:$D$21)</f>
        <v/>
      </c>
      <c r="M44" s="274">
        <f>_xlfn.XLOOKUP(K44,Rootcauses!$B$2:$B$21,Rootcauses!$E$2:$E$21)</f>
        <v/>
      </c>
      <c r="N44" s="274">
        <f>_xlfn.XLOOKUP(K44,Rootcauses!$B$2:$B$21,Rootcauses!$F$2:$F$21)</f>
        <v/>
      </c>
      <c r="O44">
        <f>B44&amp;"- "&amp;I44&amp;" - "&amp;J44</f>
        <v/>
      </c>
    </row>
    <row r="45" ht="89" customHeight="1" s="340">
      <c r="A45" s="232" t="n">
        <v>44</v>
      </c>
      <c r="B45" s="236" t="inlineStr">
        <is>
          <t xml:space="preserve">SC3 – S60 </t>
        </is>
      </c>
      <c r="C45" s="286" t="inlineStr">
        <is>
          <t xml:space="preserve"> Pre Booking confirmed (Actual)</t>
        </is>
      </c>
      <c r="D45" s="286" t="inlineStr">
        <is>
          <t>Timeliness (All)</t>
        </is>
      </c>
      <c r="E45" s="233">
        <f t="array" ref="E45:F45">_xlfn.TEXTSPLIT(D45,"(")</f>
        <v/>
      </c>
      <c r="F45" s="233" t="inlineStr">
        <is>
          <t>All)</t>
        </is>
      </c>
      <c r="G45" s="413">
        <f t="array" ref="G45:H45">_xlfn.TEXTSPLIT(C45,"(")</f>
        <v/>
      </c>
      <c r="H45" s="413" t="inlineStr">
        <is>
          <t>Actual)</t>
        </is>
      </c>
      <c r="I45" s="413">
        <f>SUBSTITUTE(H45,")","")</f>
        <v/>
      </c>
      <c r="J45" s="274">
        <f>IF(K45="","No RCA","Not received because "&amp;K45)</f>
        <v/>
      </c>
      <c r="K45" s="274" t="n"/>
      <c r="L45" s="274">
        <f>_xlfn.XLOOKUP(K45,Rootcauses!$B$2:$B$21,Rootcauses!$D$2:$D$21)</f>
        <v/>
      </c>
      <c r="M45" s="274">
        <f>_xlfn.XLOOKUP(K45,Rootcauses!$B$2:$B$21,Rootcauses!$E$2:$E$21)</f>
        <v/>
      </c>
      <c r="N45" s="274">
        <f>_xlfn.XLOOKUP(K45,Rootcauses!$B$2:$B$21,Rootcauses!$F$2:$F$21)</f>
        <v/>
      </c>
      <c r="O45">
        <f>B45&amp;"- "&amp;I45&amp;" - "&amp;J45</f>
        <v/>
      </c>
    </row>
    <row r="46" ht="89" customHeight="1" s="340">
      <c r="A46" s="232" t="n">
        <v>45</v>
      </c>
      <c r="B46" s="236" t="inlineStr">
        <is>
          <t xml:space="preserve">SC3 – S52 </t>
        </is>
      </c>
      <c r="C46" s="286" t="inlineStr">
        <is>
          <t xml:space="preserve"> Empty Container picked up (Actual)</t>
        </is>
      </c>
      <c r="D46" s="286" t="inlineStr">
        <is>
          <t>Completeness (All)</t>
        </is>
      </c>
      <c r="E46" s="233">
        <f t="array" ref="E46:F46">_xlfn.TEXTSPLIT(D46,"(")</f>
        <v/>
      </c>
      <c r="F46" s="233" t="inlineStr">
        <is>
          <t>All)</t>
        </is>
      </c>
      <c r="G46" s="413">
        <f t="array" ref="G46:H46">_xlfn.TEXTSPLIT(C46,"(")</f>
        <v/>
      </c>
      <c r="H46" s="413" t="inlineStr">
        <is>
          <t>Actual)</t>
        </is>
      </c>
      <c r="I46" s="413">
        <f>SUBSTITUTE(H46,")","")</f>
        <v/>
      </c>
      <c r="J46" s="274">
        <f>IF(K46="","No RCA","Not received because "&amp;K46)</f>
        <v/>
      </c>
      <c r="K46" s="274" t="inlineStr">
        <is>
          <t>CW1 configurations are not set up correctly to handle Bosch requirements</t>
        </is>
      </c>
      <c r="L46" s="274">
        <f>_xlfn.XLOOKUP(K46,Rootcauses!$B$2:$B$21,Rootcauses!$D$2:$D$21)</f>
        <v/>
      </c>
      <c r="M46" s="274">
        <f>_xlfn.XLOOKUP(K46,Rootcauses!$B$2:$B$21,Rootcauses!$E$2:$E$21)</f>
        <v/>
      </c>
      <c r="N46" s="274">
        <f>_xlfn.XLOOKUP(K46,Rootcauses!$B$2:$B$21,Rootcauses!$F$2:$F$21)</f>
        <v/>
      </c>
      <c r="O46">
        <f>B46&amp;"- "&amp;I46&amp;" - "&amp;J46</f>
        <v/>
      </c>
    </row>
    <row r="47" ht="89" customHeight="1" s="340">
      <c r="A47" s="232" t="n">
        <v>46</v>
      </c>
      <c r="B47" s="236" t="inlineStr">
        <is>
          <t xml:space="preserve">SC3 – S52 </t>
        </is>
      </c>
      <c r="C47" s="286" t="inlineStr">
        <is>
          <t xml:space="preserve"> Empty Container picked up (Actual)</t>
        </is>
      </c>
      <c r="D47" s="286" t="inlineStr">
        <is>
          <t>Timeliness (All)</t>
        </is>
      </c>
      <c r="E47" s="233">
        <f t="array" ref="E47:F47">_xlfn.TEXTSPLIT(D47,"(")</f>
        <v/>
      </c>
      <c r="F47" s="233" t="inlineStr">
        <is>
          <t>All)</t>
        </is>
      </c>
      <c r="G47" s="413">
        <f t="array" ref="G47:H47">_xlfn.TEXTSPLIT(C47,"(")</f>
        <v/>
      </c>
      <c r="H47" s="413" t="inlineStr">
        <is>
          <t>Actual)</t>
        </is>
      </c>
      <c r="I47" s="413">
        <f>SUBSTITUTE(H47,")","")</f>
        <v/>
      </c>
      <c r="J47" s="274">
        <f>IF(K47="","No RCA","Not received because "&amp;K47)</f>
        <v/>
      </c>
      <c r="K47" s="274" t="inlineStr">
        <is>
          <t>CW1 configurations are not set up correctly to handle Bosch requirements</t>
        </is>
      </c>
      <c r="L47" s="274">
        <f>_xlfn.XLOOKUP(K47,Rootcauses!$B$2:$B$21,Rootcauses!$D$2:$D$21)</f>
        <v/>
      </c>
      <c r="M47" s="274">
        <f>_xlfn.XLOOKUP(K47,Rootcauses!$B$2:$B$21,Rootcauses!$E$2:$E$21)</f>
        <v/>
      </c>
      <c r="N47" s="274">
        <f>_xlfn.XLOOKUP(K47,Rootcauses!$B$2:$B$21,Rootcauses!$F$2:$F$21)</f>
        <v/>
      </c>
      <c r="O47">
        <f>B47&amp;"- "&amp;I47&amp;" - "&amp;J47</f>
        <v/>
      </c>
    </row>
    <row r="48" ht="89" customHeight="1" s="340">
      <c r="A48" s="232" t="n">
        <v>47</v>
      </c>
      <c r="B48" s="236" t="inlineStr">
        <is>
          <t xml:space="preserve">SC3 – S02 </t>
        </is>
      </c>
      <c r="C48" s="286" t="inlineStr">
        <is>
          <t xml:space="preserve"> Collected (Actual)</t>
        </is>
      </c>
      <c r="D48" s="286" t="inlineStr">
        <is>
          <t>Completeness (Critical)</t>
        </is>
      </c>
      <c r="E48" s="233">
        <f t="array" ref="E48:F48">_xlfn.TEXTSPLIT(D48,"(")</f>
        <v/>
      </c>
      <c r="F48" s="233" t="inlineStr">
        <is>
          <t>Critical)</t>
        </is>
      </c>
      <c r="G48" s="413">
        <f t="array" ref="G48:H48">_xlfn.TEXTSPLIT(C48,"(")</f>
        <v/>
      </c>
      <c r="H48" s="413" t="inlineStr">
        <is>
          <t>Actual)</t>
        </is>
      </c>
      <c r="I48" s="413">
        <f>SUBSTITUTE(H48,")","")</f>
        <v/>
      </c>
      <c r="J48" s="274">
        <f>IF(K48="","No RCA","Not received because "&amp;K48)</f>
        <v/>
      </c>
      <c r="K48" s="274" t="inlineStr">
        <is>
          <t>Manual milestones not updated on time by Operators due to lack of resources</t>
        </is>
      </c>
      <c r="L48" s="274">
        <f>_xlfn.XLOOKUP(K48,Rootcauses!$B$2:$B$21,Rootcauses!$D$2:$D$21)</f>
        <v/>
      </c>
      <c r="M48" s="274">
        <f>_xlfn.XLOOKUP(K48,Rootcauses!$B$2:$B$21,Rootcauses!$E$2:$E$21)</f>
        <v/>
      </c>
      <c r="N48" s="274">
        <f>_xlfn.XLOOKUP(K48,Rootcauses!$B$2:$B$21,Rootcauses!$F$2:$F$21)</f>
        <v/>
      </c>
      <c r="O48">
        <f>B48&amp;"- "&amp;I48&amp;" - "&amp;J48</f>
        <v/>
      </c>
    </row>
    <row r="49" ht="89" customHeight="1" s="340">
      <c r="A49" s="232" t="n">
        <v>48</v>
      </c>
      <c r="B49" s="236" t="inlineStr">
        <is>
          <t xml:space="preserve">SC3 – S02 </t>
        </is>
      </c>
      <c r="C49" s="286" t="inlineStr">
        <is>
          <t xml:space="preserve"> Collected (Actual)</t>
        </is>
      </c>
      <c r="D49" s="286" t="inlineStr">
        <is>
          <t>Timeliness (Critical)</t>
        </is>
      </c>
      <c r="E49" s="233">
        <f t="array" ref="E49:F49">_xlfn.TEXTSPLIT(D49,"(")</f>
        <v/>
      </c>
      <c r="F49" s="233" t="inlineStr">
        <is>
          <t>Critical)</t>
        </is>
      </c>
      <c r="G49" s="413">
        <f t="array" ref="G49:H49">_xlfn.TEXTSPLIT(C49,"(")</f>
        <v/>
      </c>
      <c r="H49" s="413" t="inlineStr">
        <is>
          <t>Actual)</t>
        </is>
      </c>
      <c r="I49" s="413">
        <f>SUBSTITUTE(H49,")","")</f>
        <v/>
      </c>
      <c r="J49" s="274">
        <f>IF(K49="","No RCA","Not received because "&amp;K49)</f>
        <v/>
      </c>
      <c r="K49" s="274" t="inlineStr">
        <is>
          <t>Manual milestones not updated on time by Operators due to lack of resources</t>
        </is>
      </c>
      <c r="L49" s="274">
        <f>_xlfn.XLOOKUP(K49,Rootcauses!$B$2:$B$21,Rootcauses!$D$2:$D$21)</f>
        <v/>
      </c>
      <c r="M49" s="274">
        <f>_xlfn.XLOOKUP(K49,Rootcauses!$B$2:$B$21,Rootcauses!$E$2:$E$21)</f>
        <v/>
      </c>
      <c r="N49" s="274">
        <f>_xlfn.XLOOKUP(K49,Rootcauses!$B$2:$B$21,Rootcauses!$F$2:$F$21)</f>
        <v/>
      </c>
      <c r="O49">
        <f>B49&amp;"- "&amp;I49&amp;" - "&amp;J49</f>
        <v/>
      </c>
    </row>
    <row r="50" ht="89" customHeight="1" s="340">
      <c r="A50" s="232" t="n">
        <v>49</v>
      </c>
      <c r="B50" s="236" t="inlineStr">
        <is>
          <t xml:space="preserve">SC3 – S02 </t>
        </is>
      </c>
      <c r="C50" s="286" t="inlineStr">
        <is>
          <t xml:space="preserve"> Collected (Estimated)</t>
        </is>
      </c>
      <c r="D50" s="286" t="inlineStr">
        <is>
          <t>Completeness (Critical)</t>
        </is>
      </c>
      <c r="E50" s="233">
        <f t="array" ref="E50:F50">_xlfn.TEXTSPLIT(D50,"(")</f>
        <v/>
      </c>
      <c r="F50" s="233" t="inlineStr">
        <is>
          <t>Critical)</t>
        </is>
      </c>
      <c r="G50" s="413">
        <f t="array" ref="G50:H50">_xlfn.TEXTSPLIT(C50,"(")</f>
        <v/>
      </c>
      <c r="H50" s="413" t="inlineStr">
        <is>
          <t>Estimated)</t>
        </is>
      </c>
      <c r="I50" s="413">
        <f>SUBSTITUTE(H50,")","")</f>
        <v/>
      </c>
      <c r="J50" s="274">
        <f>IF(K50="","No RCA","Not received because "&amp;K50)</f>
        <v/>
      </c>
      <c r="K50" s="274" t="inlineStr">
        <is>
          <t>Manual milestones not updated on time by Operators due to lack of resources</t>
        </is>
      </c>
      <c r="L50" s="274">
        <f>_xlfn.XLOOKUP(K50,Rootcauses!$B$2:$B$21,Rootcauses!$D$2:$D$21)</f>
        <v/>
      </c>
      <c r="M50" s="274">
        <f>_xlfn.XLOOKUP(K50,Rootcauses!$B$2:$B$21,Rootcauses!$E$2:$E$21)</f>
        <v/>
      </c>
      <c r="N50" s="274">
        <f>_xlfn.XLOOKUP(K50,Rootcauses!$B$2:$B$21,Rootcauses!$F$2:$F$21)</f>
        <v/>
      </c>
      <c r="O50">
        <f>B50&amp;"- "&amp;I50&amp;" - "&amp;J50</f>
        <v/>
      </c>
    </row>
    <row r="51" ht="89" customHeight="1" s="340">
      <c r="A51" s="232" t="n">
        <v>50</v>
      </c>
      <c r="B51" s="236" t="inlineStr">
        <is>
          <t xml:space="preserve">SC3 – S02 </t>
        </is>
      </c>
      <c r="C51" s="286" t="inlineStr">
        <is>
          <t xml:space="preserve"> Collected (Estimated)</t>
        </is>
      </c>
      <c r="D51" s="286" t="inlineStr">
        <is>
          <t>Timeliness (Critical)</t>
        </is>
      </c>
      <c r="E51" s="233">
        <f t="array" ref="E51:F51">_xlfn.TEXTSPLIT(D51,"(")</f>
        <v/>
      </c>
      <c r="F51" s="233" t="inlineStr">
        <is>
          <t>Critical)</t>
        </is>
      </c>
      <c r="G51" s="413">
        <f t="array" ref="G51:H51">_xlfn.TEXTSPLIT(C51,"(")</f>
        <v/>
      </c>
      <c r="H51" s="413" t="inlineStr">
        <is>
          <t>Estimated)</t>
        </is>
      </c>
      <c r="I51" s="413">
        <f>SUBSTITUTE(H51,")","")</f>
        <v/>
      </c>
      <c r="J51" s="274">
        <f>IF(K51="","No RCA","Not received because "&amp;K51)</f>
        <v/>
      </c>
      <c r="K51" s="274" t="inlineStr">
        <is>
          <t>Manual milestones not updated on time by Operators due to lack of resources</t>
        </is>
      </c>
      <c r="L51" s="274">
        <f>_xlfn.XLOOKUP(K51,Rootcauses!$B$2:$B$21,Rootcauses!$D$2:$D$21)</f>
        <v/>
      </c>
      <c r="M51" s="274">
        <f>_xlfn.XLOOKUP(K51,Rootcauses!$B$2:$B$21,Rootcauses!$E$2:$E$21)</f>
        <v/>
      </c>
      <c r="N51" s="274">
        <f>_xlfn.XLOOKUP(K51,Rootcauses!$B$2:$B$21,Rootcauses!$F$2:$F$21)</f>
        <v/>
      </c>
      <c r="O51">
        <f>B51&amp;"- "&amp;I51&amp;" - "&amp;J51</f>
        <v/>
      </c>
    </row>
    <row r="52" ht="89" customHeight="1" s="340">
      <c r="A52" s="232" t="n">
        <v>51</v>
      </c>
      <c r="B52" s="236" t="inlineStr">
        <is>
          <t xml:space="preserve">SC3 – S10 </t>
        </is>
      </c>
      <c r="C52" s="286" t="inlineStr">
        <is>
          <t xml:space="preserve"> On hand at origin SVC (Actual)</t>
        </is>
      </c>
      <c r="D52" s="286" t="inlineStr">
        <is>
          <t>Completeness (All)</t>
        </is>
      </c>
      <c r="E52" s="233">
        <f t="array" ref="E52:F52">_xlfn.TEXTSPLIT(D52,"(")</f>
        <v/>
      </c>
      <c r="F52" s="233" t="inlineStr">
        <is>
          <t>All)</t>
        </is>
      </c>
      <c r="G52" s="413">
        <f t="array" ref="G52:H52">_xlfn.TEXTSPLIT(C52,"(")</f>
        <v/>
      </c>
      <c r="H52" s="413" t="inlineStr">
        <is>
          <t>Actual)</t>
        </is>
      </c>
      <c r="I52" s="413">
        <f>SUBSTITUTE(H52,")","")</f>
        <v/>
      </c>
      <c r="J52" s="274">
        <f>IF(K52="","No RCA","Not received because "&amp;K52)</f>
        <v/>
      </c>
      <c r="K52" s="274" t="inlineStr">
        <is>
          <t>SOP to fill CW1 fields are not followed by Operators due to lack of resources</t>
        </is>
      </c>
      <c r="L52" s="274">
        <f>_xlfn.XLOOKUP(K52,Rootcauses!$B$2:$B$21,Rootcauses!$D$2:$D$21)</f>
        <v/>
      </c>
      <c r="M52" s="274">
        <f>_xlfn.XLOOKUP(K52,Rootcauses!$B$2:$B$21,Rootcauses!$E$2:$E$21)</f>
        <v/>
      </c>
      <c r="N52" s="274">
        <f>_xlfn.XLOOKUP(K52,Rootcauses!$B$2:$B$21,Rootcauses!$F$2:$F$21)</f>
        <v/>
      </c>
      <c r="O52">
        <f>B52&amp;"- "&amp;I52&amp;" - "&amp;J52</f>
        <v/>
      </c>
    </row>
    <row r="53" ht="89" customHeight="1" s="340">
      <c r="A53" s="232" t="n">
        <v>52</v>
      </c>
      <c r="B53" s="236" t="inlineStr">
        <is>
          <t xml:space="preserve">SC3 – S10 </t>
        </is>
      </c>
      <c r="C53" s="286" t="inlineStr">
        <is>
          <t xml:space="preserve"> On hand at origin SVC (Actual)</t>
        </is>
      </c>
      <c r="D53" s="286" t="inlineStr">
        <is>
          <t>Timeliness (All)</t>
        </is>
      </c>
      <c r="E53" s="233">
        <f t="array" ref="E53:F53">_xlfn.TEXTSPLIT(D53,"(")</f>
        <v/>
      </c>
      <c r="F53" s="233" t="inlineStr">
        <is>
          <t>All)</t>
        </is>
      </c>
      <c r="G53" s="413">
        <f t="array" ref="G53:H53">_xlfn.TEXTSPLIT(C53,"(")</f>
        <v/>
      </c>
      <c r="H53" s="413" t="inlineStr">
        <is>
          <t>Actual)</t>
        </is>
      </c>
      <c r="I53" s="413">
        <f>SUBSTITUTE(H53,")","")</f>
        <v/>
      </c>
      <c r="J53" s="274">
        <f>IF(K53="","No RCA","Not received because "&amp;K53)</f>
        <v/>
      </c>
      <c r="K53" s="274" t="inlineStr">
        <is>
          <t>SOP to fill CW1 fields are not followed by Operators due to lack of resources</t>
        </is>
      </c>
      <c r="L53" s="274">
        <f>_xlfn.XLOOKUP(K53,Rootcauses!$B$2:$B$21,Rootcauses!$D$2:$D$21)</f>
        <v/>
      </c>
      <c r="M53" s="274">
        <f>_xlfn.XLOOKUP(K53,Rootcauses!$B$2:$B$21,Rootcauses!$E$2:$E$21)</f>
        <v/>
      </c>
      <c r="N53" s="274">
        <f>_xlfn.XLOOKUP(K53,Rootcauses!$B$2:$B$21,Rootcauses!$F$2:$F$21)</f>
        <v/>
      </c>
      <c r="O53">
        <f>B53&amp;"- "&amp;I53&amp;" - "&amp;J53</f>
        <v/>
      </c>
    </row>
    <row r="54" ht="89" customHeight="1" s="340">
      <c r="A54" s="232" t="n">
        <v>53</v>
      </c>
      <c r="B54" s="236" t="inlineStr">
        <is>
          <t xml:space="preserve">SC3 – S50 </t>
        </is>
      </c>
      <c r="C54" s="286" t="inlineStr">
        <is>
          <t xml:space="preserve"> Received origin CFS (Actual)</t>
        </is>
      </c>
      <c r="D54" s="286" t="inlineStr">
        <is>
          <t>Completeness (All)</t>
        </is>
      </c>
      <c r="E54" s="233">
        <f t="array" ref="E54:F54">_xlfn.TEXTSPLIT(D54,"(")</f>
        <v/>
      </c>
      <c r="F54" s="233" t="inlineStr">
        <is>
          <t>All)</t>
        </is>
      </c>
      <c r="G54" s="413">
        <f t="array" ref="G54:H54">_xlfn.TEXTSPLIT(C54,"(")</f>
        <v/>
      </c>
      <c r="H54" s="413" t="inlineStr">
        <is>
          <t>Actual)</t>
        </is>
      </c>
      <c r="I54" s="413">
        <f>SUBSTITUTE(H54,")","")</f>
        <v/>
      </c>
      <c r="J54" s="274">
        <f>IF(K54="","No RCA","Not received because "&amp;K54)</f>
        <v/>
      </c>
      <c r="K54" s="274" t="inlineStr">
        <is>
          <t>Manual milestones not updated on time by Operators due to lack of resources</t>
        </is>
      </c>
      <c r="L54" s="274">
        <f>_xlfn.XLOOKUP(K54,Rootcauses!$B$2:$B$21,Rootcauses!$D$2:$D$21)</f>
        <v/>
      </c>
      <c r="M54" s="274">
        <f>_xlfn.XLOOKUP(K54,Rootcauses!$B$2:$B$21,Rootcauses!$E$2:$E$21)</f>
        <v/>
      </c>
      <c r="N54" s="274">
        <f>_xlfn.XLOOKUP(K54,Rootcauses!$B$2:$B$21,Rootcauses!$F$2:$F$21)</f>
        <v/>
      </c>
      <c r="O54">
        <f>B54&amp;"- "&amp;I54&amp;" - "&amp;J54</f>
        <v/>
      </c>
    </row>
    <row r="55" ht="89" customHeight="1" s="340">
      <c r="A55" s="232" t="n">
        <v>54</v>
      </c>
      <c r="B55" s="236" t="inlineStr">
        <is>
          <t xml:space="preserve">SC3 – S50 </t>
        </is>
      </c>
      <c r="C55" s="286" t="inlineStr">
        <is>
          <t xml:space="preserve"> Received origin CFS (Actual)</t>
        </is>
      </c>
      <c r="D55" s="286" t="inlineStr">
        <is>
          <t>Timeliness (All)</t>
        </is>
      </c>
      <c r="E55" s="233">
        <f t="array" ref="E55:F55">_xlfn.TEXTSPLIT(D55,"(")</f>
        <v/>
      </c>
      <c r="F55" s="233" t="inlineStr">
        <is>
          <t>All)</t>
        </is>
      </c>
      <c r="G55" s="413">
        <f t="array" ref="G55:H55">_xlfn.TEXTSPLIT(C55,"(")</f>
        <v/>
      </c>
      <c r="H55" s="413" t="inlineStr">
        <is>
          <t>Actual)</t>
        </is>
      </c>
      <c r="I55" s="413">
        <f>SUBSTITUTE(H55,")","")</f>
        <v/>
      </c>
      <c r="J55" s="274">
        <f>IF(K55="","No RCA","Not received because "&amp;K55)</f>
        <v/>
      </c>
      <c r="K55" s="274" t="inlineStr">
        <is>
          <t>Manual milestones not updated on time by Operators due to lack of resources</t>
        </is>
      </c>
      <c r="L55" s="274">
        <f>_xlfn.XLOOKUP(K55,Rootcauses!$B$2:$B$21,Rootcauses!$D$2:$D$21)</f>
        <v/>
      </c>
      <c r="M55" s="274">
        <f>_xlfn.XLOOKUP(K55,Rootcauses!$B$2:$B$21,Rootcauses!$E$2:$E$21)</f>
        <v/>
      </c>
      <c r="N55" s="274">
        <f>_xlfn.XLOOKUP(K55,Rootcauses!$B$2:$B$21,Rootcauses!$F$2:$F$21)</f>
        <v/>
      </c>
      <c r="O55">
        <f>B55&amp;"- "&amp;I55&amp;" - "&amp;J55</f>
        <v/>
      </c>
    </row>
    <row r="56" ht="89" customHeight="1" s="340">
      <c r="A56" s="232" t="n">
        <v>55</v>
      </c>
      <c r="B56" s="236" t="inlineStr">
        <is>
          <t xml:space="preserve">SC3 – S53 </t>
        </is>
      </c>
      <c r="C56" s="286" t="inlineStr">
        <is>
          <t xml:space="preserve"> Full Container loaded on vessel (Actual)</t>
        </is>
      </c>
      <c r="D56" s="286" t="inlineStr">
        <is>
          <t>Completeness (All)</t>
        </is>
      </c>
      <c r="E56" s="233">
        <f t="array" ref="E56:F56">_xlfn.TEXTSPLIT(D56,"(")</f>
        <v/>
      </c>
      <c r="F56" s="233" t="inlineStr">
        <is>
          <t>All)</t>
        </is>
      </c>
      <c r="G56" s="413">
        <f t="array" ref="G56:H56">_xlfn.TEXTSPLIT(C56,"(")</f>
        <v/>
      </c>
      <c r="H56" s="413" t="inlineStr">
        <is>
          <t>Actual)</t>
        </is>
      </c>
      <c r="I56" s="413">
        <f>SUBSTITUTE(H56,")","")</f>
        <v/>
      </c>
      <c r="J56" s="274">
        <f>IF(K56="","No RCA","Not received because "&amp;K56)</f>
        <v/>
      </c>
      <c r="K56" s="274" t="inlineStr">
        <is>
          <t>CW1 configurations are not set up correctly to handle Bosch requirements</t>
        </is>
      </c>
      <c r="L56" s="274">
        <f>_xlfn.XLOOKUP(K56,Rootcauses!$B$2:$B$21,Rootcauses!$D$2:$D$21)</f>
        <v/>
      </c>
      <c r="M56" s="274">
        <f>_xlfn.XLOOKUP(K56,Rootcauses!$B$2:$B$21,Rootcauses!$E$2:$E$21)</f>
        <v/>
      </c>
      <c r="N56" s="274">
        <f>_xlfn.XLOOKUP(K56,Rootcauses!$B$2:$B$21,Rootcauses!$F$2:$F$21)</f>
        <v/>
      </c>
      <c r="O56">
        <f>B56&amp;"- "&amp;I56&amp;" - "&amp;J56</f>
        <v/>
      </c>
    </row>
    <row r="57" ht="89" customHeight="1" s="340">
      <c r="A57" s="232" t="n">
        <v>56</v>
      </c>
      <c r="B57" s="236" t="inlineStr">
        <is>
          <t xml:space="preserve">SC3 – S53 </t>
        </is>
      </c>
      <c r="C57" s="286" t="inlineStr">
        <is>
          <t xml:space="preserve"> Full Container loaded on vessel (Actual)</t>
        </is>
      </c>
      <c r="D57" s="286" t="inlineStr">
        <is>
          <t>Timeliness (All)</t>
        </is>
      </c>
      <c r="E57" s="233">
        <f t="array" ref="E57:F57">_xlfn.TEXTSPLIT(D57,"(")</f>
        <v/>
      </c>
      <c r="F57" s="233" t="inlineStr">
        <is>
          <t>All)</t>
        </is>
      </c>
      <c r="G57" s="413">
        <f t="array" ref="G57:H57">_xlfn.TEXTSPLIT(C57,"(")</f>
        <v/>
      </c>
      <c r="H57" s="413" t="inlineStr">
        <is>
          <t>Actual)</t>
        </is>
      </c>
      <c r="I57" s="413">
        <f>SUBSTITUTE(H57,")","")</f>
        <v/>
      </c>
      <c r="J57" s="274">
        <f>IF(K57="","No RCA","Not received because "&amp;K57)</f>
        <v/>
      </c>
      <c r="K57" s="274" t="inlineStr">
        <is>
          <t>CW1 configurations are not set up correctly to handle Bosch requirements</t>
        </is>
      </c>
      <c r="L57" s="274">
        <f>_xlfn.XLOOKUP(K57,Rootcauses!$B$2:$B$21,Rootcauses!$D$2:$D$21)</f>
        <v/>
      </c>
      <c r="M57" s="274">
        <f>_xlfn.XLOOKUP(K57,Rootcauses!$B$2:$B$21,Rootcauses!$E$2:$E$21)</f>
        <v/>
      </c>
      <c r="N57" s="274">
        <f>_xlfn.XLOOKUP(K57,Rootcauses!$B$2:$B$21,Rootcauses!$F$2:$F$21)</f>
        <v/>
      </c>
      <c r="O57">
        <f>B57&amp;"- "&amp;I57&amp;" - "&amp;J57</f>
        <v/>
      </c>
    </row>
    <row r="58" ht="89" customHeight="1" s="340">
      <c r="A58" s="232" t="n">
        <v>57</v>
      </c>
      <c r="B58" s="236" t="inlineStr">
        <is>
          <t xml:space="preserve">SC3 – S04 </t>
        </is>
      </c>
      <c r="C58" s="286" t="inlineStr">
        <is>
          <t xml:space="preserve"> Vessel/flight departed (Actual)</t>
        </is>
      </c>
      <c r="D58" s="286" t="inlineStr">
        <is>
          <t>Completeness (Critical)</t>
        </is>
      </c>
      <c r="E58" s="233">
        <f t="array" ref="E58:F58">_xlfn.TEXTSPLIT(D58,"(")</f>
        <v/>
      </c>
      <c r="F58" s="233" t="inlineStr">
        <is>
          <t>Critical)</t>
        </is>
      </c>
      <c r="G58" s="413">
        <f t="array" ref="G58:H58">_xlfn.TEXTSPLIT(C58,"(")</f>
        <v/>
      </c>
      <c r="H58" s="413" t="inlineStr">
        <is>
          <t>Actual)</t>
        </is>
      </c>
      <c r="I58" s="413">
        <f>SUBSTITUTE(H58,")","")</f>
        <v/>
      </c>
      <c r="J58" s="274">
        <f>IF(K58="","No RCA","Not received because "&amp;K58)</f>
        <v/>
      </c>
      <c r="K58" s="274" t="inlineStr">
        <is>
          <t>The Consol is not attached to shipment with "is Linked" Flag</t>
        </is>
      </c>
      <c r="L58" s="274">
        <f>_xlfn.XLOOKUP(K58,Rootcauses!$B$2:$B$21,Rootcauses!$D$2:$D$21)</f>
        <v/>
      </c>
      <c r="M58" s="274">
        <f>_xlfn.XLOOKUP(K58,Rootcauses!$B$2:$B$21,Rootcauses!$E$2:$E$21)</f>
        <v/>
      </c>
      <c r="N58" s="274">
        <f>_xlfn.XLOOKUP(K58,Rootcauses!$B$2:$B$21,Rootcauses!$F$2:$F$21)</f>
        <v/>
      </c>
      <c r="O58">
        <f>B58&amp;"- "&amp;I58&amp;" - "&amp;J58</f>
        <v/>
      </c>
    </row>
    <row r="59" ht="89" customHeight="1" s="340">
      <c r="A59" s="232" t="n">
        <v>58</v>
      </c>
      <c r="B59" s="236" t="inlineStr">
        <is>
          <t xml:space="preserve">SC3 – S04 </t>
        </is>
      </c>
      <c r="C59" s="286" t="inlineStr">
        <is>
          <t xml:space="preserve"> Vessel/flight departed (Actual)</t>
        </is>
      </c>
      <c r="D59" s="286" t="inlineStr">
        <is>
          <t>Timeliness (Critical)</t>
        </is>
      </c>
      <c r="E59" s="233">
        <f t="array" ref="E59:F59">_xlfn.TEXTSPLIT(D59,"(")</f>
        <v/>
      </c>
      <c r="F59" s="233" t="inlineStr">
        <is>
          <t>Critical)</t>
        </is>
      </c>
      <c r="G59" s="413">
        <f t="array" ref="G59:H59">_xlfn.TEXTSPLIT(C59,"(")</f>
        <v/>
      </c>
      <c r="H59" s="413" t="inlineStr">
        <is>
          <t>Actual)</t>
        </is>
      </c>
      <c r="I59" s="413">
        <f>SUBSTITUTE(H59,")","")</f>
        <v/>
      </c>
      <c r="J59" s="274">
        <f>IF(K59="","No RCA","Not received because "&amp;K59)</f>
        <v/>
      </c>
      <c r="K59" s="274" t="inlineStr">
        <is>
          <t>The Consol is not attached to shipment with "is Linked" Flag</t>
        </is>
      </c>
      <c r="L59" s="274">
        <f>_xlfn.XLOOKUP(K59,Rootcauses!$B$2:$B$21,Rootcauses!$D$2:$D$21)</f>
        <v/>
      </c>
      <c r="M59" s="274">
        <f>_xlfn.XLOOKUP(K59,Rootcauses!$B$2:$B$21,Rootcauses!$E$2:$E$21)</f>
        <v/>
      </c>
      <c r="N59" s="274">
        <f>_xlfn.XLOOKUP(K59,Rootcauses!$B$2:$B$21,Rootcauses!$F$2:$F$21)</f>
        <v/>
      </c>
      <c r="O59">
        <f>B59&amp;"- "&amp;I59&amp;" - "&amp;J59</f>
        <v/>
      </c>
    </row>
    <row r="60" ht="89" customHeight="1" s="340">
      <c r="A60" s="232" t="n">
        <v>59</v>
      </c>
      <c r="B60" s="236" t="inlineStr">
        <is>
          <t xml:space="preserve">SC3 – S04 </t>
        </is>
      </c>
      <c r="C60" s="286" t="inlineStr">
        <is>
          <t xml:space="preserve"> Vessel/flight departed (Estimated)</t>
        </is>
      </c>
      <c r="D60" s="286" t="inlineStr">
        <is>
          <t>Completeness (Critical)</t>
        </is>
      </c>
      <c r="E60" s="233">
        <f t="array" ref="E60:F60">_xlfn.TEXTSPLIT(D60,"(")</f>
        <v/>
      </c>
      <c r="F60" s="233" t="inlineStr">
        <is>
          <t>Critical)</t>
        </is>
      </c>
      <c r="G60" s="413">
        <f t="array" ref="G60:H60">_xlfn.TEXTSPLIT(C60,"(")</f>
        <v/>
      </c>
      <c r="H60" s="413" t="inlineStr">
        <is>
          <t>Estimated)</t>
        </is>
      </c>
      <c r="I60" s="413">
        <f>SUBSTITUTE(H60,")","")</f>
        <v/>
      </c>
      <c r="J60" s="274">
        <f>IF(K60="","No RCA","Not received because "&amp;K60)</f>
        <v/>
      </c>
      <c r="K60" s="274" t="inlineStr">
        <is>
          <t>The Consol is not attached to shipment with "is Linked" Flag</t>
        </is>
      </c>
      <c r="L60" s="274">
        <f>_xlfn.XLOOKUP(K60,Rootcauses!$B$2:$B$21,Rootcauses!$D$2:$D$21)</f>
        <v/>
      </c>
      <c r="M60" s="274">
        <f>_xlfn.XLOOKUP(K60,Rootcauses!$B$2:$B$21,Rootcauses!$E$2:$E$21)</f>
        <v/>
      </c>
      <c r="N60" s="274">
        <f>_xlfn.XLOOKUP(K60,Rootcauses!$B$2:$B$21,Rootcauses!$F$2:$F$21)</f>
        <v/>
      </c>
      <c r="O60">
        <f>B60&amp;"- "&amp;I60&amp;" - "&amp;J60</f>
        <v/>
      </c>
    </row>
    <row r="61" ht="89" customHeight="1" s="340">
      <c r="A61" s="232" t="n">
        <v>60</v>
      </c>
      <c r="B61" s="236" t="inlineStr">
        <is>
          <t xml:space="preserve">SC3 – S04 </t>
        </is>
      </c>
      <c r="C61" s="286" t="inlineStr">
        <is>
          <t xml:space="preserve"> Vessel/flight departed (Estimated)</t>
        </is>
      </c>
      <c r="D61" s="286" t="inlineStr">
        <is>
          <t>Timeliness (Critical)</t>
        </is>
      </c>
      <c r="E61" s="233">
        <f t="array" ref="E61:F61">_xlfn.TEXTSPLIT(D61,"(")</f>
        <v/>
      </c>
      <c r="F61" s="233" t="inlineStr">
        <is>
          <t>Critical)</t>
        </is>
      </c>
      <c r="G61" s="413">
        <f t="array" ref="G61:H61">_xlfn.TEXTSPLIT(C61,"(")</f>
        <v/>
      </c>
      <c r="H61" s="413" t="inlineStr">
        <is>
          <t>Estimated)</t>
        </is>
      </c>
      <c r="I61" s="413">
        <f>SUBSTITUTE(H61,")","")</f>
        <v/>
      </c>
      <c r="J61" s="274">
        <f>IF(K61="","No RCA","Not received because "&amp;K61)</f>
        <v/>
      </c>
      <c r="K61" s="274" t="inlineStr">
        <is>
          <t>The Consol is not attached to shipment with "is Linked" Flag</t>
        </is>
      </c>
      <c r="L61" s="274">
        <f>_xlfn.XLOOKUP(K61,Rootcauses!$B$2:$B$21,Rootcauses!$D$2:$D$21)</f>
        <v/>
      </c>
      <c r="M61" s="274">
        <f>_xlfn.XLOOKUP(K61,Rootcauses!$B$2:$B$21,Rootcauses!$E$2:$E$21)</f>
        <v/>
      </c>
      <c r="N61" s="274">
        <f>_xlfn.XLOOKUP(K61,Rootcauses!$B$2:$B$21,Rootcauses!$F$2:$F$21)</f>
        <v/>
      </c>
      <c r="O61">
        <f>B61&amp;"- "&amp;I61&amp;" - "&amp;J61</f>
        <v/>
      </c>
    </row>
    <row r="62" ht="89" customHeight="1" s="340">
      <c r="A62" s="232" t="n">
        <v>61</v>
      </c>
      <c r="B62" s="236" t="inlineStr">
        <is>
          <t xml:space="preserve">SC3 – S07 </t>
        </is>
      </c>
      <c r="C62" s="286" t="inlineStr">
        <is>
          <t xml:space="preserve"> Vessel/flight arrived (Actual)</t>
        </is>
      </c>
      <c r="D62" s="286" t="inlineStr">
        <is>
          <t>Completeness (Critical)</t>
        </is>
      </c>
      <c r="E62" s="233">
        <f t="array" ref="E62:F62">_xlfn.TEXTSPLIT(D62,"(")</f>
        <v/>
      </c>
      <c r="F62" s="233" t="inlineStr">
        <is>
          <t>Critical)</t>
        </is>
      </c>
      <c r="G62" s="413">
        <f t="array" ref="G62:H62">_xlfn.TEXTSPLIT(C62,"(")</f>
        <v/>
      </c>
      <c r="H62" s="413" t="inlineStr">
        <is>
          <t>Actual)</t>
        </is>
      </c>
      <c r="I62" s="413">
        <f>SUBSTITUTE(H62,")","")</f>
        <v/>
      </c>
      <c r="J62" s="274">
        <f>IF(K62="","No RCA","Not received because "&amp;K62)</f>
        <v/>
      </c>
      <c r="K62" s="274" t="inlineStr">
        <is>
          <t>The Consol is not attached to shipment with "is Linked" Flag</t>
        </is>
      </c>
      <c r="L62" s="274">
        <f>_xlfn.XLOOKUP(K62,Rootcauses!$B$2:$B$21,Rootcauses!$D$2:$D$21)</f>
        <v/>
      </c>
      <c r="M62" s="274">
        <f>_xlfn.XLOOKUP(K62,Rootcauses!$B$2:$B$21,Rootcauses!$E$2:$E$21)</f>
        <v/>
      </c>
      <c r="N62" s="274">
        <f>_xlfn.XLOOKUP(K62,Rootcauses!$B$2:$B$21,Rootcauses!$F$2:$F$21)</f>
        <v/>
      </c>
      <c r="O62">
        <f>B62&amp;"- "&amp;I62&amp;" - "&amp;J62</f>
        <v/>
      </c>
    </row>
    <row r="63" ht="89" customHeight="1" s="340">
      <c r="A63" s="232" t="n">
        <v>62</v>
      </c>
      <c r="B63" s="236" t="inlineStr">
        <is>
          <t xml:space="preserve">SC3 – S07 </t>
        </is>
      </c>
      <c r="C63" s="286" t="inlineStr">
        <is>
          <t xml:space="preserve"> Vessel/flight arrived (Actual)</t>
        </is>
      </c>
      <c r="D63" s="286" t="inlineStr">
        <is>
          <t>Timeliness (Critical)</t>
        </is>
      </c>
      <c r="E63" s="233">
        <f t="array" ref="E63:F63">_xlfn.TEXTSPLIT(D63,"(")</f>
        <v/>
      </c>
      <c r="F63" s="233" t="inlineStr">
        <is>
          <t>Critical)</t>
        </is>
      </c>
      <c r="G63" s="413">
        <f t="array" ref="G63:H63">_xlfn.TEXTSPLIT(C63,"(")</f>
        <v/>
      </c>
      <c r="H63" s="413" t="inlineStr">
        <is>
          <t>Actual)</t>
        </is>
      </c>
      <c r="I63" s="413">
        <f>SUBSTITUTE(H63,")","")</f>
        <v/>
      </c>
      <c r="J63" s="274">
        <f>IF(K63="","No RCA","Not received because "&amp;K63)</f>
        <v/>
      </c>
      <c r="K63" s="274" t="inlineStr">
        <is>
          <t>The Consol is not attached to shipment with "is Linked" Flag</t>
        </is>
      </c>
      <c r="L63" s="274">
        <f>_xlfn.XLOOKUP(K63,Rootcauses!$B$2:$B$21,Rootcauses!$D$2:$D$21)</f>
        <v/>
      </c>
      <c r="M63" s="274">
        <f>_xlfn.XLOOKUP(K63,Rootcauses!$B$2:$B$21,Rootcauses!$E$2:$E$21)</f>
        <v/>
      </c>
      <c r="N63" s="274">
        <f>_xlfn.XLOOKUP(K63,Rootcauses!$B$2:$B$21,Rootcauses!$F$2:$F$21)</f>
        <v/>
      </c>
      <c r="O63">
        <f>B63&amp;"- "&amp;I63&amp;" - "&amp;J63</f>
        <v/>
      </c>
    </row>
    <row r="64" ht="89" customHeight="1" s="340">
      <c r="A64" s="232" t="n">
        <v>63</v>
      </c>
      <c r="B64" s="236" t="inlineStr">
        <is>
          <t xml:space="preserve">SC3 – S07 </t>
        </is>
      </c>
      <c r="C64" s="286" t="inlineStr">
        <is>
          <t xml:space="preserve"> Vessel/flight arrived (Estimated)</t>
        </is>
      </c>
      <c r="D64" s="286" t="inlineStr">
        <is>
          <t>Completeness (Critical)</t>
        </is>
      </c>
      <c r="E64" s="233">
        <f t="array" ref="E64:F64">_xlfn.TEXTSPLIT(D64,"(")</f>
        <v/>
      </c>
      <c r="F64" s="233" t="inlineStr">
        <is>
          <t>Critical)</t>
        </is>
      </c>
      <c r="G64" s="413">
        <f t="array" ref="G64:H64">_xlfn.TEXTSPLIT(C64,"(")</f>
        <v/>
      </c>
      <c r="H64" s="413" t="inlineStr">
        <is>
          <t>Estimated)</t>
        </is>
      </c>
      <c r="I64" s="413">
        <f>SUBSTITUTE(H64,")","")</f>
        <v/>
      </c>
      <c r="J64" s="274">
        <f>IF(K64="","No RCA","Not received because "&amp;K64)</f>
        <v/>
      </c>
      <c r="K64" s="274" t="inlineStr">
        <is>
          <t>The Consol is not attached to shipment with "is Linked" Flag</t>
        </is>
      </c>
      <c r="L64" s="274">
        <f>_xlfn.XLOOKUP(K64,Rootcauses!$B$2:$B$21,Rootcauses!$D$2:$D$21)</f>
        <v/>
      </c>
      <c r="M64" s="274">
        <f>_xlfn.XLOOKUP(K64,Rootcauses!$B$2:$B$21,Rootcauses!$E$2:$E$21)</f>
        <v/>
      </c>
      <c r="N64" s="274">
        <f>_xlfn.XLOOKUP(K64,Rootcauses!$B$2:$B$21,Rootcauses!$F$2:$F$21)</f>
        <v/>
      </c>
      <c r="O64">
        <f>B64&amp;"- "&amp;I64&amp;" - "&amp;J64</f>
        <v/>
      </c>
    </row>
    <row r="65" ht="89" customHeight="1" s="340">
      <c r="A65" s="232" t="n">
        <v>64</v>
      </c>
      <c r="B65" s="236" t="inlineStr">
        <is>
          <t xml:space="preserve">SC3 – S07 </t>
        </is>
      </c>
      <c r="C65" s="286" t="inlineStr">
        <is>
          <t xml:space="preserve"> Vessel/flight arrived (Estimated)</t>
        </is>
      </c>
      <c r="D65" s="286" t="inlineStr">
        <is>
          <t>Timeliness (Critical)</t>
        </is>
      </c>
      <c r="E65" s="233">
        <f t="array" ref="E65:F65">_xlfn.TEXTSPLIT(D65,"(")</f>
        <v/>
      </c>
      <c r="F65" s="233" t="inlineStr">
        <is>
          <t>Critical)</t>
        </is>
      </c>
      <c r="G65" s="413">
        <f t="array" ref="G65:H65">_xlfn.TEXTSPLIT(C65,"(")</f>
        <v/>
      </c>
      <c r="H65" s="413" t="inlineStr">
        <is>
          <t>Estimated)</t>
        </is>
      </c>
      <c r="I65" s="413">
        <f>SUBSTITUTE(H65,")","")</f>
        <v/>
      </c>
      <c r="J65" s="274">
        <f>IF(K65="","No RCA","Not received because "&amp;K65)</f>
        <v/>
      </c>
      <c r="K65" s="274" t="inlineStr">
        <is>
          <t>The Consol is not attached to shipment with "is Linked" Flag</t>
        </is>
      </c>
      <c r="L65" s="274">
        <f>_xlfn.XLOOKUP(K65,Rootcauses!$B$2:$B$21,Rootcauses!$D$2:$D$21)</f>
        <v/>
      </c>
      <c r="M65" s="274">
        <f>_xlfn.XLOOKUP(K65,Rootcauses!$B$2:$B$21,Rootcauses!$E$2:$E$21)</f>
        <v/>
      </c>
      <c r="N65" s="274">
        <f>_xlfn.XLOOKUP(K65,Rootcauses!$B$2:$B$21,Rootcauses!$F$2:$F$21)</f>
        <v/>
      </c>
      <c r="O65">
        <f>B65&amp;"- "&amp;I65&amp;" - "&amp;J65</f>
        <v/>
      </c>
    </row>
    <row r="66" ht="89" customHeight="1" s="340">
      <c r="A66" s="232" t="n">
        <v>65</v>
      </c>
      <c r="B66" s="236" t="inlineStr">
        <is>
          <t xml:space="preserve">SC3 – S54 </t>
        </is>
      </c>
      <c r="C66" s="286" t="inlineStr">
        <is>
          <t xml:space="preserve"> Full Container discharge (Actual)</t>
        </is>
      </c>
      <c r="D66" s="286" t="inlineStr">
        <is>
          <t>Completeness (All)</t>
        </is>
      </c>
      <c r="E66" s="233">
        <f t="array" ref="E66:F66">_xlfn.TEXTSPLIT(D66,"(")</f>
        <v/>
      </c>
      <c r="F66" s="233" t="inlineStr">
        <is>
          <t>All)</t>
        </is>
      </c>
      <c r="G66" s="413">
        <f t="array" ref="G66:H66">_xlfn.TEXTSPLIT(C66,"(")</f>
        <v/>
      </c>
      <c r="H66" s="413" t="inlineStr">
        <is>
          <t>Actual)</t>
        </is>
      </c>
      <c r="I66" s="413">
        <f>SUBSTITUTE(H66,")","")</f>
        <v/>
      </c>
      <c r="J66" s="274">
        <f>IF(K66="","No RCA","Not received because "&amp;K66)</f>
        <v/>
      </c>
      <c r="K66" s="274" t="inlineStr">
        <is>
          <t>CW1 configurations are not set up correctly to handle Bosch requirements</t>
        </is>
      </c>
      <c r="L66" s="274">
        <f>_xlfn.XLOOKUP(K66,Rootcauses!$B$2:$B$21,Rootcauses!$D$2:$D$21)</f>
        <v/>
      </c>
      <c r="M66" s="274">
        <f>_xlfn.XLOOKUP(K66,Rootcauses!$B$2:$B$21,Rootcauses!$E$2:$E$21)</f>
        <v/>
      </c>
      <c r="N66" s="274">
        <f>_xlfn.XLOOKUP(K66,Rootcauses!$B$2:$B$21,Rootcauses!$F$2:$F$21)</f>
        <v/>
      </c>
      <c r="O66">
        <f>B66&amp;"- "&amp;I66&amp;" - "&amp;J66</f>
        <v/>
      </c>
    </row>
    <row r="67" ht="89" customHeight="1" s="340">
      <c r="A67" s="232" t="n">
        <v>66</v>
      </c>
      <c r="B67" s="236" t="inlineStr">
        <is>
          <t xml:space="preserve">SC3 – S54 </t>
        </is>
      </c>
      <c r="C67" s="286" t="inlineStr">
        <is>
          <t xml:space="preserve"> Full Container discharge (Actual)</t>
        </is>
      </c>
      <c r="D67" s="286" t="inlineStr">
        <is>
          <t>Timeliness (All)</t>
        </is>
      </c>
      <c r="E67" s="233">
        <f t="array" ref="E67:F67">_xlfn.TEXTSPLIT(D67,"(")</f>
        <v/>
      </c>
      <c r="F67" s="233" t="inlineStr">
        <is>
          <t>All)</t>
        </is>
      </c>
      <c r="G67" s="413">
        <f t="array" ref="G67:H67">_xlfn.TEXTSPLIT(C67,"(")</f>
        <v/>
      </c>
      <c r="H67" s="413" t="inlineStr">
        <is>
          <t>Actual)</t>
        </is>
      </c>
      <c r="I67" s="413">
        <f>SUBSTITUTE(H67,")","")</f>
        <v/>
      </c>
      <c r="J67" s="274">
        <f>IF(K67="","No RCA","Not received because "&amp;K67)</f>
        <v/>
      </c>
      <c r="K67" s="274" t="inlineStr">
        <is>
          <t>CW1 configurations are not set up correctly to handle Bosch requirements</t>
        </is>
      </c>
      <c r="L67" s="274">
        <f>_xlfn.XLOOKUP(K67,Rootcauses!$B$2:$B$21,Rootcauses!$D$2:$D$21)</f>
        <v/>
      </c>
      <c r="M67" s="274">
        <f>_xlfn.XLOOKUP(K67,Rootcauses!$B$2:$B$21,Rootcauses!$E$2:$E$21)</f>
        <v/>
      </c>
      <c r="N67" s="274">
        <f>_xlfn.XLOOKUP(K67,Rootcauses!$B$2:$B$21,Rootcauses!$F$2:$F$21)</f>
        <v/>
      </c>
      <c r="O67">
        <f>B67&amp;"- "&amp;I67&amp;" - "&amp;J67</f>
        <v/>
      </c>
    </row>
    <row r="68" ht="89" customHeight="1" s="340">
      <c r="A68" s="232" t="n">
        <v>67</v>
      </c>
      <c r="B68" s="236" t="inlineStr">
        <is>
          <t xml:space="preserve">SC3 – S51 </t>
        </is>
      </c>
      <c r="C68" s="286" t="inlineStr">
        <is>
          <t xml:space="preserve"> Arrived destination CFS (Actual)</t>
        </is>
      </c>
      <c r="D68" s="286" t="inlineStr">
        <is>
          <t>Completeness (All)</t>
        </is>
      </c>
      <c r="E68" s="233">
        <f t="array" ref="E68:F68">_xlfn.TEXTSPLIT(D68,"(")</f>
        <v/>
      </c>
      <c r="F68" s="233" t="inlineStr">
        <is>
          <t>All)</t>
        </is>
      </c>
      <c r="G68" s="413">
        <f t="array" ref="G68:H68">_xlfn.TEXTSPLIT(C68,"(")</f>
        <v/>
      </c>
      <c r="H68" s="413" t="inlineStr">
        <is>
          <t>Actual)</t>
        </is>
      </c>
      <c r="I68" s="413">
        <f>SUBSTITUTE(H68,")","")</f>
        <v/>
      </c>
      <c r="J68" s="274">
        <f>IF(K68="","No RCA","Not received because "&amp;K68)</f>
        <v/>
      </c>
      <c r="K68" s="274" t="inlineStr">
        <is>
          <t>CW1 configurations are not set up correctly to handle Bosch requirements</t>
        </is>
      </c>
      <c r="L68" s="274">
        <f>_xlfn.XLOOKUP(K68,Rootcauses!$B$2:$B$21,Rootcauses!$D$2:$D$21)</f>
        <v/>
      </c>
      <c r="M68" s="274">
        <f>_xlfn.XLOOKUP(K68,Rootcauses!$B$2:$B$21,Rootcauses!$E$2:$E$21)</f>
        <v/>
      </c>
      <c r="N68" s="274">
        <f>_xlfn.XLOOKUP(K68,Rootcauses!$B$2:$B$21,Rootcauses!$F$2:$F$21)</f>
        <v/>
      </c>
      <c r="O68">
        <f>B68&amp;"- "&amp;I68&amp;" - "&amp;J68</f>
        <v/>
      </c>
    </row>
    <row r="69" ht="89" customHeight="1" s="340">
      <c r="A69" s="232" t="n">
        <v>68</v>
      </c>
      <c r="B69" s="236" t="inlineStr">
        <is>
          <t xml:space="preserve">SC3 – S51 </t>
        </is>
      </c>
      <c r="C69" s="286" t="inlineStr">
        <is>
          <t xml:space="preserve"> Arrived destination CFS (Actual)</t>
        </is>
      </c>
      <c r="D69" s="286" t="inlineStr">
        <is>
          <t>Timeliness (All)</t>
        </is>
      </c>
      <c r="E69" s="233">
        <f t="array" ref="E69:F69">_xlfn.TEXTSPLIT(D69,"(")</f>
        <v/>
      </c>
      <c r="F69" s="233" t="inlineStr">
        <is>
          <t>All)</t>
        </is>
      </c>
      <c r="G69" s="413">
        <f t="array" ref="G69:H69">_xlfn.TEXTSPLIT(C69,"(")</f>
        <v/>
      </c>
      <c r="H69" s="413" t="inlineStr">
        <is>
          <t>Actual)</t>
        </is>
      </c>
      <c r="I69" s="413">
        <f>SUBSTITUTE(H69,")","")</f>
        <v/>
      </c>
      <c r="J69" s="274">
        <f>IF(K69="","No RCA","Not received because "&amp;K69)</f>
        <v/>
      </c>
      <c r="K69" s="274" t="inlineStr">
        <is>
          <t>CW1 configurations are not set up correctly to handle Bosch requirements</t>
        </is>
      </c>
      <c r="L69" s="274">
        <f>_xlfn.XLOOKUP(K69,Rootcauses!$B$2:$B$21,Rootcauses!$D$2:$D$21)</f>
        <v/>
      </c>
      <c r="M69" s="274">
        <f>_xlfn.XLOOKUP(K69,Rootcauses!$B$2:$B$21,Rootcauses!$E$2:$E$21)</f>
        <v/>
      </c>
      <c r="N69" s="274">
        <f>_xlfn.XLOOKUP(K69,Rootcauses!$B$2:$B$21,Rootcauses!$F$2:$F$21)</f>
        <v/>
      </c>
      <c r="O69">
        <f>B69&amp;"- "&amp;I69&amp;" - "&amp;J69</f>
        <v/>
      </c>
    </row>
    <row r="70" ht="89" customHeight="1" s="340">
      <c r="A70" s="232" t="n">
        <v>69</v>
      </c>
      <c r="B70" s="236" t="inlineStr">
        <is>
          <t xml:space="preserve">SC3 – S13 </t>
        </is>
      </c>
      <c r="C70" s="286" t="inlineStr">
        <is>
          <t xml:space="preserve"> On hand at destination SVC (Actual)</t>
        </is>
      </c>
      <c r="D70" s="286" t="inlineStr">
        <is>
          <t>Completeness (All)</t>
        </is>
      </c>
      <c r="E70" s="233">
        <f t="array" ref="E70:F70">_xlfn.TEXTSPLIT(D70,"(")</f>
        <v/>
      </c>
      <c r="F70" s="233" t="inlineStr">
        <is>
          <t>All)</t>
        </is>
      </c>
      <c r="G70" s="413">
        <f t="array" ref="G70:H70">_xlfn.TEXTSPLIT(C70,"(")</f>
        <v/>
      </c>
      <c r="H70" s="413" t="inlineStr">
        <is>
          <t>Actual)</t>
        </is>
      </c>
      <c r="I70" s="413">
        <f>SUBSTITUTE(H70,")","")</f>
        <v/>
      </c>
      <c r="J70" s="274">
        <f>IF(K70="","No RCA","Not received because "&amp;K70)</f>
        <v/>
      </c>
      <c r="K70" s="274" t="inlineStr">
        <is>
          <t>Manual milestones not updated on time by Operators due to lack of resources</t>
        </is>
      </c>
      <c r="L70" s="274">
        <f>_xlfn.XLOOKUP(K70,Rootcauses!$B$2:$B$21,Rootcauses!$D$2:$D$21)</f>
        <v/>
      </c>
      <c r="M70" s="274">
        <f>_xlfn.XLOOKUP(K70,Rootcauses!$B$2:$B$21,Rootcauses!$E$2:$E$21)</f>
        <v/>
      </c>
      <c r="N70" s="274">
        <f>_xlfn.XLOOKUP(K70,Rootcauses!$B$2:$B$21,Rootcauses!$F$2:$F$21)</f>
        <v/>
      </c>
      <c r="O70">
        <f>B70&amp;"- "&amp;I70&amp;" - "&amp;J70</f>
        <v/>
      </c>
    </row>
    <row r="71" ht="89" customHeight="1" s="340">
      <c r="A71" s="232" t="n">
        <v>70</v>
      </c>
      <c r="B71" s="236" t="inlineStr">
        <is>
          <t xml:space="preserve">SC3 – S13 </t>
        </is>
      </c>
      <c r="C71" s="286" t="inlineStr">
        <is>
          <t xml:space="preserve"> On hand at destination SVC (Actual)</t>
        </is>
      </c>
      <c r="D71" s="286" t="inlineStr">
        <is>
          <t>Timeliness (All)</t>
        </is>
      </c>
      <c r="E71" s="233">
        <f t="array" ref="E71:F71">_xlfn.TEXTSPLIT(D71,"(")</f>
        <v/>
      </c>
      <c r="F71" s="233" t="inlineStr">
        <is>
          <t>All)</t>
        </is>
      </c>
      <c r="G71" s="413">
        <f t="array" ref="G71:H71">_xlfn.TEXTSPLIT(C71,"(")</f>
        <v/>
      </c>
      <c r="H71" s="413" t="inlineStr">
        <is>
          <t>Actual)</t>
        </is>
      </c>
      <c r="I71" s="413">
        <f>SUBSTITUTE(H71,")","")</f>
        <v/>
      </c>
      <c r="J71" s="274">
        <f>IF(K71="","No RCA","Not received because "&amp;K71)</f>
        <v/>
      </c>
      <c r="K71" s="274" t="inlineStr">
        <is>
          <t>Manual milestones not updated on time by Operators due to lack of resources</t>
        </is>
      </c>
      <c r="L71" s="274">
        <f>_xlfn.XLOOKUP(K71,Rootcauses!$B$2:$B$21,Rootcauses!$D$2:$D$21)</f>
        <v/>
      </c>
      <c r="M71" s="274">
        <f>_xlfn.XLOOKUP(K71,Rootcauses!$B$2:$B$21,Rootcauses!$E$2:$E$21)</f>
        <v/>
      </c>
      <c r="N71" s="274">
        <f>_xlfn.XLOOKUP(K71,Rootcauses!$B$2:$B$21,Rootcauses!$F$2:$F$21)</f>
        <v/>
      </c>
      <c r="O71">
        <f>B71&amp;"- "&amp;I71&amp;" - "&amp;J71</f>
        <v/>
      </c>
    </row>
    <row r="72" ht="89" customHeight="1" s="340">
      <c r="A72" s="232" t="n">
        <v>71</v>
      </c>
      <c r="B72" s="236" t="inlineStr">
        <is>
          <t xml:space="preserve">SC3 – S45 </t>
        </is>
      </c>
      <c r="C72" s="286" t="inlineStr">
        <is>
          <t xml:space="preserve"> Handover to broker (Actual)</t>
        </is>
      </c>
      <c r="D72" s="286" t="inlineStr">
        <is>
          <t>Completeness (Critical)</t>
        </is>
      </c>
      <c r="E72" s="233">
        <f t="array" ref="E72:F72">_xlfn.TEXTSPLIT(D72,"(")</f>
        <v/>
      </c>
      <c r="F72" s="233" t="inlineStr">
        <is>
          <t>Critical)</t>
        </is>
      </c>
      <c r="G72" s="413">
        <f t="array" ref="G72:H72">_xlfn.TEXTSPLIT(C72,"(")</f>
        <v/>
      </c>
      <c r="H72" s="413" t="inlineStr">
        <is>
          <t>Actual)</t>
        </is>
      </c>
      <c r="I72" s="413">
        <f>SUBSTITUTE(H72,")","")</f>
        <v/>
      </c>
      <c r="J72" s="274">
        <f>IF(K72="","No RCA","Not received because "&amp;K72)</f>
        <v/>
      </c>
      <c r="K72" s="274" t="inlineStr">
        <is>
          <t>The HBL div mode is changed after receiving</t>
        </is>
      </c>
      <c r="L72" s="274">
        <f>_xlfn.XLOOKUP(K72,Rootcauses!$B$2:$B$21,Rootcauses!$D$2:$D$21)</f>
        <v/>
      </c>
      <c r="M72" s="274">
        <f>_xlfn.XLOOKUP(K72,Rootcauses!$B$2:$B$21,Rootcauses!$E$2:$E$21)</f>
        <v/>
      </c>
      <c r="N72" s="274">
        <f>_xlfn.XLOOKUP(K72,Rootcauses!$B$2:$B$21,Rootcauses!$F$2:$F$21)</f>
        <v/>
      </c>
      <c r="O72">
        <f>B72&amp;"- "&amp;I72&amp;" - "&amp;J72</f>
        <v/>
      </c>
    </row>
    <row r="73" ht="89" customHeight="1" s="340">
      <c r="A73" s="232" t="n">
        <v>72</v>
      </c>
      <c r="B73" s="236" t="inlineStr">
        <is>
          <t xml:space="preserve">SC3 – S45 </t>
        </is>
      </c>
      <c r="C73" s="286" t="inlineStr">
        <is>
          <t xml:space="preserve"> Handover to broker (Actual)</t>
        </is>
      </c>
      <c r="D73" s="286" t="inlineStr">
        <is>
          <t>Timeliness (Critical)</t>
        </is>
      </c>
      <c r="E73" s="233">
        <f t="array" ref="E73:F73">_xlfn.TEXTSPLIT(D73,"(")</f>
        <v/>
      </c>
      <c r="F73" s="233" t="inlineStr">
        <is>
          <t>Critical)</t>
        </is>
      </c>
      <c r="G73" s="413">
        <f t="array" ref="G73:H73">_xlfn.TEXTSPLIT(C73,"(")</f>
        <v/>
      </c>
      <c r="H73" s="413" t="inlineStr">
        <is>
          <t>Actual)</t>
        </is>
      </c>
      <c r="I73" s="413">
        <f>SUBSTITUTE(H73,")","")</f>
        <v/>
      </c>
      <c r="J73" s="274">
        <f>IF(K73="","No RCA","Not received because "&amp;K73)</f>
        <v/>
      </c>
      <c r="K73" s="274" t="inlineStr">
        <is>
          <t>The HBL div mode is changed after receiving</t>
        </is>
      </c>
      <c r="L73" s="274">
        <f>_xlfn.XLOOKUP(K73,Rootcauses!$B$2:$B$21,Rootcauses!$D$2:$D$21)</f>
        <v/>
      </c>
      <c r="M73" s="274">
        <f>_xlfn.XLOOKUP(K73,Rootcauses!$B$2:$B$21,Rootcauses!$E$2:$E$21)</f>
        <v/>
      </c>
      <c r="N73" s="274">
        <f>_xlfn.XLOOKUP(K73,Rootcauses!$B$2:$B$21,Rootcauses!$F$2:$F$21)</f>
        <v/>
      </c>
      <c r="O73">
        <f>B73&amp;"- "&amp;I73&amp;" - "&amp;J73</f>
        <v/>
      </c>
    </row>
    <row r="74" ht="89" customHeight="1" s="340">
      <c r="A74" s="232" t="n">
        <v>73</v>
      </c>
      <c r="B74" s="236" t="inlineStr">
        <is>
          <t xml:space="preserve">SC3 – S45 </t>
        </is>
      </c>
      <c r="C74" s="286" t="inlineStr">
        <is>
          <t xml:space="preserve"> Handover to broker (Estimated)</t>
        </is>
      </c>
      <c r="D74" s="286" t="inlineStr">
        <is>
          <t>Completeness (Critical)</t>
        </is>
      </c>
      <c r="E74" s="233">
        <f t="array" ref="E74:F74">_xlfn.TEXTSPLIT(D74,"(")</f>
        <v/>
      </c>
      <c r="F74" s="233" t="inlineStr">
        <is>
          <t>Critical)</t>
        </is>
      </c>
      <c r="G74" s="413">
        <f t="array" ref="G74:H74">_xlfn.TEXTSPLIT(C74,"(")</f>
        <v/>
      </c>
      <c r="H74" s="413" t="inlineStr">
        <is>
          <t>Estimated)</t>
        </is>
      </c>
      <c r="I74" s="413">
        <f>SUBSTITUTE(H74,")","")</f>
        <v/>
      </c>
      <c r="J74" s="274">
        <f>IF(K74="","No RCA","Not received because "&amp;K74)</f>
        <v/>
      </c>
      <c r="K74" s="274" t="inlineStr">
        <is>
          <t>The HBL div mode is changed after receiving</t>
        </is>
      </c>
      <c r="L74" s="274">
        <f>_xlfn.XLOOKUP(K74,Rootcauses!$B$2:$B$21,Rootcauses!$D$2:$D$21)</f>
        <v/>
      </c>
      <c r="M74" s="274">
        <f>_xlfn.XLOOKUP(K74,Rootcauses!$B$2:$B$21,Rootcauses!$E$2:$E$21)</f>
        <v/>
      </c>
      <c r="N74" s="274">
        <f>_xlfn.XLOOKUP(K74,Rootcauses!$B$2:$B$21,Rootcauses!$F$2:$F$21)</f>
        <v/>
      </c>
      <c r="O74">
        <f>B74&amp;"- "&amp;I74&amp;" - "&amp;J74</f>
        <v/>
      </c>
    </row>
    <row r="75" ht="89" customHeight="1" s="340">
      <c r="A75" s="232" t="n">
        <v>74</v>
      </c>
      <c r="B75" s="236" t="inlineStr">
        <is>
          <t xml:space="preserve">SC3 – S45 </t>
        </is>
      </c>
      <c r="C75" s="286" t="inlineStr">
        <is>
          <t xml:space="preserve"> Handover to broker (Estimated)</t>
        </is>
      </c>
      <c r="D75" s="286" t="inlineStr">
        <is>
          <t>Timeliness (Critical)</t>
        </is>
      </c>
      <c r="E75" s="233">
        <f t="array" ref="E75:F75">_xlfn.TEXTSPLIT(D75,"(")</f>
        <v/>
      </c>
      <c r="F75" s="233" t="inlineStr">
        <is>
          <t>Critical)</t>
        </is>
      </c>
      <c r="G75" s="413">
        <f t="array" ref="G75:H75">_xlfn.TEXTSPLIT(C75,"(")</f>
        <v/>
      </c>
      <c r="H75" s="413" t="inlineStr">
        <is>
          <t>Estimated)</t>
        </is>
      </c>
      <c r="I75" s="413">
        <f>SUBSTITUTE(H75,")","")</f>
        <v/>
      </c>
      <c r="J75" s="274">
        <f>IF(K75="","No RCA","Not received because "&amp;K75)</f>
        <v/>
      </c>
      <c r="K75" s="274" t="inlineStr">
        <is>
          <t>The HBL div mode is changed after receiving</t>
        </is>
      </c>
      <c r="L75" s="274">
        <f>_xlfn.XLOOKUP(K75,Rootcauses!$B$2:$B$21,Rootcauses!$D$2:$D$21)</f>
        <v/>
      </c>
      <c r="M75" s="274">
        <f>_xlfn.XLOOKUP(K75,Rootcauses!$B$2:$B$21,Rootcauses!$E$2:$E$21)</f>
        <v/>
      </c>
      <c r="N75" s="274">
        <f>_xlfn.XLOOKUP(K75,Rootcauses!$B$2:$B$21,Rootcauses!$F$2:$F$21)</f>
        <v/>
      </c>
      <c r="O75">
        <f>B75&amp;"- "&amp;I75&amp;" - "&amp;J75</f>
        <v/>
      </c>
    </row>
    <row r="76" ht="89" customHeight="1" s="340">
      <c r="A76" s="232" t="n">
        <v>75</v>
      </c>
      <c r="B76" s="236" t="inlineStr">
        <is>
          <t xml:space="preserve">SC3 – S05 </t>
        </is>
      </c>
      <c r="C76" s="286" t="inlineStr">
        <is>
          <t xml:space="preserve"> In delivery (Actual)</t>
        </is>
      </c>
      <c r="D76" s="286" t="inlineStr">
        <is>
          <t>Completeness (All)</t>
        </is>
      </c>
      <c r="E76" s="233">
        <f t="array" ref="E76:F76">_xlfn.TEXTSPLIT(D76,"(")</f>
        <v/>
      </c>
      <c r="F76" s="233" t="inlineStr">
        <is>
          <t>All)</t>
        </is>
      </c>
      <c r="G76" s="413">
        <f t="array" ref="G76:H76">_xlfn.TEXTSPLIT(C76,"(")</f>
        <v/>
      </c>
      <c r="H76" s="413" t="inlineStr">
        <is>
          <t>Actual)</t>
        </is>
      </c>
      <c r="I76" s="413">
        <f>SUBSTITUTE(H76,")","")</f>
        <v/>
      </c>
      <c r="J76" s="274">
        <f>IF(K76="","No RCA","Not received because "&amp;K76)</f>
        <v/>
      </c>
      <c r="K76" s="274" t="inlineStr">
        <is>
          <t>Milestone is dependent on Manual input and is missed due to Lack of resources</t>
        </is>
      </c>
      <c r="L76" s="274">
        <f>_xlfn.XLOOKUP(K76,Rootcauses!$B$2:$B$21,Rootcauses!$D$2:$D$21)</f>
        <v/>
      </c>
      <c r="M76" s="274">
        <f>_xlfn.XLOOKUP(K76,Rootcauses!$B$2:$B$21,Rootcauses!$E$2:$E$21)</f>
        <v/>
      </c>
      <c r="N76" s="274">
        <f>_xlfn.XLOOKUP(K76,Rootcauses!$B$2:$B$21,Rootcauses!$F$2:$F$21)</f>
        <v/>
      </c>
      <c r="O76">
        <f>B76&amp;"- "&amp;I76&amp;" - "&amp;J76</f>
        <v/>
      </c>
    </row>
    <row r="77" ht="89" customHeight="1" s="340">
      <c r="A77" s="232" t="n">
        <v>76</v>
      </c>
      <c r="B77" s="236" t="inlineStr">
        <is>
          <t xml:space="preserve">SC3 – S05 </t>
        </is>
      </c>
      <c r="C77" s="286" t="inlineStr">
        <is>
          <t xml:space="preserve"> In delivery (Actual)</t>
        </is>
      </c>
      <c r="D77" s="286" t="inlineStr">
        <is>
          <t>Timeliness (All)</t>
        </is>
      </c>
      <c r="E77" s="233">
        <f t="array" ref="E77:F77">_xlfn.TEXTSPLIT(D77,"(")</f>
        <v/>
      </c>
      <c r="F77" s="233" t="inlineStr">
        <is>
          <t>All)</t>
        </is>
      </c>
      <c r="G77" s="413">
        <f t="array" ref="G77:H77">_xlfn.TEXTSPLIT(C77,"(")</f>
        <v/>
      </c>
      <c r="H77" s="413" t="inlineStr">
        <is>
          <t>Actual)</t>
        </is>
      </c>
      <c r="I77" s="413">
        <f>SUBSTITUTE(H77,")","")</f>
        <v/>
      </c>
      <c r="J77" s="274">
        <f>IF(K77="","No RCA","Not received because "&amp;K77)</f>
        <v/>
      </c>
      <c r="K77" s="274" t="inlineStr">
        <is>
          <t>Milestone is dependent on Manual input and is missed due to Lack of resources</t>
        </is>
      </c>
      <c r="L77" s="274">
        <f>_xlfn.XLOOKUP(K77,Rootcauses!$B$2:$B$21,Rootcauses!$D$2:$D$21)</f>
        <v/>
      </c>
      <c r="M77" s="274">
        <f>_xlfn.XLOOKUP(K77,Rootcauses!$B$2:$B$21,Rootcauses!$E$2:$E$21)</f>
        <v/>
      </c>
      <c r="N77" s="274">
        <f>_xlfn.XLOOKUP(K77,Rootcauses!$B$2:$B$21,Rootcauses!$F$2:$F$21)</f>
        <v/>
      </c>
      <c r="O77">
        <f>B77&amp;"- "&amp;I77&amp;" - "&amp;J77</f>
        <v/>
      </c>
    </row>
    <row r="78" ht="89" customHeight="1" s="340">
      <c r="A78" s="232" t="n">
        <v>77</v>
      </c>
      <c r="B78" s="236" t="inlineStr">
        <is>
          <t xml:space="preserve">SC3 – S31 </t>
        </is>
      </c>
      <c r="C78" s="286" t="inlineStr">
        <is>
          <t xml:space="preserve"> Delivered (Actual)</t>
        </is>
      </c>
      <c r="D78" s="286" t="inlineStr">
        <is>
          <t>Completeness (Critical)</t>
        </is>
      </c>
      <c r="E78" s="233">
        <f t="array" ref="E78:F78">_xlfn.TEXTSPLIT(D78,"(")</f>
        <v/>
      </c>
      <c r="F78" s="233" t="inlineStr">
        <is>
          <t>Critical)</t>
        </is>
      </c>
      <c r="G78" s="413">
        <f t="array" ref="G78:H78">_xlfn.TEXTSPLIT(C78,"(")</f>
        <v/>
      </c>
      <c r="H78" s="413" t="inlineStr">
        <is>
          <t>Actual)</t>
        </is>
      </c>
      <c r="I78" s="413">
        <f>SUBSTITUTE(H78,")","")</f>
        <v/>
      </c>
      <c r="J78" s="274">
        <f>IF(K78="","No RCA","Not received because "&amp;K78)</f>
        <v/>
      </c>
      <c r="K78" s="274" t="inlineStr">
        <is>
          <t>Milestone is dependent on Manual input and is missed due to Lack of resources</t>
        </is>
      </c>
      <c r="L78" s="274">
        <f>_xlfn.XLOOKUP(K78,Rootcauses!$B$2:$B$21,Rootcauses!$D$2:$D$21)</f>
        <v/>
      </c>
      <c r="M78" s="274">
        <f>_xlfn.XLOOKUP(K78,Rootcauses!$B$2:$B$21,Rootcauses!$E$2:$E$21)</f>
        <v/>
      </c>
      <c r="N78" s="274">
        <f>_xlfn.XLOOKUP(K78,Rootcauses!$B$2:$B$21,Rootcauses!$F$2:$F$21)</f>
        <v/>
      </c>
      <c r="O78">
        <f>B78&amp;"- "&amp;I78&amp;" - "&amp;J78</f>
        <v/>
      </c>
    </row>
    <row r="79" ht="89" customHeight="1" s="340">
      <c r="A79" s="232" t="n">
        <v>78</v>
      </c>
      <c r="B79" s="236" t="inlineStr">
        <is>
          <t xml:space="preserve">SC3 – S31 </t>
        </is>
      </c>
      <c r="C79" s="286" t="inlineStr">
        <is>
          <t xml:space="preserve"> Delivered (Actual)</t>
        </is>
      </c>
      <c r="D79" s="286" t="inlineStr">
        <is>
          <t>Timeliness (Critical)</t>
        </is>
      </c>
      <c r="E79" s="233">
        <f t="array" ref="E79:F79">_xlfn.TEXTSPLIT(D79,"(")</f>
        <v/>
      </c>
      <c r="F79" s="233" t="inlineStr">
        <is>
          <t>Critical)</t>
        </is>
      </c>
      <c r="G79" s="413">
        <f t="array" ref="G79:H79">_xlfn.TEXTSPLIT(C79,"(")</f>
        <v/>
      </c>
      <c r="H79" s="413" t="inlineStr">
        <is>
          <t>Actual)</t>
        </is>
      </c>
      <c r="I79" s="413">
        <f>SUBSTITUTE(H79,")","")</f>
        <v/>
      </c>
      <c r="J79" s="274">
        <f>IF(K79="","No RCA","Not received because "&amp;K79)</f>
        <v/>
      </c>
      <c r="K79" s="274" t="inlineStr">
        <is>
          <t>Milestone is dependent on Manual input and is missed due to Lack of resources</t>
        </is>
      </c>
      <c r="L79" s="274">
        <f>_xlfn.XLOOKUP(K79,Rootcauses!$B$2:$B$21,Rootcauses!$D$2:$D$21)</f>
        <v/>
      </c>
      <c r="M79" s="274">
        <f>_xlfn.XLOOKUP(K79,Rootcauses!$B$2:$B$21,Rootcauses!$E$2:$E$21)</f>
        <v/>
      </c>
      <c r="N79" s="274">
        <f>_xlfn.XLOOKUP(K79,Rootcauses!$B$2:$B$21,Rootcauses!$F$2:$F$21)</f>
        <v/>
      </c>
      <c r="O79">
        <f>B79&amp;"- "&amp;I79&amp;" - "&amp;J79</f>
        <v/>
      </c>
    </row>
    <row r="80" ht="89" customHeight="1" s="340">
      <c r="A80" s="232" t="n">
        <v>79</v>
      </c>
      <c r="B80" s="236" t="inlineStr">
        <is>
          <t xml:space="preserve">SC3 – S31 </t>
        </is>
      </c>
      <c r="C80" s="286" t="inlineStr">
        <is>
          <t xml:space="preserve"> Delivered (Estimated)</t>
        </is>
      </c>
      <c r="D80" s="286" t="inlineStr">
        <is>
          <t>Completeness (Critical)</t>
        </is>
      </c>
      <c r="E80" s="233">
        <f t="array" ref="E80:F80">_xlfn.TEXTSPLIT(D80,"(")</f>
        <v/>
      </c>
      <c r="F80" s="233" t="inlineStr">
        <is>
          <t>Critical)</t>
        </is>
      </c>
      <c r="G80" s="413">
        <f t="array" ref="G80:H80">_xlfn.TEXTSPLIT(C80,"(")</f>
        <v/>
      </c>
      <c r="H80" s="413" t="inlineStr">
        <is>
          <t>Estimated)</t>
        </is>
      </c>
      <c r="I80" s="413">
        <f>SUBSTITUTE(H80,")","")</f>
        <v/>
      </c>
      <c r="J80" s="274">
        <f>IF(K80="","No RCA","Not received because "&amp;K80)</f>
        <v/>
      </c>
      <c r="K80" s="274" t="inlineStr">
        <is>
          <t>Milestone is dependent on Manual input and is missed due to Lack of resources</t>
        </is>
      </c>
      <c r="L80" s="274">
        <f>_xlfn.XLOOKUP(K80,Rootcauses!$B$2:$B$21,Rootcauses!$D$2:$D$21)</f>
        <v/>
      </c>
      <c r="M80" s="274">
        <f>_xlfn.XLOOKUP(K80,Rootcauses!$B$2:$B$21,Rootcauses!$E$2:$E$21)</f>
        <v/>
      </c>
      <c r="N80" s="274">
        <f>_xlfn.XLOOKUP(K80,Rootcauses!$B$2:$B$21,Rootcauses!$F$2:$F$21)</f>
        <v/>
      </c>
      <c r="O80">
        <f>B80&amp;"- "&amp;I80&amp;" - "&amp;J80</f>
        <v/>
      </c>
    </row>
    <row r="81" ht="89" customHeight="1" s="340">
      <c r="A81" s="232" t="n">
        <v>80</v>
      </c>
      <c r="B81" s="236" t="inlineStr">
        <is>
          <t xml:space="preserve">SC3 – S31 </t>
        </is>
      </c>
      <c r="C81" s="286" t="inlineStr">
        <is>
          <t xml:space="preserve"> Delivered (Estimated)</t>
        </is>
      </c>
      <c r="D81" s="286" t="inlineStr">
        <is>
          <t>Timeliness (Critical)</t>
        </is>
      </c>
      <c r="E81" s="233">
        <f t="array" ref="E81:F81">_xlfn.TEXTSPLIT(D81,"(")</f>
        <v/>
      </c>
      <c r="F81" s="233" t="inlineStr">
        <is>
          <t>Critical)</t>
        </is>
      </c>
      <c r="G81" s="413">
        <f t="array" ref="G81:H81">_xlfn.TEXTSPLIT(C81,"(")</f>
        <v/>
      </c>
      <c r="H81" s="413" t="inlineStr">
        <is>
          <t>Estimated)</t>
        </is>
      </c>
      <c r="I81" s="413">
        <f>SUBSTITUTE(H81,")","")</f>
        <v/>
      </c>
      <c r="J81" s="274">
        <f>IF(K81="","No RCA","Not received because "&amp;K81)</f>
        <v/>
      </c>
      <c r="K81" s="274" t="inlineStr">
        <is>
          <t>Milestone is dependent on Manual input and is missed due to Lack of resources</t>
        </is>
      </c>
      <c r="L81" s="274">
        <f>_xlfn.XLOOKUP(K81,Rootcauses!$B$2:$B$21,Rootcauses!$D$2:$D$21)</f>
        <v/>
      </c>
      <c r="M81" s="274">
        <f>_xlfn.XLOOKUP(K81,Rootcauses!$B$2:$B$21,Rootcauses!$E$2:$E$21)</f>
        <v/>
      </c>
      <c r="N81" s="274">
        <f>_xlfn.XLOOKUP(K81,Rootcauses!$B$2:$B$21,Rootcauses!$F$2:$F$21)</f>
        <v/>
      </c>
      <c r="O81">
        <f>B81&amp;"- "&amp;I81&amp;" - "&amp;J81</f>
        <v/>
      </c>
    </row>
    <row r="82" ht="89" customHeight="1" s="340">
      <c r="A82" s="232" t="n">
        <v>81</v>
      </c>
      <c r="B82" s="236" t="inlineStr">
        <is>
          <t xml:space="preserve">SC3 – S55 </t>
        </is>
      </c>
      <c r="C82" s="286" t="inlineStr">
        <is>
          <t xml:space="preserve"> Empty Container returned (Actual)</t>
        </is>
      </c>
      <c r="D82" s="286" t="inlineStr">
        <is>
          <t>Completeness (All)</t>
        </is>
      </c>
      <c r="E82" s="233">
        <f t="array" ref="E82:F82">_xlfn.TEXTSPLIT(D82,"(")</f>
        <v/>
      </c>
      <c r="F82" s="233" t="inlineStr">
        <is>
          <t>All)</t>
        </is>
      </c>
      <c r="G82" s="413">
        <f t="array" ref="G82:H82">_xlfn.TEXTSPLIT(C82,"(")</f>
        <v/>
      </c>
      <c r="H82" s="413" t="inlineStr">
        <is>
          <t>Actual)</t>
        </is>
      </c>
      <c r="I82" s="413">
        <f>SUBSTITUTE(H82,")","")</f>
        <v/>
      </c>
      <c r="J82" s="274">
        <f>IF(K82="","No RCA","Not received because "&amp;K82)</f>
        <v/>
      </c>
      <c r="K82" s="274" t="inlineStr">
        <is>
          <t>Milestone is dependent on Manual input and is missed due to Lack of resources</t>
        </is>
      </c>
      <c r="L82" s="274">
        <f>_xlfn.XLOOKUP(K82,Rootcauses!$B$2:$B$21,Rootcauses!$D$2:$D$21)</f>
        <v/>
      </c>
      <c r="M82" s="274">
        <f>_xlfn.XLOOKUP(K82,Rootcauses!$B$2:$B$21,Rootcauses!$E$2:$E$21)</f>
        <v/>
      </c>
      <c r="N82" s="274">
        <f>_xlfn.XLOOKUP(K82,Rootcauses!$B$2:$B$21,Rootcauses!$F$2:$F$21)</f>
        <v/>
      </c>
      <c r="O82">
        <f>B82&amp;"- "&amp;I82&amp;" - "&amp;J82</f>
        <v/>
      </c>
    </row>
    <row r="83" ht="89" customHeight="1" s="340">
      <c r="A83" s="232" t="n">
        <v>82</v>
      </c>
      <c r="B83" s="236" t="inlineStr">
        <is>
          <t xml:space="preserve">SC3 – S55 </t>
        </is>
      </c>
      <c r="C83" s="286" t="inlineStr">
        <is>
          <t xml:space="preserve"> Empty Container returned (Actual)</t>
        </is>
      </c>
      <c r="D83" s="286" t="inlineStr">
        <is>
          <t>Timeliness (All)</t>
        </is>
      </c>
      <c r="E83" s="233">
        <f t="array" ref="E83:F83">_xlfn.TEXTSPLIT(D83,"(")</f>
        <v/>
      </c>
      <c r="F83" s="233" t="inlineStr">
        <is>
          <t>All)</t>
        </is>
      </c>
      <c r="G83" s="413">
        <f t="array" ref="G83:H83">_xlfn.TEXTSPLIT(C83,"(")</f>
        <v/>
      </c>
      <c r="H83" s="413" t="inlineStr">
        <is>
          <t>Actual)</t>
        </is>
      </c>
      <c r="I83" s="413">
        <f>SUBSTITUTE(H83,")","")</f>
        <v/>
      </c>
      <c r="J83" s="274">
        <f>IF(K83="","No RCA","Not received because "&amp;K83)</f>
        <v/>
      </c>
      <c r="K83" s="274" t="inlineStr">
        <is>
          <t>Milestone is dependent on Manual input and is missed due to Lack of resources</t>
        </is>
      </c>
      <c r="L83" s="274">
        <f>_xlfn.XLOOKUP(K83,Rootcauses!$B$2:$B$21,Rootcauses!$D$2:$D$21)</f>
        <v/>
      </c>
      <c r="M83" s="274">
        <f>_xlfn.XLOOKUP(K83,Rootcauses!$B$2:$B$21,Rootcauses!$E$2:$E$21)</f>
        <v/>
      </c>
      <c r="N83" s="274">
        <f>_xlfn.XLOOKUP(K83,Rootcauses!$B$2:$B$21,Rootcauses!$F$2:$F$21)</f>
        <v/>
      </c>
      <c r="O83">
        <f>B83&amp;"- "&amp;I83&amp;" - "&amp;J83</f>
        <v/>
      </c>
    </row>
    <row r="84" ht="89" customHeight="1" s="340">
      <c r="A84" s="232" t="n">
        <v>83</v>
      </c>
      <c r="B84" s="233" t="inlineStr">
        <is>
          <t xml:space="preserve">SC4 – S07 </t>
        </is>
      </c>
      <c r="C84" s="286" t="inlineStr">
        <is>
          <t>For "to Port" Shipments, milestone estimates are not received 7 days before of the actual Milestone event</t>
        </is>
      </c>
      <c r="D84" s="303" t="inlineStr">
        <is>
          <t>ETA accuracy 2P</t>
        </is>
      </c>
      <c r="E84" s="413" t="n"/>
      <c r="F84" s="413" t="n"/>
      <c r="G84" s="413" t="n"/>
      <c r="H84" s="413" t="n"/>
      <c r="I84" s="286" t="inlineStr">
        <is>
          <t>Estimates are not received 7 days before of the Actual event</t>
        </is>
      </c>
      <c r="J84" s="274">
        <f>IF(K84="","No RCA","Not received because "&amp;K84)</f>
        <v/>
      </c>
      <c r="K84" s="274" t="inlineStr">
        <is>
          <t>CW1 lacks chronological sequence validation</t>
        </is>
      </c>
      <c r="L84" s="274">
        <f>_xlfn.XLOOKUP(K84,Rootcauses!$B$2:$B$21,Rootcauses!$D$2:$D$21)</f>
        <v/>
      </c>
      <c r="M84" s="274">
        <f>_xlfn.XLOOKUP(K84,Rootcauses!$B$2:$B$21,Rootcauses!$E$2:$E$21)</f>
        <v/>
      </c>
      <c r="N84" s="274">
        <f>_xlfn.XLOOKUP(K84,Rootcauses!$B$2:$B$21,Rootcauses!$F$2:$F$21)</f>
        <v/>
      </c>
      <c r="O84">
        <f>B84&amp;"- "&amp;I84&amp;" - "&amp;J84</f>
        <v/>
      </c>
    </row>
    <row r="85" ht="89" customHeight="1" s="340">
      <c r="A85" s="232" t="n">
        <v>84</v>
      </c>
      <c r="B85" s="198" t="inlineStr">
        <is>
          <t xml:space="preserve">SC3 – S07 </t>
        </is>
      </c>
      <c r="C85" s="286" t="inlineStr">
        <is>
          <t>For "to Port" Shipments, milestone estimates are not received 7 days before of the actual Milestone event</t>
        </is>
      </c>
      <c r="D85" s="303" t="inlineStr">
        <is>
          <t>ETA accuracy 2P</t>
        </is>
      </c>
      <c r="E85" s="413" t="n"/>
      <c r="F85" s="413" t="n"/>
      <c r="G85" s="413" t="n"/>
      <c r="H85" s="413" t="n"/>
      <c r="I85" s="286" t="inlineStr">
        <is>
          <t>Estimates are not received 7 days before of the Actual event</t>
        </is>
      </c>
      <c r="J85" s="274">
        <f>IF(K85="","No RCA","Not received because "&amp;K85)</f>
        <v/>
      </c>
      <c r="K85" s="274" t="inlineStr">
        <is>
          <t>CW1 lacks chronological sequence validation</t>
        </is>
      </c>
      <c r="L85" s="274">
        <f>_xlfn.XLOOKUP(K85,Rootcauses!$B$2:$B$21,Rootcauses!$D$2:$D$21)</f>
        <v/>
      </c>
      <c r="M85" s="274">
        <f>_xlfn.XLOOKUP(K85,Rootcauses!$B$2:$B$21,Rootcauses!$E$2:$E$21)</f>
        <v/>
      </c>
      <c r="N85" s="274">
        <f>_xlfn.XLOOKUP(K85,Rootcauses!$B$2:$B$21,Rootcauses!$F$2:$F$21)</f>
        <v/>
      </c>
      <c r="O85">
        <f>B85&amp;"- "&amp;I85&amp;" - "&amp;J85</f>
        <v/>
      </c>
    </row>
    <row r="86" ht="89" customHeight="1" s="340">
      <c r="A86" s="232" t="n">
        <v>85</v>
      </c>
      <c r="B86" s="198" t="inlineStr">
        <is>
          <t xml:space="preserve">SC4 – S31 </t>
        </is>
      </c>
      <c r="C86" s="286" t="inlineStr">
        <is>
          <t>For "to Door" Shipments, milestone estimates are not received 7 days before of the actual Milestone event</t>
        </is>
      </c>
      <c r="D86" s="303" t="inlineStr">
        <is>
          <t>ETA accuracy 2D</t>
        </is>
      </c>
      <c r="E86" s="413" t="n"/>
      <c r="F86" s="413" t="n"/>
      <c r="G86" s="413" t="n"/>
      <c r="H86" s="413" t="n"/>
      <c r="I86" s="286" t="inlineStr">
        <is>
          <t>Estimates are not received 7 days before of the Actual event</t>
        </is>
      </c>
      <c r="J86" s="274">
        <f>IF(K86="","No RCA","Not received because "&amp;K86)</f>
        <v/>
      </c>
      <c r="K86" s="274" t="inlineStr">
        <is>
          <t>CW1 lacks chronological sequence validation</t>
        </is>
      </c>
      <c r="L86" s="274">
        <f>_xlfn.XLOOKUP(K86,Rootcauses!$B$2:$B$21,Rootcauses!$D$2:$D$21)</f>
        <v/>
      </c>
      <c r="M86" s="274">
        <f>_xlfn.XLOOKUP(K86,Rootcauses!$B$2:$B$21,Rootcauses!$E$2:$E$21)</f>
        <v/>
      </c>
      <c r="N86" s="274">
        <f>_xlfn.XLOOKUP(K86,Rootcauses!$B$2:$B$21,Rootcauses!$F$2:$F$21)</f>
        <v/>
      </c>
      <c r="O86">
        <f>B86&amp;"- "&amp;I86&amp;" - "&amp;J86</f>
        <v/>
      </c>
    </row>
    <row r="87" ht="89" customHeight="1" s="340">
      <c r="A87" s="232" t="n">
        <v>86</v>
      </c>
      <c r="B87" s="198" t="inlineStr">
        <is>
          <t xml:space="preserve">SC3 – S31 </t>
        </is>
      </c>
      <c r="C87" s="286" t="inlineStr">
        <is>
          <t>For "to Door" Shipments, milestone estimates are not received 7 days before of the actual Milestone event</t>
        </is>
      </c>
      <c r="D87" s="303" t="inlineStr">
        <is>
          <t>ETA accuracy 2D</t>
        </is>
      </c>
      <c r="E87" s="413" t="n"/>
      <c r="F87" s="413" t="n"/>
      <c r="G87" s="413" t="n"/>
      <c r="H87" s="413" t="n"/>
      <c r="I87" s="286" t="inlineStr">
        <is>
          <t>Estimates are not received 7 days before of the Actual event</t>
        </is>
      </c>
      <c r="J87" s="274">
        <f>IF(K87="","No RCA","Not received because "&amp;K87)</f>
        <v/>
      </c>
      <c r="K87" s="274" t="inlineStr">
        <is>
          <t>CW1 lacks chronological sequence validation</t>
        </is>
      </c>
      <c r="L87" s="274">
        <f>_xlfn.XLOOKUP(K87,Rootcauses!$B$2:$B$21,Rootcauses!$D$2:$D$21)</f>
        <v/>
      </c>
      <c r="M87" s="274">
        <f>_xlfn.XLOOKUP(K87,Rootcauses!$B$2:$B$21,Rootcauses!$E$2:$E$21)</f>
        <v/>
      </c>
      <c r="N87" s="274">
        <f>_xlfn.XLOOKUP(K87,Rootcauses!$B$2:$B$21,Rootcauses!$F$2:$F$21)</f>
        <v/>
      </c>
      <c r="O87">
        <f>B87&amp;"- "&amp;I87&amp;" - "&amp;J87</f>
        <v/>
      </c>
    </row>
    <row r="88" ht="89" customHeight="1" s="340">
      <c r="A88" s="232" t="n">
        <v>87</v>
      </c>
      <c r="B88" s="237" t="inlineStr">
        <is>
          <t xml:space="preserve">SC4 - &lt;Origin&gt; </t>
        </is>
      </c>
      <c r="C88" s="286" t="inlineStr">
        <is>
          <t>Shipment received by Bosch doesn't have the CIV or DN reference</t>
        </is>
      </c>
      <c r="D88" s="413" t="n"/>
      <c r="E88" s="413" t="n"/>
      <c r="F88" s="413" t="n"/>
      <c r="G88" s="413" t="n"/>
      <c r="H88" s="413" t="n"/>
      <c r="I88" s="286" t="inlineStr">
        <is>
          <t>Shipment received by Bosch doesn't have the CIV or DN reference</t>
        </is>
      </c>
      <c r="J88" s="274">
        <f>IF(K88="","No RCA","Not received because "&amp;K88)</f>
        <v/>
      </c>
      <c r="K88" s="274" t="inlineStr">
        <is>
          <t>The refrences are not updated from CIV or PKL docs</t>
        </is>
      </c>
      <c r="L88" s="274">
        <f>_xlfn.XLOOKUP(K88,Rootcauses!$B$2:$B$21,Rootcauses!$D$2:$D$21)</f>
        <v/>
      </c>
      <c r="M88" s="274">
        <f>_xlfn.XLOOKUP(K88,Rootcauses!$B$2:$B$21,Rootcauses!$E$2:$E$21)</f>
        <v/>
      </c>
      <c r="N88" s="274">
        <f>_xlfn.XLOOKUP(K88,Rootcauses!$B$2:$B$21,Rootcauses!$F$2:$F$21)</f>
        <v/>
      </c>
      <c r="O88">
        <f>B88&amp;"- "&amp;I88&amp;" - "&amp;J88</f>
        <v/>
      </c>
    </row>
    <row r="89" ht="89" customHeight="1" s="340">
      <c r="A89" s="232" t="n">
        <v>88</v>
      </c>
      <c r="B89" s="237" t="inlineStr">
        <is>
          <t xml:space="preserve">SC4 - &lt;Origin&gt; </t>
        </is>
      </c>
      <c r="C89" s="286" t="inlineStr">
        <is>
          <t>Shipment received by Bosch has the CIV or DN reference  but do not have the correct data</t>
        </is>
      </c>
      <c r="D89" s="413" t="n"/>
      <c r="E89" s="413" t="n"/>
      <c r="F89" s="413" t="n"/>
      <c r="G89" s="413" t="n"/>
      <c r="H89" s="413" t="n"/>
      <c r="I89" s="286" t="inlineStr">
        <is>
          <t>Shipment received by Bosch has the CIV or DN reference  but do not have the correct data</t>
        </is>
      </c>
      <c r="J89" s="274">
        <f>IF(K89="","No RCA","Not received because "&amp;K89)</f>
        <v/>
      </c>
      <c r="K89" s="274" t="inlineStr">
        <is>
          <t>The refrences are not updated from CIV or PKL docs</t>
        </is>
      </c>
      <c r="L89" s="274">
        <f>_xlfn.XLOOKUP(K89,Rootcauses!$B$2:$B$21,Rootcauses!$D$2:$D$21)</f>
        <v/>
      </c>
      <c r="M89" s="274">
        <f>_xlfn.XLOOKUP(K89,Rootcauses!$B$2:$B$21,Rootcauses!$E$2:$E$21)</f>
        <v/>
      </c>
      <c r="N89" s="274">
        <f>_xlfn.XLOOKUP(K89,Rootcauses!$B$2:$B$21,Rootcauses!$F$2:$F$21)</f>
        <v/>
      </c>
      <c r="O89">
        <f>B89&amp;"- "&amp;I89&amp;" - "&amp;J89</f>
        <v/>
      </c>
    </row>
  </sheetData>
  <autoFilter ref="B1:L8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E6" sqref="E6"/>
    </sheetView>
  </sheetViews>
  <sheetFormatPr baseColWidth="10" defaultRowHeight="13"/>
  <cols>
    <col width="6" customWidth="1" style="340" min="1" max="1"/>
    <col width="64.5" bestFit="1" customWidth="1" style="340" min="2" max="2"/>
    <col width="5.83203125" customWidth="1" style="340" min="3" max="3"/>
    <col width="50.5" customWidth="1" style="340" min="4" max="4"/>
    <col width="45.83203125" customWidth="1" style="340" min="5" max="5"/>
    <col width="41.5" customWidth="1" style="340" min="6" max="6"/>
  </cols>
  <sheetData>
    <row r="1">
      <c r="A1" s="291" t="inlineStr">
        <is>
          <t>Num</t>
        </is>
      </c>
      <c r="B1" s="291" t="inlineStr">
        <is>
          <t>Rootcause</t>
        </is>
      </c>
      <c r="C1" s="291" t="inlineStr">
        <is>
          <t>counter measure</t>
        </is>
      </c>
      <c r="D1" s="318" t="inlineStr">
        <is>
          <t>Measure 1</t>
        </is>
      </c>
      <c r="E1" s="318" t="inlineStr">
        <is>
          <t>Measure 2</t>
        </is>
      </c>
      <c r="F1" s="318" t="inlineStr">
        <is>
          <t>Measure 3</t>
        </is>
      </c>
    </row>
    <row r="2" ht="43" customHeight="1" s="340">
      <c r="A2" t="n">
        <v>1</v>
      </c>
      <c r="B2" s="289" t="inlineStr">
        <is>
          <t>SOP to fill CW1 fields are not followed by Operators due to lack of resources</t>
        </is>
      </c>
      <c r="C2" t="inlineStr">
        <is>
          <t>add FTEs</t>
        </is>
      </c>
      <c r="D2" s="274" t="inlineStr">
        <is>
          <t>Dedicated Ops owner is 3 most afftected Regions (GCA + NEC + CSE) to focus on completness of Manual milestones S02, S31, S00</t>
        </is>
      </c>
      <c r="E2" s="274" t="inlineStr">
        <is>
          <t>Ops retraining in Problemetic area</t>
        </is>
      </c>
      <c r="F2" s="274" t="inlineStr">
        <is>
          <t>Dedicated Ops owner is 3 most afftected Regions (GCA + NEC + CSE) to focus on Timeliness of Manual milestones S02, S31, S00</t>
        </is>
      </c>
    </row>
    <row r="3" ht="43" customHeight="1" s="340">
      <c r="A3" t="n">
        <v>2</v>
      </c>
      <c r="B3" s="290" t="inlineStr">
        <is>
          <t>CW1 configurations are not set up correctly to handle Bosch requirements</t>
        </is>
      </c>
      <c r="C3" t="inlineStr">
        <is>
          <t>Tech workflow</t>
        </is>
      </c>
      <c r="D3" s="274" t="inlineStr">
        <is>
          <t>Implement Mandatory Field Validation in CW1 , causing EDI faliure</t>
        </is>
      </c>
      <c r="E3" s="274" t="inlineStr">
        <is>
          <t xml:space="preserve">Review the legacy system shipments flow for the branch in Japan </t>
        </is>
      </c>
      <c r="F3" s="274" t="inlineStr">
        <is>
          <t>Review the legacy system shipments flow for the branch in Japan</t>
        </is>
      </c>
    </row>
    <row r="4" ht="43" customHeight="1" s="340">
      <c r="A4" t="n">
        <v>3</v>
      </c>
      <c r="B4" s="290" t="inlineStr">
        <is>
          <t>CW1 lacks chronological sequence validation</t>
        </is>
      </c>
      <c r="C4" t="inlineStr">
        <is>
          <t>Tech workflow</t>
        </is>
      </c>
      <c r="D4" s="274" t="inlineStr">
        <is>
          <t>Implement date sequence field validation in CW1 for Milestone</t>
        </is>
      </c>
      <c r="E4" s="274" t="inlineStr">
        <is>
          <t>Optmise automation flow of ETD / ETA Milestones in operation system (CW1)</t>
        </is>
      </c>
      <c r="F4" s="274" t="inlineStr">
        <is>
          <t>Add Plausibility Measures into the Control Tower Dashboard</t>
        </is>
      </c>
    </row>
    <row r="5" ht="43" customHeight="1" s="340">
      <c r="A5" t="n">
        <v>4</v>
      </c>
      <c r="B5" s="289" t="inlineStr">
        <is>
          <t>The Consol is not attached to shipment with "is Linked" Flag</t>
        </is>
      </c>
      <c r="D5" s="274" t="inlineStr">
        <is>
          <t>Optimise automation flow of ETD / ETA Milestones in operation system (CW1)</t>
        </is>
      </c>
      <c r="E5" s="274" t="n"/>
      <c r="F5" s="274" t="n"/>
    </row>
    <row r="6" ht="43" customHeight="1" s="340">
      <c r="A6" t="n">
        <v>5</v>
      </c>
      <c r="B6" s="292" t="inlineStr">
        <is>
          <t>The HBL div mode is changed after receiving</t>
        </is>
      </c>
      <c r="D6" s="274" t="inlineStr">
        <is>
          <t>TS to review and address the data fields completition across Maersk systems (CW1, ALP, Seeburger) causing failures in the EDI delivery of critical milestones to Bosch system</t>
        </is>
      </c>
      <c r="E6" s="274" t="inlineStr">
        <is>
          <t>Fix S45 trigger based on the HBL div mode</t>
        </is>
      </c>
      <c r="F6" s="274" t="n"/>
    </row>
    <row r="7" ht="43" customHeight="1" s="340">
      <c r="A7" t="n">
        <v>6</v>
      </c>
      <c r="B7" s="289" t="inlineStr">
        <is>
          <t>The refrences are not updated from CIV or PKL docs</t>
        </is>
      </c>
      <c r="D7" s="274" t="inlineStr">
        <is>
          <t>Review Feasibility of Compliance AI Tool Matching Invoice &amp; Delivery Note Numbers</t>
        </is>
      </c>
      <c r="E7" s="274" t="inlineStr">
        <is>
          <t>Ops retraining in Problemetic area</t>
        </is>
      </c>
      <c r="F7" s="274" t="inlineStr">
        <is>
          <t>Ramp up SC3 Volume from 40% to 80%</t>
        </is>
      </c>
    </row>
    <row r="8" ht="43" customHeight="1" s="340">
      <c r="A8" t="n">
        <v>7</v>
      </c>
      <c r="B8" s="289" t="inlineStr">
        <is>
          <t>Manual milestones not updated on time by Operators due to lack of resources</t>
        </is>
      </c>
      <c r="C8" t="inlineStr">
        <is>
          <t>add FTEs</t>
        </is>
      </c>
      <c r="D8" s="274" t="inlineStr">
        <is>
          <t>Dedicated Ops owner is 3 most afftected Regions (GCA + NEC + CSE) to focus on completness of Manual milestones S02, S31, S00</t>
        </is>
      </c>
      <c r="E8" s="274" t="inlineStr">
        <is>
          <t>Dedicated Ops owner is 3 most afftected Regions (GCA + NEC + CSE) to focus on Timeliness of Manual milestones S02, S31, S00</t>
        </is>
      </c>
      <c r="F8" s="274" t="n"/>
    </row>
    <row r="9" ht="43" customHeight="1" s="340">
      <c r="A9" t="n">
        <v>8</v>
      </c>
      <c r="B9" s="292" t="inlineStr">
        <is>
          <t>The Estimate updated too late in the lifecycle</t>
        </is>
      </c>
      <c r="D9" s="274" t="inlineStr">
        <is>
          <t>Optimise automation flow of ETD / ETA Milestones in operation system (CW1)</t>
        </is>
      </c>
      <c r="E9" s="274" t="inlineStr">
        <is>
          <t>Ops retraining in Problemetic area</t>
        </is>
      </c>
      <c r="F9" s="274" t="n"/>
    </row>
    <row r="10" ht="43" customHeight="1" s="340">
      <c r="A10" t="n">
        <v>9</v>
      </c>
      <c r="B10" s="289" t="inlineStr">
        <is>
          <t>Milestone is dependent on Manual input and is missed due to Lack of resources</t>
        </is>
      </c>
      <c r="C10" t="inlineStr">
        <is>
          <t>add FTEs</t>
        </is>
      </c>
      <c r="D10" s="274" t="inlineStr">
        <is>
          <t>Dedicated Ops owner is 3 most afftected Regions (GCA + NEC + CSE) to focus on completness of Manual milestones S02, S31, S00</t>
        </is>
      </c>
      <c r="E10" s="274" t="inlineStr">
        <is>
          <t>Dedicated Ops owner is 3 most afftected Regions (GCA + NEC + CSE) to focus on Timeliness of Manual milestones S02, S31, S00</t>
        </is>
      </c>
      <c r="F10" s="274" t="n"/>
    </row>
    <row r="11" ht="43" customHeight="1" s="340">
      <c r="A11" t="n">
        <v>10</v>
      </c>
      <c r="B11" s="290" t="inlineStr">
        <is>
          <t>The Automation of the Milestones is not working based the DEX events</t>
        </is>
      </c>
      <c r="C11" t="inlineStr">
        <is>
          <t>Tech workflow</t>
        </is>
      </c>
      <c r="D11" s="274" t="inlineStr">
        <is>
          <t>Retrigger missing Milestones for delivered Shipments</t>
        </is>
      </c>
      <c r="E11" s="274" t="n"/>
      <c r="F11" s="274" t="n"/>
    </row>
    <row r="12" ht="43" customHeight="1" s="340">
      <c r="A12" t="n">
        <v>11</v>
      </c>
      <c r="B12" s="289" t="inlineStr">
        <is>
          <t>Ops discipline in updating refrences in MY, TH</t>
        </is>
      </c>
      <c r="C12" s="198" t="n"/>
      <c r="D12" s="274" t="inlineStr">
        <is>
          <t>Ops retraining in Problemetic area</t>
        </is>
      </c>
      <c r="E12" s="274" t="n"/>
      <c r="F12" s="274" t="n"/>
    </row>
    <row r="13" ht="43" customHeight="1" s="340">
      <c r="A13" t="n">
        <v>12</v>
      </c>
    </row>
    <row r="14" ht="43" customHeight="1" s="340">
      <c r="A14" t="n">
        <v>13</v>
      </c>
    </row>
    <row r="15" ht="43" customHeight="1" s="340">
      <c r="A15" t="n">
        <v>14</v>
      </c>
    </row>
    <row r="16" ht="43" customHeight="1" s="340">
      <c r="A16" t="n">
        <v>15</v>
      </c>
    </row>
    <row r="17" ht="43" customHeight="1" s="340">
      <c r="A17" t="n">
        <v>16</v>
      </c>
    </row>
    <row r="18" ht="43" customHeight="1" s="340">
      <c r="A18" t="n">
        <v>17</v>
      </c>
    </row>
    <row r="19" ht="43" customHeight="1" s="340">
      <c r="A19" t="n">
        <v>18</v>
      </c>
    </row>
    <row r="20" ht="43" customHeight="1" s="340">
      <c r="A20" t="n">
        <v>19</v>
      </c>
    </row>
    <row r="21" ht="43" customHeight="1" s="340">
      <c r="A21" t="n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topLeftCell="A9" workbookViewId="0">
      <selection activeCell="G19" sqref="G19"/>
    </sheetView>
  </sheetViews>
  <sheetFormatPr baseColWidth="10" defaultRowHeight="41" customHeight="1"/>
  <cols>
    <col width="45.1640625" customWidth="1" style="340" min="2" max="2"/>
    <col width="25.83203125" customWidth="1" style="340" min="3" max="3"/>
    <col width="110.33203125" bestFit="1" customWidth="1" style="340" min="7" max="7"/>
  </cols>
  <sheetData>
    <row r="1" ht="41" customHeight="1" s="340">
      <c r="A1" s="368" t="inlineStr">
        <is>
          <t>Nr.</t>
        </is>
      </c>
      <c r="B1" s="370" t="inlineStr">
        <is>
          <t>Measures</t>
        </is>
      </c>
      <c r="C1" s="372" t="inlineStr">
        <is>
          <t>Category</t>
        </is>
      </c>
      <c r="D1" s="350" t="inlineStr">
        <is>
          <t>Responsible</t>
        </is>
      </c>
      <c r="E1" s="382" t="n"/>
      <c r="F1" s="434" t="n"/>
      <c r="G1" s="372" t="inlineStr">
        <is>
          <t>Link to RootCause</t>
        </is>
      </c>
    </row>
    <row r="2" ht="41" customHeight="1" s="340">
      <c r="A2" s="435" t="n"/>
      <c r="B2" s="436" t="n"/>
      <c r="C2" s="436" t="n"/>
      <c r="D2" s="437" t="n"/>
      <c r="E2" s="438" t="n"/>
      <c r="F2" s="439" t="n"/>
      <c r="G2" s="436" t="n"/>
    </row>
    <row r="3" ht="41" customHeight="1" s="340">
      <c r="A3" s="116" t="n">
        <v>1</v>
      </c>
      <c r="B3" s="198" t="inlineStr">
        <is>
          <t>TS to review and address the data fields completition across Maersk systems (CW1, ALP, Seeburger) causing failures in the EDI delivery of critical milestones to Bosch system</t>
        </is>
      </c>
      <c r="C3" s="354" t="inlineStr">
        <is>
          <t>Completeness</t>
        </is>
      </c>
      <c r="D3" s="345" t="inlineStr">
        <is>
          <t>Maersk ( Akhil)</t>
        </is>
      </c>
      <c r="E3" s="428" t="n"/>
      <c r="F3" s="429" t="n"/>
      <c r="G3" s="201">
        <f t="array" ref="G3">_xlfn.TEXTJOIN(", ", TRUE, IF('Mapping Prob-Root'!$L$2:$L$100 = B3, 'Mapping Prob-Root'!$A$2:$A$100, ""))&amp;" "&amp;
_xlfn.TEXTJOIN(", ", TRUE, IF('Mapping Prob-Root'!$M$2:$M$100 = B3, 'Mapping Prob-Root'!$A$2:$A$100, ""))&amp;" "&amp;
_xlfn.TEXTJOIN(", ", TRUE, IF('Mapping Prob-Root'!$N$2:$N$100 = B3, 'Mapping Prob-Root'!$A$2:$A$100, ""))</f>
        <v/>
      </c>
    </row>
    <row r="4" ht="41" customHeight="1" s="340">
      <c r="A4" s="117" t="n">
        <v>2</v>
      </c>
      <c r="B4" s="198" t="inlineStr">
        <is>
          <t>TS to review and address the data fields completition across Maersk systems (CW1, ALP, Seeburger) causing failures in the EDI delivery of critical milestones to Bosch system</t>
        </is>
      </c>
      <c r="C4" s="354" t="inlineStr">
        <is>
          <t>Timeliness</t>
        </is>
      </c>
      <c r="D4" s="345" t="inlineStr">
        <is>
          <t>Maersk ( Akhil)</t>
        </is>
      </c>
      <c r="E4" s="428" t="n"/>
      <c r="F4" s="429" t="n"/>
      <c r="G4" s="201">
        <f t="array" ref="G4">_xlfn.TEXTJOIN(", ", TRUE, IF('Mapping Prob-Root'!$L$2:$L$100 = B4, 'Mapping Prob-Root'!$A$2:$A$100, ""))&amp;" "&amp;
_xlfn.TEXTJOIN(", ", TRUE, IF('Mapping Prob-Root'!$M$2:$M$100 = B4, 'Mapping Prob-Root'!$A$2:$A$100, ""))&amp;" "&amp;
_xlfn.TEXTJOIN(", ", TRUE, IF('Mapping Prob-Root'!$N$2:$N$100 = B4, 'Mapping Prob-Root'!$A$2:$A$100, ""))</f>
        <v/>
      </c>
    </row>
    <row r="5" ht="41" customHeight="1" s="340">
      <c r="A5" s="116" t="n">
        <v>3</v>
      </c>
      <c r="B5" s="198" t="inlineStr">
        <is>
          <t>Optmise automation flow of ETD / ETA Milestones in operation system (CW1)</t>
        </is>
      </c>
      <c r="C5" s="354" t="inlineStr">
        <is>
          <t>ETA accuracy 2P</t>
        </is>
      </c>
      <c r="D5" s="345" t="inlineStr">
        <is>
          <t>Maersk (Timmy)</t>
        </is>
      </c>
      <c r="E5" s="428" t="n"/>
      <c r="F5" s="429" t="n"/>
      <c r="G5" s="201">
        <f t="array" ref="G5">_xlfn.TEXTJOIN(", ", TRUE, IF('Mapping Prob-Root'!$L$2:$L$100 = B5, 'Mapping Prob-Root'!$A$2:$A$100, ""))&amp;" "&amp;
_xlfn.TEXTJOIN(", ", TRUE, IF('Mapping Prob-Root'!$M$2:$M$100 = B5, 'Mapping Prob-Root'!$A$2:$A$100, ""))&amp;" "&amp;
_xlfn.TEXTJOIN(", ", TRUE, IF('Mapping Prob-Root'!$N$2:$N$100 = B5, 'Mapping Prob-Root'!$A$2:$A$100, ""))</f>
        <v/>
      </c>
    </row>
    <row r="6" ht="41" customHeight="1" s="340">
      <c r="A6" s="116" t="n">
        <v>4</v>
      </c>
      <c r="B6" s="198" t="inlineStr">
        <is>
          <t>Ramp up SC3 Volume from 40% to 80%</t>
        </is>
      </c>
      <c r="C6" s="354" t="inlineStr">
        <is>
          <t>Completeness (All)</t>
        </is>
      </c>
      <c r="D6" s="345" t="inlineStr">
        <is>
          <t>Bosch</t>
        </is>
      </c>
      <c r="E6" s="428" t="n"/>
      <c r="F6" s="429" t="n"/>
      <c r="G6" s="201">
        <f t="array" ref="G6">_xlfn.TEXTJOIN(", ", TRUE, IF('Mapping Prob-Root'!$L$2:$L$100 = B6, 'Mapping Prob-Root'!$A$2:$A$100, ""))&amp;" "&amp;
_xlfn.TEXTJOIN(", ", TRUE, IF('Mapping Prob-Root'!$M$2:$M$100 = B6, 'Mapping Prob-Root'!$A$2:$A$100, ""))&amp;" "&amp;
_xlfn.TEXTJOIN(", ", TRUE, IF('Mapping Prob-Root'!$N$2:$N$100 = B6, 'Mapping Prob-Root'!$A$2:$A$100, ""))</f>
        <v/>
      </c>
    </row>
    <row r="7" ht="41" customHeight="1" s="340">
      <c r="A7" s="116" t="n">
        <v>5</v>
      </c>
      <c r="B7" s="198" t="inlineStr">
        <is>
          <t>Ramp up SC3 Volume from 40% to 80%</t>
        </is>
      </c>
      <c r="C7" s="354" t="inlineStr">
        <is>
          <t>Timeliness (All)</t>
        </is>
      </c>
      <c r="D7" s="345" t="inlineStr">
        <is>
          <t>Bosch</t>
        </is>
      </c>
      <c r="E7" s="428" t="n"/>
      <c r="F7" s="429" t="n"/>
      <c r="G7" s="201">
        <f t="array" ref="G7">_xlfn.TEXTJOIN(", ", TRUE, IF('Mapping Prob-Root'!$L$2:$L$100 = B7, 'Mapping Prob-Root'!$A$2:$A$100, ""))&amp;" "&amp;
_xlfn.TEXTJOIN(", ", TRUE, IF('Mapping Prob-Root'!$M$2:$M$100 = B7, 'Mapping Prob-Root'!$A$2:$A$100, ""))&amp;" "&amp;
_xlfn.TEXTJOIN(", ", TRUE, IF('Mapping Prob-Root'!$N$2:$N$100 = B7, 'Mapping Prob-Root'!$A$2:$A$100, ""))</f>
        <v/>
      </c>
    </row>
    <row r="8" ht="41" customHeight="1" s="340">
      <c r="A8" s="116" t="n">
        <v>6</v>
      </c>
      <c r="B8" s="198" t="inlineStr">
        <is>
          <t>Ramp up SC3 Volume from 40% to 80%</t>
        </is>
      </c>
      <c r="C8" s="354" t="inlineStr">
        <is>
          <t>Reference Quality</t>
        </is>
      </c>
      <c r="D8" s="345" t="inlineStr">
        <is>
          <t>Bosch</t>
        </is>
      </c>
      <c r="E8" s="428" t="n"/>
      <c r="F8" s="429" t="n"/>
      <c r="G8" s="201">
        <f t="array" ref="G8">_xlfn.TEXTJOIN(", ", TRUE, IF('Mapping Prob-Root'!$L$2:$L$100 = B8, 'Mapping Prob-Root'!$A$2:$A$100, ""))&amp;" "&amp;
_xlfn.TEXTJOIN(", ", TRUE, IF('Mapping Prob-Root'!$M$2:$M$100 = B8, 'Mapping Prob-Root'!$A$2:$A$100, ""))&amp;" "&amp;
_xlfn.TEXTJOIN(", ", TRUE, IF('Mapping Prob-Root'!$N$2:$N$100 = B8, 'Mapping Prob-Root'!$A$2:$A$100, ""))</f>
        <v/>
      </c>
    </row>
    <row r="9" ht="41" customHeight="1" s="340">
      <c r="A9" s="116" t="n">
        <v>7</v>
      </c>
      <c r="B9" s="198" t="inlineStr">
        <is>
          <t>Optimise automation flow of ETD / ETA Milestones in operation system (CW1)</t>
        </is>
      </c>
      <c r="C9" s="354" t="inlineStr">
        <is>
          <t>ETA accuracy 2D</t>
        </is>
      </c>
      <c r="D9" s="345" t="inlineStr">
        <is>
          <t>Maersk (Timmy)</t>
        </is>
      </c>
      <c r="E9" s="428" t="n"/>
      <c r="F9" s="429" t="n"/>
      <c r="G9" s="201">
        <f t="array" ref="G9">_xlfn.TEXTJOIN(", ", TRUE, IF('Mapping Prob-Root'!$L$2:$L$100 = B9, 'Mapping Prob-Root'!$A$2:$A$100, ""))&amp;" "&amp;
_xlfn.TEXTJOIN(", ", TRUE, IF('Mapping Prob-Root'!$M$2:$M$100 = B9, 'Mapping Prob-Root'!$A$2:$A$100, ""))&amp;" "&amp;
_xlfn.TEXTJOIN(", ", TRUE, IF('Mapping Prob-Root'!$N$2:$N$100 = B9, 'Mapping Prob-Root'!$A$2:$A$100, ""))</f>
        <v/>
      </c>
    </row>
    <row r="10" ht="41" customHeight="1" s="340">
      <c r="A10" s="73" t="n">
        <v>8</v>
      </c>
      <c r="B10" s="198" t="inlineStr">
        <is>
          <t>Implement Mandatory Field Validation in CW1 , causing EDI faliure</t>
        </is>
      </c>
      <c r="C10" s="354" t="inlineStr">
        <is>
          <t>Timeliness</t>
        </is>
      </c>
      <c r="D10" s="345" t="inlineStr">
        <is>
          <t>Maersk (Timmy)</t>
        </is>
      </c>
      <c r="E10" s="428" t="n"/>
      <c r="F10" s="429" t="n"/>
      <c r="G10" s="201">
        <f t="array" ref="G10">_xlfn.TEXTJOIN(", ", TRUE, IF('Mapping Prob-Root'!$L$2:$L$100 = B10, 'Mapping Prob-Root'!$A$2:$A$100, ""))&amp;" "&amp;
_xlfn.TEXTJOIN(", ", TRUE, IF('Mapping Prob-Root'!$M$2:$M$100 = B10, 'Mapping Prob-Root'!$A$2:$A$100, ""))&amp;" "&amp;
_xlfn.TEXTJOIN(", ", TRUE, IF('Mapping Prob-Root'!$N$2:$N$100 = B10, 'Mapping Prob-Root'!$A$2:$A$100, ""))</f>
        <v/>
      </c>
    </row>
    <row r="11" ht="41" customHeight="1" s="340">
      <c r="A11" s="73" t="n">
        <v>9</v>
      </c>
      <c r="B11" s="198" t="inlineStr">
        <is>
          <t>Review Feasibility of Compliance AI Tool Matching Invoice &amp; Delivery Note Numbers</t>
        </is>
      </c>
      <c r="C11" s="354" t="inlineStr">
        <is>
          <t>Reference Quality</t>
        </is>
      </c>
      <c r="D11" s="345" t="inlineStr">
        <is>
          <t>Maersk (Harsh)</t>
        </is>
      </c>
      <c r="E11" s="428" t="n"/>
      <c r="F11" s="429" t="n"/>
      <c r="G11" s="201">
        <f t="array" ref="G11">_xlfn.TEXTJOIN(", ", TRUE, IF('Mapping Prob-Root'!$L$2:$L$100 = B11, 'Mapping Prob-Root'!$A$2:$A$100, ""))&amp;" "&amp;
_xlfn.TEXTJOIN(", ", TRUE, IF('Mapping Prob-Root'!$M$2:$M$100 = B11, 'Mapping Prob-Root'!$A$2:$A$100, ""))&amp;" "&amp;
_xlfn.TEXTJOIN(", ", TRUE, IF('Mapping Prob-Root'!$N$2:$N$100 = B11, 'Mapping Prob-Root'!$A$2:$A$100, ""))</f>
        <v/>
      </c>
    </row>
    <row r="12" ht="41" customHeight="1" s="340">
      <c r="A12" s="73" t="n">
        <v>10</v>
      </c>
      <c r="B12" s="198" t="inlineStr">
        <is>
          <t>Review the legacy system shipments flow for the branch in Japan</t>
        </is>
      </c>
      <c r="C12" s="354" t="inlineStr">
        <is>
          <t>Completeness</t>
        </is>
      </c>
      <c r="D12" s="345" t="inlineStr">
        <is>
          <t>Maersk ( Josh)</t>
        </is>
      </c>
      <c r="E12" s="428" t="n"/>
      <c r="F12" s="429" t="n"/>
      <c r="G12" s="201">
        <f t="array" ref="G12">_xlfn.TEXTJOIN(", ", TRUE, IF('Mapping Prob-Root'!$L$2:$L$100 = B12, 'Mapping Prob-Root'!$A$2:$A$100, ""))&amp;" "&amp;
_xlfn.TEXTJOIN(", ", TRUE, IF('Mapping Prob-Root'!$M$2:$M$100 = B12, 'Mapping Prob-Root'!$A$2:$A$100, ""))&amp;" "&amp;
_xlfn.TEXTJOIN(", ", TRUE, IF('Mapping Prob-Root'!$N$2:$N$100 = B12, 'Mapping Prob-Root'!$A$2:$A$100, ""))</f>
        <v/>
      </c>
    </row>
    <row r="13" ht="41" customHeight="1" s="340">
      <c r="A13" s="73" t="n">
        <v>11</v>
      </c>
      <c r="B13" s="198" t="inlineStr">
        <is>
          <t xml:space="preserve">Review the legacy system shipments flow for the branch in Japan </t>
        </is>
      </c>
      <c r="C13" s="354" t="inlineStr">
        <is>
          <t>Timeliness</t>
        </is>
      </c>
      <c r="D13" s="345" t="inlineStr">
        <is>
          <t>Maersk ( Josh)</t>
        </is>
      </c>
      <c r="E13" s="428" t="n"/>
      <c r="F13" s="429" t="n"/>
      <c r="G13" s="201">
        <f t="array" ref="G13">_xlfn.TEXTJOIN(", ", TRUE, IF('Mapping Prob-Root'!$L$2:$L$100 = B13, 'Mapping Prob-Root'!$A$2:$A$100, ""))&amp;" "&amp;
_xlfn.TEXTJOIN(", ", TRUE, IF('Mapping Prob-Root'!$M$2:$M$100 = B13, 'Mapping Prob-Root'!$A$2:$A$100, ""))&amp;" "&amp;
_xlfn.TEXTJOIN(", ", TRUE, IF('Mapping Prob-Root'!$N$2:$N$100 = B13, 'Mapping Prob-Root'!$A$2:$A$100, ""))</f>
        <v/>
      </c>
    </row>
    <row r="14" ht="41" customHeight="1" s="340">
      <c r="A14" s="73" t="n">
        <v>12</v>
      </c>
      <c r="B14" s="198" t="inlineStr">
        <is>
          <t>Add Plausibility Measures into the Control Tower Dashboard</t>
        </is>
      </c>
      <c r="C14" s="354" t="inlineStr">
        <is>
          <t>Plausability</t>
        </is>
      </c>
      <c r="D14" s="345" t="inlineStr">
        <is>
          <t>MAersk ( Jacob)</t>
        </is>
      </c>
      <c r="E14" s="428" t="n"/>
      <c r="F14" s="429" t="n"/>
      <c r="G14" s="201">
        <f t="array" ref="G14">_xlfn.TEXTJOIN(", ", TRUE, IF('Mapping Prob-Root'!$L$2:$L$100 = B14, 'Mapping Prob-Root'!$A$2:$A$100, ""))&amp;" "&amp;
_xlfn.TEXTJOIN(", ", TRUE, IF('Mapping Prob-Root'!$M$2:$M$100 = B14, 'Mapping Prob-Root'!$A$2:$A$100, ""))&amp;" "&amp;
_xlfn.TEXTJOIN(", ", TRUE, IF('Mapping Prob-Root'!$N$2:$N$100 = B14, 'Mapping Prob-Root'!$A$2:$A$100, ""))</f>
        <v/>
      </c>
    </row>
    <row r="15" ht="41" customHeight="1" s="340">
      <c r="A15" s="73" t="n">
        <v>13</v>
      </c>
      <c r="B15" s="198" t="inlineStr">
        <is>
          <t>Implement date sequence field validation in CW1 for Milestone</t>
        </is>
      </c>
      <c r="C15" s="354" t="inlineStr">
        <is>
          <t>Plausability</t>
        </is>
      </c>
      <c r="D15" s="345" t="inlineStr">
        <is>
          <t>Maersk (Timmy)</t>
        </is>
      </c>
      <c r="E15" s="428" t="n"/>
      <c r="F15" s="429" t="n"/>
      <c r="G15" s="201">
        <f t="array" ref="G15">_xlfn.TEXTJOIN(", ", TRUE, IF('Mapping Prob-Root'!$L$2:$L$100 = B15, 'Mapping Prob-Root'!$A$2:$A$100, ""))&amp;" "&amp;
_xlfn.TEXTJOIN(", ", TRUE, IF('Mapping Prob-Root'!$M$2:$M$100 = B15, 'Mapping Prob-Root'!$A$2:$A$100, ""))&amp;" "&amp;
_xlfn.TEXTJOIN(", ", TRUE, IF('Mapping Prob-Root'!$N$2:$N$100 = B15, 'Mapping Prob-Root'!$A$2:$A$100, ""))</f>
        <v/>
      </c>
    </row>
    <row r="16" ht="41" customHeight="1" s="340">
      <c r="A16" s="73" t="n">
        <v>14</v>
      </c>
      <c r="B16" s="198" t="inlineStr">
        <is>
          <t>Retrigger missing Milestones for delivered Shipments</t>
        </is>
      </c>
      <c r="C16" s="354" t="inlineStr">
        <is>
          <t>Completeness</t>
        </is>
      </c>
      <c r="D16" s="345" t="inlineStr">
        <is>
          <t>Maersk ( Alberto)</t>
        </is>
      </c>
      <c r="E16" s="428" t="n"/>
      <c r="F16" s="429" t="n"/>
      <c r="G16" s="201">
        <f t="array" ref="G16">_xlfn.TEXTJOIN(", ", TRUE, IF('Mapping Prob-Root'!$L$2:$L$100 = B16, 'Mapping Prob-Root'!$A$2:$A$100, ""))&amp;" "&amp;
_xlfn.TEXTJOIN(", ", TRUE, IF('Mapping Prob-Root'!$M$2:$M$100 = B16, 'Mapping Prob-Root'!$A$2:$A$100, ""))&amp;" "&amp;
_xlfn.TEXTJOIN(", ", TRUE, IF('Mapping Prob-Root'!$N$2:$N$100 = B16, 'Mapping Prob-Root'!$A$2:$A$100, ""))</f>
        <v/>
      </c>
    </row>
    <row r="17" ht="41" customHeight="1" s="340">
      <c r="A17" s="73" t="n">
        <v>15</v>
      </c>
      <c r="B17" s="198" t="inlineStr">
        <is>
          <t>Dedicated Ops owner is 3 most afftected Regions (GCA + NEC + CSE) to focus on completness of Manual milestones S02, S31, S00</t>
        </is>
      </c>
      <c r="C17" s="354" t="inlineStr">
        <is>
          <t>Completeness</t>
        </is>
      </c>
      <c r="D17" s="345" t="inlineStr">
        <is>
          <t>Maersk (Ops)</t>
        </is>
      </c>
      <c r="E17" s="428" t="n"/>
      <c r="F17" s="429" t="n"/>
      <c r="G17" s="201">
        <f t="array" ref="G17">_xlfn.TEXTJOIN(", ", TRUE, IF('Mapping Prob-Root'!$L$2:$L$100 = B17, 'Mapping Prob-Root'!$A$2:$A$100, ""))&amp;" "&amp;
_xlfn.TEXTJOIN(", ", TRUE, IF('Mapping Prob-Root'!$M$2:$M$100 = B17, 'Mapping Prob-Root'!$A$2:$A$100, ""))&amp;" "&amp;
_xlfn.TEXTJOIN(", ", TRUE, IF('Mapping Prob-Root'!$N$2:$N$100 = B17, 'Mapping Prob-Root'!$A$2:$A$100, ""))</f>
        <v/>
      </c>
    </row>
    <row r="18" ht="41" customHeight="1" s="340">
      <c r="A18" s="73" t="n">
        <v>16</v>
      </c>
      <c r="B18" s="198" t="inlineStr">
        <is>
          <t>Dedicated Ops owner is 3 most afftected Regions (GCA + NEC + CSE) to focus on Timeliness of Manual milestones S02, S31, S00</t>
        </is>
      </c>
      <c r="C18" s="354" t="inlineStr">
        <is>
          <t>Timeliness</t>
        </is>
      </c>
      <c r="D18" s="345" t="inlineStr">
        <is>
          <t>Maersk (Ops)</t>
        </is>
      </c>
      <c r="E18" s="428" t="n"/>
      <c r="F18" s="429" t="n"/>
      <c r="G18" s="201">
        <f t="array" ref="G18">_xlfn.TEXTJOIN(", ", TRUE, IF('Mapping Prob-Root'!$L$2:$L$100 = B18, 'Mapping Prob-Root'!$A$2:$A$100, ""))&amp;" "&amp;
_xlfn.TEXTJOIN(", ", TRUE, IF('Mapping Prob-Root'!$M$2:$M$100 = B18, 'Mapping Prob-Root'!$A$2:$A$100, ""))&amp;" "&amp;
_xlfn.TEXTJOIN(", ", TRUE, IF('Mapping Prob-Root'!$N$2:$N$100 = B18, 'Mapping Prob-Root'!$A$2:$A$100, ""))</f>
        <v/>
      </c>
    </row>
    <row r="19" ht="41" customHeight="1" s="340">
      <c r="A19" s="116" t="n">
        <v>17</v>
      </c>
      <c r="B19" s="198" t="inlineStr">
        <is>
          <t>Ops retraining in Problemetic area</t>
        </is>
      </c>
      <c r="C19" s="354" t="inlineStr">
        <is>
          <t>Reference Quality</t>
        </is>
      </c>
      <c r="D19" s="345" t="inlineStr">
        <is>
          <t>Maersk (Ops)</t>
        </is>
      </c>
      <c r="E19" s="428" t="n"/>
      <c r="F19" s="429" t="n"/>
      <c r="G19" s="201">
        <f t="array" ref="G19">_xlfn.TEXTJOIN(", ", TRUE, IF('Mapping Prob-Root'!$L$2:$L$100 = B19, 'Mapping Prob-Root'!$A$2:$A$100, ""))&amp;" "&amp;
_xlfn.TEXTJOIN(", ", TRUE, IF('Mapping Prob-Root'!$M$2:$M$100 = B19, 'Mapping Prob-Root'!$A$2:$A$100, ""))&amp;" "&amp;
_xlfn.TEXTJOIN(", ", TRUE, IF('Mapping Prob-Root'!$N$2:$N$100 = B19, 'Mapping Prob-Root'!$A$2:$A$100, ""))</f>
        <v/>
      </c>
    </row>
    <row r="20" ht="41" customHeight="1" s="340">
      <c r="A20" s="421" t="n">
        <v>18</v>
      </c>
      <c r="B20" s="422" t="inlineStr">
        <is>
          <t>Fix S45 trigger based on the HBL div mode</t>
        </is>
      </c>
      <c r="C20" s="424" t="inlineStr">
        <is>
          <t>Completeness (All)</t>
        </is>
      </c>
      <c r="D20" s="345" t="inlineStr">
        <is>
          <t>Maersk (Timmy)</t>
        </is>
      </c>
      <c r="E20" s="428" t="n"/>
      <c r="F20" s="429" t="n"/>
      <c r="G20" s="423">
        <f t="array" ref="G20">_xlfn.TEXTJOIN(", ", TRUE, IF('Mapping Prob-Root'!$L$2:$L$100 = B20, 'Mapping Prob-Root'!$A$2:$A$100, ""))&amp;" "&amp;
_xlfn.TEXTJOIN(", ", TRUE, IF('Mapping Prob-Root'!$M$2:$M$100 = B20, 'Mapping Prob-Root'!$A$2:$A$100, ""))&amp;" "&amp;
_xlfn.TEXTJOIN(", ", TRUE, IF('Mapping Prob-Root'!$N$2:$N$100 = B20, 'Mapping Prob-Root'!$A$2:$A$100, ""))</f>
        <v/>
      </c>
    </row>
  </sheetData>
  <mergeCells count="23">
    <mergeCell ref="D13:F13"/>
    <mergeCell ref="D11:F11"/>
    <mergeCell ref="D17:F17"/>
    <mergeCell ref="C1:C2"/>
    <mergeCell ref="D7:F7"/>
    <mergeCell ref="D16:F16"/>
    <mergeCell ref="D1:F2"/>
    <mergeCell ref="D4:F4"/>
    <mergeCell ref="D18:F18"/>
    <mergeCell ref="D12:F12"/>
    <mergeCell ref="D9:F9"/>
    <mergeCell ref="B1:B2"/>
    <mergeCell ref="D3:F3"/>
    <mergeCell ref="D8:F8"/>
    <mergeCell ref="D15:F15"/>
    <mergeCell ref="D14:F14"/>
    <mergeCell ref="D5:F5"/>
    <mergeCell ref="G1:G2"/>
    <mergeCell ref="D20:F20"/>
    <mergeCell ref="D10:F10"/>
    <mergeCell ref="D19:F19"/>
    <mergeCell ref="D6:F6"/>
    <mergeCell ref="A1:A2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E15" sqref="E15"/>
    </sheetView>
  </sheetViews>
  <sheetFormatPr baseColWidth="10" defaultColWidth="8.83203125" defaultRowHeight="15"/>
  <cols>
    <col width="35" customWidth="1" style="387" min="1" max="1"/>
    <col width="12" customWidth="1" style="387" min="2" max="10"/>
    <col width="8.83203125" customWidth="1" style="387" min="11" max="16384"/>
  </cols>
  <sheetData>
    <row r="1" ht="19" customHeight="1" s="340">
      <c r="A1" s="386" t="inlineStr">
        <is>
          <t>MAERSK Milestone Performance - Current State Analysis</t>
        </is>
      </c>
    </row>
    <row r="3" ht="16" customHeight="1" s="340">
      <c r="A3" s="102" t="inlineStr">
        <is>
          <t>Overall Performance Summary</t>
        </is>
      </c>
    </row>
    <row r="5">
      <c r="A5" s="103" t="inlineStr">
        <is>
          <t>Metric</t>
        </is>
      </c>
      <c r="B5" s="103" t="inlineStr">
        <is>
          <t>Current</t>
        </is>
      </c>
      <c r="C5" s="103" t="inlineStr">
        <is>
          <t>Target</t>
        </is>
      </c>
      <c r="D5" s="103" t="inlineStr">
        <is>
          <t>Gap</t>
        </is>
      </c>
    </row>
    <row r="6">
      <c r="A6" s="387" t="inlineStr">
        <is>
          <t>Total Status Codes Required</t>
        </is>
      </c>
      <c r="B6" s="387" t="n">
        <v>43415</v>
      </c>
      <c r="C6" s="387" t="n">
        <v>43415</v>
      </c>
      <c r="D6" s="387" t="n">
        <v>0</v>
      </c>
    </row>
    <row r="7">
      <c r="A7" s="387" t="inlineStr">
        <is>
          <t>Overall Completion Rate</t>
        </is>
      </c>
      <c r="B7" s="104" t="n">
        <v>0.6649775423240816</v>
      </c>
      <c r="C7" s="104" t="n">
        <v>0.95</v>
      </c>
      <c r="D7" s="104" t="n">
        <v>0.2850224576759184</v>
      </c>
    </row>
    <row r="8">
      <c r="A8" s="387" t="inlineStr">
        <is>
          <t>Overall Timeliness Rate</t>
        </is>
      </c>
      <c r="B8" s="104" t="n">
        <v>0.4120695612115629</v>
      </c>
      <c r="C8" s="104" t="n">
        <v>0.95</v>
      </c>
      <c r="D8" s="104" t="n">
        <v>0.5379304387884372</v>
      </c>
    </row>
    <row r="11" ht="16" customHeight="1" s="340">
      <c r="A11" s="102" t="inlineStr">
        <is>
          <t>Milestone Performance Details</t>
        </is>
      </c>
    </row>
    <row r="13" ht="32" customHeight="1" s="340">
      <c r="A13" s="105" t="inlineStr">
        <is>
          <t>Milestone</t>
        </is>
      </c>
      <c r="B13" s="105" t="inlineStr">
        <is>
          <t>Required</t>
        </is>
      </c>
      <c r="C13" s="105" t="inlineStr">
        <is>
          <t>Available</t>
        </is>
      </c>
      <c r="D13" s="105" t="inlineStr">
        <is>
          <t>In Time</t>
        </is>
      </c>
      <c r="E13" s="105" t="inlineStr">
        <is>
          <t>Completion %</t>
        </is>
      </c>
      <c r="F13" s="105" t="inlineStr">
        <is>
          <t>Timeliness %</t>
        </is>
      </c>
      <c r="G13" s="105" t="inlineStr">
        <is>
          <t>Completion Gap</t>
        </is>
      </c>
      <c r="H13" s="105" t="inlineStr">
        <is>
          <t>Timeliness Gap</t>
        </is>
      </c>
      <c r="I13" s="105" t="inlineStr">
        <is>
          <t>Total Impact</t>
        </is>
      </c>
      <c r="J13" s="105" t="inlineStr">
        <is>
          <t>Cumulative %</t>
        </is>
      </c>
    </row>
    <row r="14">
      <c r="A14" s="106" t="inlineStr">
        <is>
          <t>S02 - Collected</t>
        </is>
      </c>
      <c r="B14" s="106" t="n">
        <v>5502</v>
      </c>
      <c r="C14" s="106" t="n">
        <v>4621</v>
      </c>
      <c r="D14" s="106" t="n">
        <v>1140</v>
      </c>
      <c r="E14" s="107" t="n">
        <v>0.8398764085786986</v>
      </c>
      <c r="F14" s="107" t="n">
        <v>0.2071973827699018</v>
      </c>
      <c r="G14" s="107" t="n">
        <v>0.1101235914213013</v>
      </c>
      <c r="H14" s="107" t="n">
        <v>0.7428026172300981</v>
      </c>
      <c r="I14" s="106" t="n">
        <v>4692.799999999999</v>
      </c>
      <c r="J14" s="107" t="n">
        <v>0.131</v>
      </c>
    </row>
    <row r="15">
      <c r="A15" s="106" t="inlineStr">
        <is>
          <t>S31 - Delivered</t>
        </is>
      </c>
      <c r="B15" s="106" t="n">
        <v>4464</v>
      </c>
      <c r="C15" s="106" t="n">
        <v>3387</v>
      </c>
      <c r="D15" s="106" t="n">
        <v>1761</v>
      </c>
      <c r="E15" s="107" t="n">
        <v>0.758736559139785</v>
      </c>
      <c r="F15" s="107" t="n">
        <v>0.3944892473118279</v>
      </c>
      <c r="G15" s="107" t="n">
        <v>0.1912634408602149</v>
      </c>
      <c r="H15" s="107" t="n">
        <v>0.555510752688172</v>
      </c>
      <c r="I15" s="106" t="n">
        <v>3333.599999999999</v>
      </c>
      <c r="J15" s="107" t="n">
        <v>0.225</v>
      </c>
    </row>
    <row r="16">
      <c r="A16" s="106" t="inlineStr">
        <is>
          <t>S13 - On hand at destination SVC</t>
        </is>
      </c>
      <c r="B16" s="106" t="n">
        <v>1779</v>
      </c>
      <c r="C16" s="106" t="n">
        <v>139</v>
      </c>
      <c r="D16" s="106" t="n">
        <v>89</v>
      </c>
      <c r="E16" s="107" t="n">
        <v>0.0781337830241708</v>
      </c>
      <c r="F16" s="107" t="n">
        <v>0.0500281056773468</v>
      </c>
      <c r="G16" s="107" t="n">
        <v>0.8718662169758291</v>
      </c>
      <c r="H16" s="107" t="n">
        <v>0.8999718943226531</v>
      </c>
      <c r="I16" s="106" t="n">
        <v>3152.1</v>
      </c>
      <c r="J16" s="107" t="n">
        <v>0.313</v>
      </c>
    </row>
    <row r="17">
      <c r="A17" s="106" t="inlineStr">
        <is>
          <t>S05 - In delivery</t>
        </is>
      </c>
      <c r="B17" s="106" t="n">
        <v>2232</v>
      </c>
      <c r="C17" s="106" t="n">
        <v>686</v>
      </c>
      <c r="D17" s="106" t="n">
        <v>542</v>
      </c>
      <c r="E17" s="107" t="n">
        <v>0.307347670250896</v>
      </c>
      <c r="F17" s="107" t="n">
        <v>0.2428315412186379</v>
      </c>
      <c r="G17" s="107" t="n">
        <v>0.6426523297491039</v>
      </c>
      <c r="H17" s="107" t="n">
        <v>0.707168458781362</v>
      </c>
      <c r="I17" s="106" t="n">
        <v>3012.8</v>
      </c>
      <c r="J17" s="107" t="n">
        <v>0.397</v>
      </c>
    </row>
    <row r="18">
      <c r="A18" s="106" t="inlineStr">
        <is>
          <t>S07 - Vessel/ flight arrived</t>
        </is>
      </c>
      <c r="B18" s="106" t="n">
        <v>6636</v>
      </c>
      <c r="C18" s="106" t="n">
        <v>5890</v>
      </c>
      <c r="D18" s="106" t="n">
        <v>4338</v>
      </c>
      <c r="E18" s="107" t="n">
        <v>0.8875828812537673</v>
      </c>
      <c r="F18" s="107" t="n">
        <v>0.6537070524412296</v>
      </c>
      <c r="G18" s="107" t="n">
        <v>0.0624171187462326</v>
      </c>
      <c r="H18" s="107" t="n">
        <v>0.2962929475587703</v>
      </c>
      <c r="I18" s="106" t="n">
        <v>2380.4</v>
      </c>
      <c r="J18" s="107" t="n">
        <v>0.464</v>
      </c>
    </row>
    <row r="19">
      <c r="A19" s="106" t="inlineStr">
        <is>
          <t>S04 - Vessel/ flight departed</t>
        </is>
      </c>
      <c r="B19" s="106" t="n">
        <v>6636</v>
      </c>
      <c r="C19" s="106" t="n">
        <v>6029</v>
      </c>
      <c r="D19" s="106" t="n">
        <v>4326</v>
      </c>
      <c r="E19" s="107" t="n">
        <v>0.9085292344786016</v>
      </c>
      <c r="F19" s="107" t="n">
        <v>0.6518987341772152</v>
      </c>
      <c r="G19" s="107" t="n">
        <v>0.0414707655213983</v>
      </c>
      <c r="H19" s="107" t="n">
        <v>0.2981012658227847</v>
      </c>
      <c r="I19" s="106" t="n">
        <v>2253.399999999999</v>
      </c>
      <c r="J19" s="107" t="n">
        <v>0.527</v>
      </c>
    </row>
    <row r="20">
      <c r="A20" s="106" t="inlineStr">
        <is>
          <t>S51 - Arrived destination CFS</t>
        </is>
      </c>
      <c r="B20" s="106" t="n">
        <v>1539</v>
      </c>
      <c r="C20" s="106" t="n">
        <v>479</v>
      </c>
      <c r="D20" s="106" t="n">
        <v>322</v>
      </c>
      <c r="E20" s="107" t="n">
        <v>0.3112410656270305</v>
      </c>
      <c r="F20" s="107" t="n">
        <v>0.2092267706302794</v>
      </c>
      <c r="G20" s="107" t="n">
        <v>0.6387589343729694</v>
      </c>
      <c r="H20" s="107" t="n">
        <v>0.7407732293697206</v>
      </c>
      <c r="I20" s="106" t="n">
        <v>2123.1</v>
      </c>
      <c r="J20" s="107" t="n">
        <v>0.586</v>
      </c>
    </row>
    <row r="21">
      <c r="A21" s="106" t="inlineStr">
        <is>
          <t>S46 - Documents rcvd from shipper</t>
        </is>
      </c>
      <c r="B21" s="106" t="n">
        <v>1372</v>
      </c>
      <c r="C21" s="106" t="n">
        <v>427</v>
      </c>
      <c r="D21" s="106" t="n">
        <v>179</v>
      </c>
      <c r="E21" s="107" t="n">
        <v>0.3112244897959184</v>
      </c>
      <c r="F21" s="107" t="n">
        <v>0.130466472303207</v>
      </c>
      <c r="G21" s="107" t="n">
        <v>0.6387755102040815</v>
      </c>
      <c r="H21" s="107" t="n">
        <v>0.819533527696793</v>
      </c>
      <c r="I21" s="106" t="n">
        <v>2000.8</v>
      </c>
      <c r="J21" s="107" t="n">
        <v>0.642</v>
      </c>
    </row>
    <row r="22">
      <c r="A22" s="106" t="inlineStr">
        <is>
          <t>S00 - Shipment created</t>
        </is>
      </c>
      <c r="B22" s="106" t="n">
        <v>1372</v>
      </c>
      <c r="C22" s="106" t="n">
        <v>412</v>
      </c>
      <c r="D22" s="106" t="n">
        <v>406</v>
      </c>
      <c r="E22" s="107" t="n">
        <v>0.3002915451895043</v>
      </c>
      <c r="F22" s="107" t="n">
        <v>0.2959183673469387</v>
      </c>
      <c r="G22" s="107" t="n">
        <v>0.6497084548104957</v>
      </c>
      <c r="H22" s="107" t="n">
        <v>0.6540816326530612</v>
      </c>
      <c r="I22" s="106" t="n">
        <v>1788.8</v>
      </c>
      <c r="J22" s="107" t="n">
        <v>0.6920000000000001</v>
      </c>
    </row>
    <row r="23">
      <c r="A23" s="106" t="inlineStr">
        <is>
          <t>S17 - Tendered carrier</t>
        </is>
      </c>
      <c r="B23" s="106" t="n">
        <v>1200</v>
      </c>
      <c r="C23" s="106" t="n">
        <v>419</v>
      </c>
      <c r="D23" s="106" t="n">
        <v>204</v>
      </c>
      <c r="E23" s="107" t="n">
        <v>0.3491666666666667</v>
      </c>
      <c r="F23" s="107" t="n">
        <v>0.17</v>
      </c>
      <c r="G23" s="107" t="n">
        <v>0.6008333333333333</v>
      </c>
      <c r="H23" s="107" t="n">
        <v>0.7799999999999999</v>
      </c>
      <c r="I23" s="106" t="n">
        <v>1657</v>
      </c>
      <c r="J23" s="107" t="n">
        <v>0.7390000000000001</v>
      </c>
    </row>
    <row r="24">
      <c r="A24" s="106" t="inlineStr">
        <is>
          <t>S11 - On hand at origin Hub/ CC</t>
        </is>
      </c>
      <c r="B24" s="106" t="n">
        <v>1200</v>
      </c>
      <c r="C24" s="106" t="n">
        <v>433</v>
      </c>
      <c r="D24" s="106" t="n">
        <v>297</v>
      </c>
      <c r="E24" s="107" t="n">
        <v>0.3608333333333333</v>
      </c>
      <c r="F24" s="107" t="n">
        <v>0.2475</v>
      </c>
      <c r="G24" s="107" t="n">
        <v>0.5891666666666666</v>
      </c>
      <c r="H24" s="107" t="n">
        <v>0.7024999999999999</v>
      </c>
      <c r="I24" s="106" t="n">
        <v>1550</v>
      </c>
      <c r="J24" s="107" t="n">
        <v>0.782</v>
      </c>
    </row>
    <row r="25">
      <c r="A25" s="108" t="inlineStr">
        <is>
          <t>S16 - Shipment booked with carrier</t>
        </is>
      </c>
      <c r="B25" s="108" t="n">
        <v>1372</v>
      </c>
      <c r="C25" s="108" t="n">
        <v>715</v>
      </c>
      <c r="D25" s="108" t="n">
        <v>551</v>
      </c>
      <c r="E25" s="109" t="n">
        <v>0.5211370262390671</v>
      </c>
      <c r="F25" s="109" t="n">
        <v>0.401603498542274</v>
      </c>
      <c r="G25" s="109" t="n">
        <v>0.4288629737609328</v>
      </c>
      <c r="H25" s="109" t="n">
        <v>0.5483965014577259</v>
      </c>
      <c r="I25" s="108" t="n">
        <v>1340.799999999999</v>
      </c>
      <c r="J25" s="109" t="n">
        <v>0.82</v>
      </c>
    </row>
    <row r="26">
      <c r="A26" s="108" t="inlineStr">
        <is>
          <t>S45 - Handover to broker</t>
        </is>
      </c>
      <c r="B26" s="108" t="n">
        <v>1594</v>
      </c>
      <c r="C26" s="108" t="n">
        <v>954</v>
      </c>
      <c r="D26" s="108" t="n">
        <v>840</v>
      </c>
      <c r="E26" s="109" t="n">
        <v>0.5984943538268507</v>
      </c>
      <c r="F26" s="109" t="n">
        <v>0.5269761606022585</v>
      </c>
      <c r="G26" s="109" t="n">
        <v>0.3515056461731493</v>
      </c>
      <c r="H26" s="109" t="n">
        <v>0.4230238393977414</v>
      </c>
      <c r="I26" s="108" t="n">
        <v>1234.6</v>
      </c>
      <c r="J26" s="109" t="n">
        <v>0.8540000000000001</v>
      </c>
    </row>
    <row r="27">
      <c r="A27" s="108" t="inlineStr">
        <is>
          <t>S18 - Recovered from carrier</t>
        </is>
      </c>
      <c r="B27" s="108" t="n">
        <v>621</v>
      </c>
      <c r="C27" s="108" t="n">
        <v>40</v>
      </c>
      <c r="D27" s="108" t="n">
        <v>15</v>
      </c>
      <c r="E27" s="109" t="n">
        <v>0.0644122383252818</v>
      </c>
      <c r="F27" s="109" t="n">
        <v>0.0241545893719806</v>
      </c>
      <c r="G27" s="109" t="n">
        <v>0.8855877616747182</v>
      </c>
      <c r="H27" s="109" t="n">
        <v>0.9258454106280192</v>
      </c>
      <c r="I27" s="108" t="n">
        <v>1124.9</v>
      </c>
      <c r="J27" s="109" t="n">
        <v>0.8859999999999999</v>
      </c>
    </row>
    <row r="28">
      <c r="A28" s="108" t="inlineStr">
        <is>
          <t>S12 - On hand at destination Hub/ CC</t>
        </is>
      </c>
      <c r="B28" s="108" t="n">
        <v>621</v>
      </c>
      <c r="C28" s="108" t="n">
        <v>167</v>
      </c>
      <c r="D28" s="108" t="n">
        <v>46</v>
      </c>
      <c r="E28" s="109" t="n">
        <v>0.2689210950080515</v>
      </c>
      <c r="F28" s="109" t="n">
        <v>0.074074074074074</v>
      </c>
      <c r="G28" s="109" t="n">
        <v>0.6810789049919485</v>
      </c>
      <c r="H28" s="109" t="n">
        <v>0.8759259259259259</v>
      </c>
      <c r="I28" s="108" t="n">
        <v>966.9</v>
      </c>
      <c r="J28" s="109" t="n">
        <v>0.9129999999999999</v>
      </c>
    </row>
    <row r="29">
      <c r="A29" s="108" t="inlineStr">
        <is>
          <t>S10 - On hand at origin SVC</t>
        </is>
      </c>
      <c r="B29" s="108" t="n">
        <v>2358</v>
      </c>
      <c r="C29" s="108" t="n">
        <v>2181</v>
      </c>
      <c r="D29" s="108" t="n">
        <v>1437</v>
      </c>
      <c r="E29" s="109" t="n">
        <v>0.9249363867684478</v>
      </c>
      <c r="F29" s="109" t="n">
        <v>0.6094147582697201</v>
      </c>
      <c r="G29" s="109" t="n">
        <v>0.0250636132315521</v>
      </c>
      <c r="H29" s="109" t="n">
        <v>0.3405852417302798</v>
      </c>
      <c r="I29" s="108" t="n">
        <v>862.1999999999998</v>
      </c>
      <c r="J29" s="109" t="n">
        <v>0.9370000000000001</v>
      </c>
    </row>
    <row r="30">
      <c r="A30" s="108" t="inlineStr">
        <is>
          <t>S50 - Received origin CFS</t>
        </is>
      </c>
      <c r="B30" s="108" t="n">
        <v>1539</v>
      </c>
      <c r="C30" s="108" t="n">
        <v>1275</v>
      </c>
      <c r="D30" s="108" t="n">
        <v>841</v>
      </c>
      <c r="E30" s="109" t="n">
        <v>0.8284600389863548</v>
      </c>
      <c r="F30" s="109" t="n">
        <v>0.5464587394411956</v>
      </c>
      <c r="G30" s="109" t="n">
        <v>0.1215399610136451</v>
      </c>
      <c r="H30" s="109" t="n">
        <v>0.4035412605588043</v>
      </c>
      <c r="I30" s="108" t="n">
        <v>808.0999999999998</v>
      </c>
      <c r="J30" s="109" t="n">
        <v>0.96</v>
      </c>
    </row>
    <row r="31">
      <c r="A31" s="108" t="inlineStr">
        <is>
          <t>S54 - Full Container discharge from vessel</t>
        </is>
      </c>
      <c r="B31" s="108" t="n">
        <v>285</v>
      </c>
      <c r="C31" s="108" t="n">
        <v>33</v>
      </c>
      <c r="D31" s="108" t="n">
        <v>30</v>
      </c>
      <c r="E31" s="109" t="n">
        <v>0.1157894736842105</v>
      </c>
      <c r="F31" s="109" t="n">
        <v>0.1052631578947368</v>
      </c>
      <c r="G31" s="109" t="n">
        <v>0.8342105263157894</v>
      </c>
      <c r="H31" s="109" t="n">
        <v>0.8447368421052631</v>
      </c>
      <c r="I31" s="108" t="n">
        <v>478.5</v>
      </c>
      <c r="J31" s="109" t="n">
        <v>0.973</v>
      </c>
    </row>
    <row r="32">
      <c r="A32" s="108" t="inlineStr">
        <is>
          <t>S52 - Empty Container picked up</t>
        </is>
      </c>
      <c r="B32" s="108" t="n">
        <v>250</v>
      </c>
      <c r="C32" s="108" t="n">
        <v>76</v>
      </c>
      <c r="D32" s="108" t="n">
        <v>53</v>
      </c>
      <c r="E32" s="109" t="n">
        <v>0.304</v>
      </c>
      <c r="F32" s="109" t="n">
        <v>0.212</v>
      </c>
      <c r="G32" s="109" t="n">
        <v>0.6459999999999999</v>
      </c>
      <c r="H32" s="109" t="n">
        <v>0.738</v>
      </c>
      <c r="I32" s="108" t="n">
        <v>346</v>
      </c>
      <c r="J32" s="109" t="n">
        <v>0.983</v>
      </c>
    </row>
    <row r="33">
      <c r="A33" s="108" t="inlineStr">
        <is>
          <t>S53 - Full Container loaded on vessel</t>
        </is>
      </c>
      <c r="B33" s="108" t="n">
        <v>285</v>
      </c>
      <c r="C33" s="108" t="n">
        <v>129</v>
      </c>
      <c r="D33" s="108" t="n">
        <v>119</v>
      </c>
      <c r="E33" s="109" t="n">
        <v>0.4526315789473684</v>
      </c>
      <c r="F33" s="109" t="n">
        <v>0.4175438596491228</v>
      </c>
      <c r="G33" s="109" t="n">
        <v>0.4973684210526315</v>
      </c>
      <c r="H33" s="109" t="n">
        <v>0.5324561403508772</v>
      </c>
      <c r="I33" s="108" t="n">
        <v>293.5</v>
      </c>
      <c r="J33" s="109" t="n">
        <v>0.991</v>
      </c>
    </row>
    <row r="34">
      <c r="A34" s="108" t="inlineStr">
        <is>
          <t>S55 - Empty Container returned</t>
        </is>
      </c>
      <c r="B34" s="108" t="n">
        <v>275</v>
      </c>
      <c r="C34" s="108" t="n">
        <v>124</v>
      </c>
      <c r="D34" s="108" t="n">
        <v>113</v>
      </c>
      <c r="E34" s="109" t="n">
        <v>0.4509090909090909</v>
      </c>
      <c r="F34" s="109" t="n">
        <v>0.4109090909090909</v>
      </c>
      <c r="G34" s="109" t="n">
        <v>0.499090909090909</v>
      </c>
      <c r="H34" s="109" t="n">
        <v>0.5390909090909091</v>
      </c>
      <c r="I34" s="108" t="n">
        <v>285.5</v>
      </c>
      <c r="J34" s="109" t="n">
        <v>0.9990000000000001</v>
      </c>
    </row>
    <row r="35">
      <c r="A35" s="108" t="inlineStr">
        <is>
          <t>S60 - Pre-Booking confirmed</t>
        </is>
      </c>
      <c r="B35" s="108" t="n">
        <v>281</v>
      </c>
      <c r="C35" s="108" t="n">
        <v>252</v>
      </c>
      <c r="D35" s="108" t="n">
        <v>241</v>
      </c>
      <c r="E35" s="109" t="n">
        <v>0.896797153024911</v>
      </c>
      <c r="F35" s="109" t="n">
        <v>0.8576512455516014</v>
      </c>
      <c r="G35" s="109" t="n">
        <v>0.0532028469750889</v>
      </c>
      <c r="H35" s="109" t="n">
        <v>0.0923487544483985</v>
      </c>
      <c r="I35" s="108" t="n">
        <v>40.89999999999998</v>
      </c>
      <c r="J35" s="109" t="n">
        <v>1</v>
      </c>
    </row>
    <row r="36">
      <c r="A36" s="108" t="inlineStr">
        <is>
          <t>S61 - Pre-Booking declined</t>
        </is>
      </c>
      <c r="B36" s="108" t="n">
        <v>2</v>
      </c>
      <c r="C36" s="108" t="n">
        <v>2</v>
      </c>
      <c r="D36" s="108" t="n">
        <v>0</v>
      </c>
      <c r="E36" s="109" t="n">
        <v>1</v>
      </c>
      <c r="F36" s="109" t="n">
        <v>0</v>
      </c>
      <c r="G36" s="109" t="n">
        <v>-0.05</v>
      </c>
      <c r="H36" s="109" t="n">
        <v>0.95</v>
      </c>
      <c r="I36" s="108" t="n">
        <v>1.8</v>
      </c>
      <c r="J36" s="109" t="n">
        <v>1</v>
      </c>
    </row>
  </sheetData>
  <mergeCells count="1">
    <mergeCell ref="A1:J1"/>
  </mergeCells>
  <pageMargins left="0.75" right="0.75" top="1" bottom="1" header="0.5" footer="0.5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A4" zoomScale="186" workbookViewId="0">
      <selection activeCell="B9" sqref="B9"/>
    </sheetView>
  </sheetViews>
  <sheetFormatPr baseColWidth="10" defaultColWidth="8.83203125" defaultRowHeight="15"/>
  <cols>
    <col width="8" customWidth="1" style="387" min="1" max="1"/>
    <col width="35" customWidth="1" style="387" min="2" max="2"/>
    <col width="15" customWidth="1" style="387" min="3" max="3"/>
    <col width="18" customWidth="1" style="387" min="4" max="4"/>
    <col width="15" customWidth="1" style="387" min="5" max="5"/>
    <col width="12.83203125" bestFit="1" customWidth="1" style="387" min="6" max="6"/>
    <col width="8.83203125" customWidth="1" style="387" min="7" max="16384"/>
  </cols>
  <sheetData>
    <row r="1" ht="19" customHeight="1" s="340">
      <c r="A1" s="386" t="inlineStr">
        <is>
          <t>Pareto Analysis - 80/20 Impact</t>
        </is>
      </c>
    </row>
    <row r="3">
      <c r="A3" s="388" t="inlineStr">
        <is>
          <t>Key Insight: Top 11 milestones (48% of total) contribute 80% of the performance impact</t>
        </is>
      </c>
    </row>
    <row r="5">
      <c r="A5" s="103" t="inlineStr">
        <is>
          <t>Rank</t>
        </is>
      </c>
      <c r="B5" s="103" t="inlineStr">
        <is>
          <t>Milestone</t>
        </is>
      </c>
      <c r="C5" s="103" t="inlineStr">
        <is>
          <t>Total Impact</t>
        </is>
      </c>
      <c r="D5" s="103" t="inlineStr">
        <is>
          <t>Cumulative Impact</t>
        </is>
      </c>
      <c r="E5" s="103" t="inlineStr">
        <is>
          <t>Cumulative %</t>
        </is>
      </c>
    </row>
    <row r="6">
      <c r="A6" s="106" t="n">
        <v>1</v>
      </c>
      <c r="B6" s="106" t="inlineStr">
        <is>
          <t>S02 - Collected</t>
        </is>
      </c>
      <c r="C6" s="106" t="n">
        <v>4692.799999999999</v>
      </c>
      <c r="D6" s="106" t="n">
        <v>4692.799999999999</v>
      </c>
      <c r="E6" s="107" t="n">
        <v>0.131</v>
      </c>
      <c r="F6" s="387" t="inlineStr">
        <is>
          <t>Critical</t>
        </is>
      </c>
    </row>
    <row r="7">
      <c r="A7" s="106" t="n">
        <v>2</v>
      </c>
      <c r="B7" s="106" t="inlineStr">
        <is>
          <t>S31 - Delivered</t>
        </is>
      </c>
      <c r="C7" s="106" t="n">
        <v>3333.599999999999</v>
      </c>
      <c r="D7" s="106" t="n">
        <v>8026.399999999999</v>
      </c>
      <c r="E7" s="107" t="n">
        <v>0.225</v>
      </c>
      <c r="F7" s="387" t="inlineStr">
        <is>
          <t>Critical</t>
        </is>
      </c>
    </row>
    <row r="8">
      <c r="A8" s="106" t="n">
        <v>3</v>
      </c>
      <c r="B8" s="106" t="inlineStr">
        <is>
          <t>S13 - On hand at destination SVC</t>
        </is>
      </c>
      <c r="C8" s="106" t="n">
        <v>3152.1</v>
      </c>
      <c r="D8" s="106" t="n">
        <v>11178.5</v>
      </c>
      <c r="E8" s="107" t="n">
        <v>0.313</v>
      </c>
    </row>
    <row r="9">
      <c r="A9" s="106" t="n">
        <v>4</v>
      </c>
      <c r="B9" s="106" t="inlineStr">
        <is>
          <t>S05 - In delivery</t>
        </is>
      </c>
      <c r="C9" s="106" t="n">
        <v>3012.8</v>
      </c>
      <c r="D9" s="106" t="n">
        <v>14191.3</v>
      </c>
      <c r="E9" s="107" t="n">
        <v>0.397</v>
      </c>
      <c r="F9" s="387" t="inlineStr">
        <is>
          <t>Container Level</t>
        </is>
      </c>
    </row>
    <row r="10">
      <c r="A10" s="106" t="n">
        <v>5</v>
      </c>
      <c r="B10" s="106" t="inlineStr">
        <is>
          <t>S07 - Vessel/ flight arrived</t>
        </is>
      </c>
      <c r="C10" s="106" t="n">
        <v>2380.4</v>
      </c>
      <c r="D10" s="106" t="n">
        <v>16571.7</v>
      </c>
      <c r="E10" s="107" t="n">
        <v>0.464</v>
      </c>
      <c r="F10" s="387" t="inlineStr">
        <is>
          <t>Critical</t>
        </is>
      </c>
    </row>
    <row r="11">
      <c r="A11" s="106" t="n">
        <v>6</v>
      </c>
      <c r="B11" s="106" t="inlineStr">
        <is>
          <t>S04 - Vessel/ flight departed</t>
        </is>
      </c>
      <c r="C11" s="106" t="n">
        <v>2253.399999999999</v>
      </c>
      <c r="D11" s="106" t="n">
        <v>18825.1</v>
      </c>
      <c r="E11" s="107" t="n">
        <v>0.527</v>
      </c>
      <c r="F11" s="387" t="inlineStr">
        <is>
          <t>Critical</t>
        </is>
      </c>
    </row>
    <row r="12">
      <c r="A12" s="106" t="n">
        <v>7</v>
      </c>
      <c r="B12" s="106" t="inlineStr">
        <is>
          <t>S51 - Arrived destination CFS</t>
        </is>
      </c>
      <c r="C12" s="106" t="n">
        <v>2123.1</v>
      </c>
      <c r="D12" s="106" t="n">
        <v>20948.2</v>
      </c>
      <c r="E12" s="107" t="n">
        <v>0.586</v>
      </c>
      <c r="F12" s="387" t="inlineStr">
        <is>
          <t>Container Level</t>
        </is>
      </c>
    </row>
    <row r="13">
      <c r="A13" s="106" t="n">
        <v>8</v>
      </c>
      <c r="B13" s="106" t="inlineStr">
        <is>
          <t>S46 - Documents rcvd from shipper</t>
        </is>
      </c>
      <c r="C13" s="106" t="n">
        <v>2000.8</v>
      </c>
      <c r="D13" s="106" t="n">
        <v>22949</v>
      </c>
      <c r="E13" s="107" t="n">
        <v>0.642</v>
      </c>
    </row>
    <row r="14">
      <c r="A14" s="106" t="n">
        <v>9</v>
      </c>
      <c r="B14" s="106" t="inlineStr">
        <is>
          <t>S00 - Shipment created</t>
        </is>
      </c>
      <c r="C14" s="106" t="n">
        <v>1788.8</v>
      </c>
      <c r="D14" s="106" t="n">
        <v>24737.8</v>
      </c>
      <c r="E14" s="107" t="n">
        <v>0.6920000000000001</v>
      </c>
      <c r="F14" s="387" t="inlineStr">
        <is>
          <t>Critical</t>
        </is>
      </c>
    </row>
    <row r="15">
      <c r="A15" s="106" t="n">
        <v>10</v>
      </c>
      <c r="B15" s="106" t="inlineStr">
        <is>
          <t>S17 - Tendered carrier</t>
        </is>
      </c>
      <c r="C15" s="106" t="n">
        <v>1657</v>
      </c>
      <c r="D15" s="106" t="n">
        <v>26394.8</v>
      </c>
      <c r="E15" s="107" t="n">
        <v>0.7390000000000001</v>
      </c>
      <c r="F15" s="387" t="inlineStr">
        <is>
          <t>Container Level</t>
        </is>
      </c>
    </row>
    <row r="16">
      <c r="A16" s="106" t="n">
        <v>11</v>
      </c>
      <c r="B16" s="106" t="inlineStr">
        <is>
          <t>S11 - On hand at origin Hub/ CC</t>
        </is>
      </c>
      <c r="C16" s="106" t="n">
        <v>1550</v>
      </c>
      <c r="D16" s="106" t="n">
        <v>27944.8</v>
      </c>
      <c r="E16" s="107" t="n">
        <v>0.782</v>
      </c>
    </row>
    <row r="17">
      <c r="A17" s="108" t="n">
        <v>12</v>
      </c>
      <c r="B17" s="108" t="inlineStr">
        <is>
          <t>S16 - Shipment booked with carrier</t>
        </is>
      </c>
      <c r="C17" s="108" t="n">
        <v>1340.799999999999</v>
      </c>
      <c r="D17" s="108" t="n">
        <v>29285.59999999999</v>
      </c>
      <c r="E17" s="109" t="n">
        <v>0.82</v>
      </c>
    </row>
    <row r="18">
      <c r="A18" s="108" t="n">
        <v>13</v>
      </c>
      <c r="B18" s="108" t="inlineStr">
        <is>
          <t>S45 - Handover to broker</t>
        </is>
      </c>
      <c r="C18" s="108" t="n">
        <v>1234.6</v>
      </c>
      <c r="D18" s="108" t="n">
        <v>30520.2</v>
      </c>
      <c r="E18" s="109" t="n">
        <v>0.8540000000000001</v>
      </c>
    </row>
    <row r="19">
      <c r="A19" s="108" t="n">
        <v>14</v>
      </c>
      <c r="B19" s="108" t="inlineStr">
        <is>
          <t>S18 - Recovered from carrier</t>
        </is>
      </c>
      <c r="C19" s="108" t="n">
        <v>1124.9</v>
      </c>
      <c r="D19" s="108" t="n">
        <v>31645.09999999999</v>
      </c>
      <c r="E19" s="109" t="n">
        <v>0.8859999999999999</v>
      </c>
    </row>
    <row r="20">
      <c r="A20" s="108" t="n">
        <v>15</v>
      </c>
      <c r="B20" s="108" t="inlineStr">
        <is>
          <t>S12 - On hand at destination Hub/ CC</t>
        </is>
      </c>
      <c r="C20" s="108" t="n">
        <v>966.9</v>
      </c>
      <c r="D20" s="108" t="n">
        <v>32612</v>
      </c>
      <c r="E20" s="109" t="n">
        <v>0.9129999999999999</v>
      </c>
    </row>
    <row r="21">
      <c r="A21" s="108" t="n">
        <v>16</v>
      </c>
      <c r="B21" s="108" t="inlineStr">
        <is>
          <t>S10 - On hand at origin SVC</t>
        </is>
      </c>
      <c r="C21" s="108" t="n">
        <v>862.1999999999998</v>
      </c>
      <c r="D21" s="108" t="n">
        <v>33474.2</v>
      </c>
      <c r="E21" s="109" t="n">
        <v>0.9370000000000001</v>
      </c>
    </row>
    <row r="22">
      <c r="A22" s="108" t="n">
        <v>17</v>
      </c>
      <c r="B22" s="108" t="inlineStr">
        <is>
          <t>S50 - Received origin CFS</t>
        </is>
      </c>
      <c r="C22" s="108" t="n">
        <v>808.0999999999998</v>
      </c>
      <c r="D22" s="108" t="n">
        <v>34282.3</v>
      </c>
      <c r="E22" s="109" t="n">
        <v>0.96</v>
      </c>
    </row>
    <row r="23">
      <c r="A23" s="108" t="n">
        <v>18</v>
      </c>
      <c r="B23" s="108" t="inlineStr">
        <is>
          <t>S54 - Full Container discharge from vessel</t>
        </is>
      </c>
      <c r="C23" s="108" t="n">
        <v>478.5</v>
      </c>
      <c r="D23" s="108" t="n">
        <v>34760.8</v>
      </c>
      <c r="E23" s="109" t="n">
        <v>0.973</v>
      </c>
    </row>
    <row r="24">
      <c r="A24" s="108" t="n">
        <v>19</v>
      </c>
      <c r="B24" s="108" t="inlineStr">
        <is>
          <t>S52 - Empty Container picked up</t>
        </is>
      </c>
      <c r="C24" s="108" t="n">
        <v>346</v>
      </c>
      <c r="D24" s="108" t="n">
        <v>35106.8</v>
      </c>
      <c r="E24" s="109" t="n">
        <v>0.983</v>
      </c>
    </row>
    <row r="25">
      <c r="A25" s="108" t="n">
        <v>20</v>
      </c>
      <c r="B25" s="108" t="inlineStr">
        <is>
          <t>S53 - Full Container loaded on vessel</t>
        </is>
      </c>
      <c r="C25" s="108" t="n">
        <v>293.5</v>
      </c>
      <c r="D25" s="108" t="n">
        <v>35400.3</v>
      </c>
      <c r="E25" s="109" t="n">
        <v>0.991</v>
      </c>
    </row>
    <row r="26">
      <c r="A26" s="108" t="n">
        <v>21</v>
      </c>
      <c r="B26" s="108" t="inlineStr">
        <is>
          <t>S55 - Empty Container returned</t>
        </is>
      </c>
      <c r="C26" s="108" t="n">
        <v>285.5</v>
      </c>
      <c r="D26" s="108" t="n">
        <v>35685.8</v>
      </c>
      <c r="E26" s="109" t="n">
        <v>0.9990000000000001</v>
      </c>
    </row>
    <row r="27">
      <c r="A27" s="108" t="n">
        <v>22</v>
      </c>
      <c r="B27" s="108" t="inlineStr">
        <is>
          <t>S60 - Pre-Booking confirmed</t>
        </is>
      </c>
      <c r="C27" s="108" t="n">
        <v>40.89999999999998</v>
      </c>
      <c r="D27" s="108" t="n">
        <v>35726.7</v>
      </c>
      <c r="E27" s="109" t="n">
        <v>1</v>
      </c>
    </row>
    <row r="28">
      <c r="A28" s="108" t="n">
        <v>23</v>
      </c>
      <c r="B28" s="108" t="inlineStr">
        <is>
          <t>S61 - Pre-Booking declined</t>
        </is>
      </c>
      <c r="C28" s="108" t="n">
        <v>1.8</v>
      </c>
      <c r="D28" s="108" t="n">
        <v>35728.5</v>
      </c>
      <c r="E28" s="109" t="n">
        <v>1</v>
      </c>
    </row>
  </sheetData>
  <mergeCells count="2">
    <mergeCell ref="A1:E1"/>
    <mergeCell ref="A3:E3"/>
  </mergeCells>
  <pageMargins left="0.75" right="0.75" top="1" bottom="1" header="0.5" footer="0.5"/>
  <pageSetup orientation="portrait" paperSize="9" horizontalDpi="0" verticalDpi="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G24" sqref="G24"/>
    </sheetView>
  </sheetViews>
  <sheetFormatPr baseColWidth="10" defaultColWidth="11.5" defaultRowHeight="13"/>
  <cols>
    <col width="5.83203125" bestFit="1" customWidth="1" style="340" min="1" max="1"/>
    <col width="45" customWidth="1" style="340" min="2" max="2"/>
    <col hidden="1" width="22.33203125" customWidth="1" style="340" min="3" max="3"/>
    <col width="17" customWidth="1" style="340" min="5" max="7"/>
    <col width="35.33203125" customWidth="1" style="340" min="8" max="8"/>
  </cols>
  <sheetData>
    <row r="1" ht="15" customHeight="1" s="340">
      <c r="A1" s="118" t="inlineStr">
        <is>
          <t>Region</t>
        </is>
      </c>
      <c r="B1" s="118" t="inlineStr">
        <is>
          <t>Action Item</t>
        </is>
      </c>
      <c r="C1" s="118" t="inlineStr">
        <is>
          <t>Metrics</t>
        </is>
      </c>
      <c r="D1" s="118" t="inlineStr">
        <is>
          <t>Priority</t>
        </is>
      </c>
      <c r="E1" s="118" t="inlineStr">
        <is>
          <t>Owner</t>
        </is>
      </c>
      <c r="F1" s="118" t="inlineStr">
        <is>
          <t>Name</t>
        </is>
      </c>
      <c r="G1" s="118" t="inlineStr">
        <is>
          <t>ETA</t>
        </is>
      </c>
      <c r="H1" s="118" t="inlineStr">
        <is>
          <t>Status</t>
        </is>
      </c>
    </row>
    <row r="2" ht="45.5" customHeight="1" s="340">
      <c r="A2" s="119" t="inlineStr">
        <is>
          <t>EUR</t>
        </is>
      </c>
      <c r="B2" s="120" t="inlineStr">
        <is>
          <t>Check and confirm resourcing and FTE capacity to reach target by end April for the 3 areas: NEC, EME and CSE</t>
        </is>
      </c>
      <c r="C2" s="126" t="inlineStr">
        <is>
          <t>Missing Milestones</t>
        </is>
      </c>
      <c r="D2" s="121" t="inlineStr">
        <is>
          <t>P0</t>
        </is>
      </c>
      <c r="E2" s="120" t="inlineStr">
        <is>
          <t>Area and Region LCL Ops leader</t>
        </is>
      </c>
      <c r="F2" s="120" t="inlineStr">
        <is>
          <t>Christine Kühl</t>
        </is>
      </c>
      <c r="G2" s="130" t="n">
        <v>46058</v>
      </c>
      <c r="H2" s="131" t="inlineStr">
        <is>
          <t>Completed, all areas confirmed capacity needs and approvals needed.</t>
        </is>
      </c>
    </row>
    <row r="3" ht="30" customHeight="1" s="340">
      <c r="A3" s="119" t="inlineStr">
        <is>
          <t>APA</t>
        </is>
      </c>
      <c r="B3" s="120" t="inlineStr">
        <is>
          <t>Check and confirm resourcing and FTE capacity to reach target by end April for the 3 areas: GCA, SEA, MEK</t>
        </is>
      </c>
      <c r="C3" s="126" t="n"/>
      <c r="D3" s="121" t="inlineStr">
        <is>
          <t>P0</t>
        </is>
      </c>
      <c r="E3" s="120" t="inlineStr">
        <is>
          <t>Area and Region LCL Ops leader</t>
        </is>
      </c>
      <c r="F3" s="120" t="inlineStr">
        <is>
          <t>Jos Raaymakers</t>
        </is>
      </c>
      <c r="G3" s="130" t="n">
        <v>46058</v>
      </c>
      <c r="H3" s="131" t="inlineStr">
        <is>
          <t>SEA confirmed capacity.  GCA to confirm back by 06-Feb.</t>
        </is>
      </c>
    </row>
    <row r="4" ht="43" customHeight="1" s="340">
      <c r="A4" s="119" t="inlineStr">
        <is>
          <t>EUR</t>
        </is>
      </c>
      <c r="B4" s="120" t="inlineStr">
        <is>
          <t>Improve reporting quality of milestone completeness (with filters) to enable operations to be proactive.</t>
        </is>
      </c>
      <c r="C4" s="126" t="n"/>
      <c r="D4" s="121" t="inlineStr">
        <is>
          <t>P0</t>
        </is>
      </c>
      <c r="E4" s="120" t="inlineStr">
        <is>
          <t>Central reporting team</t>
        </is>
      </c>
      <c r="F4" s="148" t="inlineStr">
        <is>
          <t>Christine Kühl</t>
        </is>
      </c>
      <c r="G4" s="130" t="n">
        <v>46062</v>
      </c>
      <c r="H4" s="131" t="inlineStr">
        <is>
          <t>Daily reporting to be enhanced for ops to be more proactive. Call on Monday to be followed by report refining.</t>
        </is>
      </c>
    </row>
    <row r="5" ht="15" customHeight="1" s="340">
      <c r="A5" s="119" t="inlineStr">
        <is>
          <t>GCA</t>
        </is>
      </c>
      <c r="B5" s="120" t="inlineStr">
        <is>
          <t>Conduct root cause analysis for 1195 missing milestones</t>
        </is>
      </c>
      <c r="C5" s="126" t="inlineStr">
        <is>
          <t>Missing Milestones</t>
        </is>
      </c>
      <c r="D5" s="121" t="inlineStr">
        <is>
          <t>P0</t>
        </is>
      </c>
      <c r="E5" s="120" t="inlineStr">
        <is>
          <t>Regional Ops Lead</t>
        </is>
      </c>
      <c r="F5" s="120" t="inlineStr">
        <is>
          <t>Jos Raaymakers</t>
        </is>
      </c>
      <c r="G5" s="132" t="n">
        <v>46054</v>
      </c>
      <c r="H5" s="123" t="inlineStr">
        <is>
          <t>In Progress</t>
        </is>
      </c>
    </row>
    <row r="6" ht="30" customHeight="1" s="340">
      <c r="A6" s="119" t="inlineStr">
        <is>
          <t>GCA</t>
        </is>
      </c>
      <c r="B6" s="120" t="inlineStr">
        <is>
          <t>Implement mandatory field validation at booking for 1446 milestones</t>
        </is>
      </c>
      <c r="C6" s="126" t="inlineStr">
        <is>
          <t>Missing Mandatory</t>
        </is>
      </c>
      <c r="D6" s="121" t="inlineStr">
        <is>
          <t>P0</t>
        </is>
      </c>
      <c r="E6" s="120" t="inlineStr">
        <is>
          <t>Regional Ops Lead</t>
        </is>
      </c>
      <c r="F6" s="120" t="inlineStr">
        <is>
          <t>Jos Raaymakers</t>
        </is>
      </c>
      <c r="G6" s="132" t="n">
        <v>46054</v>
      </c>
      <c r="H6" s="122" t="inlineStr">
        <is>
          <t>Not Started</t>
        </is>
      </c>
    </row>
    <row r="7" ht="30" customHeight="1" s="340">
      <c r="A7" s="119" t="inlineStr">
        <is>
          <t>CSE</t>
        </is>
      </c>
      <c r="B7" s="120" t="inlineStr">
        <is>
          <t>Reverse declining trend (661→701) milestones missing - Stop the bleeding</t>
        </is>
      </c>
      <c r="C7" s="126" t="inlineStr">
        <is>
          <t>Missing Milestones</t>
        </is>
      </c>
      <c r="D7" s="121" t="inlineStr">
        <is>
          <t>P0</t>
        </is>
      </c>
      <c r="E7" s="120" t="inlineStr">
        <is>
          <t>Regional Ops Lead</t>
        </is>
      </c>
      <c r="F7" s="148" t="inlineStr">
        <is>
          <t>Christine Kühl</t>
        </is>
      </c>
      <c r="G7" s="132" t="n">
        <v>46054</v>
      </c>
      <c r="H7" s="122" t="inlineStr">
        <is>
          <t>Not Started</t>
        </is>
      </c>
    </row>
    <row r="8" ht="15" customHeight="1" s="340">
      <c r="A8" s="119" t="inlineStr">
        <is>
          <t>CSE</t>
        </is>
      </c>
      <c r="B8" s="120" t="inlineStr">
        <is>
          <t>Fix 1521 missing mandatory information fields</t>
        </is>
      </c>
      <c r="C8" s="126" t="inlineStr">
        <is>
          <t>Missing Mandatory</t>
        </is>
      </c>
      <c r="D8" s="121" t="inlineStr">
        <is>
          <t>P0</t>
        </is>
      </c>
      <c r="E8" s="120" t="inlineStr">
        <is>
          <t>Regional Ops Lead</t>
        </is>
      </c>
      <c r="F8" s="148" t="inlineStr">
        <is>
          <t>Christine Kühl</t>
        </is>
      </c>
      <c r="G8" s="132" t="n">
        <v>46054</v>
      </c>
      <c r="H8" s="122" t="inlineStr">
        <is>
          <t>Not Started</t>
        </is>
      </c>
    </row>
    <row r="9" ht="15" customHeight="1" s="340">
      <c r="A9" s="119" t="inlineStr">
        <is>
          <t>NEC</t>
        </is>
      </c>
      <c r="B9" s="120" t="inlineStr">
        <is>
          <t>Continue improvement trend (892→753) - Accelerate</t>
        </is>
      </c>
      <c r="C9" s="126" t="inlineStr">
        <is>
          <t>Missing Milestones</t>
        </is>
      </c>
      <c r="D9" s="121" t="inlineStr">
        <is>
          <t>P0</t>
        </is>
      </c>
      <c r="E9" s="120" t="inlineStr">
        <is>
          <t>Regional Ops Lead</t>
        </is>
      </c>
      <c r="F9" s="148" t="inlineStr">
        <is>
          <t>Christine Kühl</t>
        </is>
      </c>
      <c r="G9" s="132" t="n">
        <v>46054</v>
      </c>
    </row>
    <row r="10" ht="15" customHeight="1" s="340">
      <c r="A10" s="119" t="inlineStr">
        <is>
          <t>NEC</t>
        </is>
      </c>
      <c r="B10" s="120" t="inlineStr">
        <is>
          <t>Address 2676 mandatory info gaps (highest volume)</t>
        </is>
      </c>
      <c r="C10" s="126" t="inlineStr">
        <is>
          <t>Missing Mandatory</t>
        </is>
      </c>
      <c r="D10" s="121" t="inlineStr">
        <is>
          <t>P0</t>
        </is>
      </c>
      <c r="E10" s="120" t="inlineStr">
        <is>
          <t>Data Quality Team</t>
        </is>
      </c>
      <c r="F10" s="148" t="inlineStr">
        <is>
          <t>Christine Kühl</t>
        </is>
      </c>
      <c r="G10" s="132" t="n">
        <v>46054</v>
      </c>
      <c r="H10" s="122" t="inlineStr">
        <is>
          <t>Not Started</t>
        </is>
      </c>
    </row>
    <row r="11" ht="15" customHeight="1" s="340">
      <c r="A11" s="119" t="inlineStr">
        <is>
          <t>EME</t>
        </is>
      </c>
      <c r="B11" s="120" t="inlineStr">
        <is>
          <t>Sustain improvement</t>
        </is>
      </c>
      <c r="C11" s="126" t="inlineStr">
        <is>
          <t>Missing Milestones</t>
        </is>
      </c>
      <c r="D11" s="124" t="inlineStr">
        <is>
          <t>P1</t>
        </is>
      </c>
      <c r="E11" s="120" t="inlineStr">
        <is>
          <t>Regional Ops Lead</t>
        </is>
      </c>
      <c r="F11" s="148" t="inlineStr">
        <is>
          <t>Christine Kühl</t>
        </is>
      </c>
      <c r="G11" s="132" t="n">
        <v>46054</v>
      </c>
      <c r="H11" s="123" t="inlineStr">
        <is>
          <t>In Progress</t>
        </is>
      </c>
    </row>
    <row r="12" ht="15" customHeight="1" s="340">
      <c r="A12" s="119" t="inlineStr">
        <is>
          <t>EME</t>
        </is>
      </c>
      <c r="B12" s="120" t="inlineStr">
        <is>
          <t>Focus on Mandatory Fields missing (198)</t>
        </is>
      </c>
      <c r="C12" s="126" t="inlineStr">
        <is>
          <t>Missing Mandatory</t>
        </is>
      </c>
      <c r="D12" s="124" t="inlineStr">
        <is>
          <t>P1</t>
        </is>
      </c>
      <c r="E12" s="120" t="inlineStr">
        <is>
          <t>Regional Ops Lead</t>
        </is>
      </c>
      <c r="F12" s="148" t="inlineStr">
        <is>
          <t>Christine Kühl</t>
        </is>
      </c>
      <c r="G12" s="132" t="n">
        <v>46054</v>
      </c>
      <c r="H12" s="123" t="inlineStr">
        <is>
          <t>In Progress</t>
        </is>
      </c>
    </row>
    <row r="13" ht="15" customHeight="1" s="340">
      <c r="A13" s="119" t="inlineStr">
        <is>
          <t>SEA</t>
        </is>
      </c>
      <c r="B13" s="120" t="inlineStr">
        <is>
          <t>Reduce 275 missing milestones through standardization</t>
        </is>
      </c>
      <c r="C13" s="126" t="inlineStr">
        <is>
          <t>Missing Milestones</t>
        </is>
      </c>
      <c r="D13" s="124" t="inlineStr">
        <is>
          <t>P1</t>
        </is>
      </c>
      <c r="E13" s="120" t="inlineStr">
        <is>
          <t>Regional Ops Lead</t>
        </is>
      </c>
      <c r="F13" s="120" t="inlineStr">
        <is>
          <t>Jos Raaymakers</t>
        </is>
      </c>
      <c r="G13" s="132" t="n">
        <v>46054</v>
      </c>
      <c r="H13" s="123" t="inlineStr">
        <is>
          <t>In Progress</t>
        </is>
      </c>
    </row>
    <row r="14" ht="15" customHeight="1" s="340">
      <c r="A14" s="119" t="inlineStr">
        <is>
          <t>SEA</t>
        </is>
      </c>
      <c r="B14" s="120" t="inlineStr">
        <is>
          <t>Focus on Mandatory Fields (303)</t>
        </is>
      </c>
      <c r="C14" s="126" t="inlineStr">
        <is>
          <t>Missing Mandatory</t>
        </is>
      </c>
      <c r="D14" s="124" t="n"/>
      <c r="E14" s="120" t="n"/>
      <c r="F14" s="120" t="inlineStr">
        <is>
          <t>Jos Raaymakers</t>
        </is>
      </c>
      <c r="G14" s="132" t="n">
        <v>46054</v>
      </c>
      <c r="H14" s="122" t="n"/>
    </row>
    <row r="15" ht="15" customHeight="1" s="340">
      <c r="A15" s="119" t="inlineStr">
        <is>
          <t>MEK</t>
        </is>
      </c>
      <c r="B15" s="120" t="inlineStr">
        <is>
          <t>Maintain strong performance (121 missing) - Monitor</t>
        </is>
      </c>
      <c r="C15" s="126" t="inlineStr">
        <is>
          <t>Missing Milestones</t>
        </is>
      </c>
      <c r="D15" s="125" t="inlineStr">
        <is>
          <t>P2</t>
        </is>
      </c>
      <c r="E15" s="120" t="inlineStr">
        <is>
          <t>Regional Ops Lead</t>
        </is>
      </c>
      <c r="F15" s="120" t="inlineStr">
        <is>
          <t>Jos Raaymakers</t>
        </is>
      </c>
      <c r="G15" s="132" t="n">
        <v>46054</v>
      </c>
      <c r="H15" s="123" t="inlineStr">
        <is>
          <t>In Progress</t>
        </is>
      </c>
    </row>
    <row r="16" ht="15" customHeight="1" s="340">
      <c r="A16" s="119" t="inlineStr">
        <is>
          <t>NEA</t>
        </is>
      </c>
      <c r="B16" s="120" t="inlineStr">
        <is>
          <t>Slight improvement opportunity (151→&lt;100)</t>
        </is>
      </c>
      <c r="C16" s="126" t="inlineStr">
        <is>
          <t>Missing Milestones</t>
        </is>
      </c>
      <c r="D16" s="125" t="inlineStr">
        <is>
          <t>P2</t>
        </is>
      </c>
      <c r="E16" s="120" t="inlineStr">
        <is>
          <t>Regional Ops Lead</t>
        </is>
      </c>
      <c r="F16" s="120" t="inlineStr">
        <is>
          <t>Jos Raaymakers</t>
        </is>
      </c>
      <c r="G16" s="132" t="n">
        <v>46054</v>
      </c>
      <c r="H16" s="122" t="inlineStr">
        <is>
          <t>Not Started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10"/>
  <sheetViews>
    <sheetView zoomScale="144" workbookViewId="0">
      <selection activeCell="F11" sqref="F11"/>
    </sheetView>
  </sheetViews>
  <sheetFormatPr baseColWidth="10" defaultColWidth="11.5" defaultRowHeight="13"/>
  <cols>
    <col width="32.83203125" customWidth="1" style="340" min="2" max="2"/>
    <col width="7.5" customWidth="1" style="340" min="3" max="4"/>
    <col width="8" bestFit="1" customWidth="1" style="340" min="5" max="5"/>
    <col width="6.6640625" customWidth="1" style="340" min="6" max="6"/>
    <col width="11.33203125" customWidth="1" style="340" min="7" max="7"/>
    <col width="11.83203125" customWidth="1" style="340" min="8" max="8"/>
    <col width="69" bestFit="1" customWidth="1" style="340" min="9" max="9"/>
  </cols>
  <sheetData>
    <row r="1" ht="14" customHeight="1" s="340" thickBot="1"/>
    <row r="2" ht="14" customHeight="1" s="340">
      <c r="B2" s="391" t="inlineStr">
        <is>
          <t>Metrics name</t>
        </is>
      </c>
      <c r="C2" s="389" t="inlineStr">
        <is>
          <t xml:space="preserve">2025.11 </t>
        </is>
      </c>
      <c r="D2" s="389" t="inlineStr">
        <is>
          <t>2025.12</t>
        </is>
      </c>
      <c r="E2" s="389" t="n"/>
      <c r="F2" s="389" t="inlineStr">
        <is>
          <t>Week 4</t>
        </is>
      </c>
      <c r="G2" s="389" t="inlineStr">
        <is>
          <t>2026.04 Target</t>
        </is>
      </c>
      <c r="H2" s="389" t="inlineStr">
        <is>
          <t>2026.04 Target</t>
        </is>
      </c>
      <c r="I2" s="389" t="n"/>
    </row>
    <row r="3" ht="14" customHeight="1" s="340">
      <c r="B3" s="435" t="n"/>
      <c r="C3" s="436" t="n"/>
      <c r="D3" s="436" t="n"/>
      <c r="E3" s="390" t="inlineStr">
        <is>
          <t>Week 1-3</t>
        </is>
      </c>
      <c r="F3" s="436" t="n"/>
      <c r="G3" s="390" t="inlineStr">
        <is>
          <t>(Maersk proposal)</t>
        </is>
      </c>
      <c r="H3" s="390" t="inlineStr">
        <is>
          <t>(Bosch proposal)</t>
        </is>
      </c>
      <c r="I3" s="390" t="inlineStr">
        <is>
          <t>Comments</t>
        </is>
      </c>
    </row>
    <row r="4" ht="60" customHeight="1" s="340">
      <c r="B4" s="135" t="inlineStr">
        <is>
          <t xml:space="preserve">Milestone Completeness ( S02,S04,S07,S31) </t>
        </is>
      </c>
      <c r="C4" s="136" t="n">
        <v>0.82</v>
      </c>
      <c r="D4" s="136" t="n">
        <v>0.84</v>
      </c>
      <c r="E4" s="137" t="n">
        <v>0.858</v>
      </c>
      <c r="F4" s="137" t="n">
        <v>0.865</v>
      </c>
      <c r="G4" s="136" t="n">
        <v>0.95</v>
      </c>
      <c r="H4" s="145" t="n">
        <v>0.95</v>
      </c>
      <c r="I4" s="142" t="inlineStr">
        <is>
          <t>✅ ACHIEVABLE : 
- Fix top 3 Missing fields in CW1 (Process/Tech)
- Path toward 80% SC3 booking (Bosch)
- Sustainable fix by stricter validation in Workflows (Process/Tech)</t>
        </is>
      </c>
    </row>
    <row r="5" ht="45" customHeight="1" s="340">
      <c r="B5" s="135" t="inlineStr">
        <is>
          <t xml:space="preserve">Milestone Timeliness ( S02,S04,S07,S31) </t>
        </is>
      </c>
      <c r="C5" s="136" t="n">
        <v>0.1</v>
      </c>
      <c r="D5" s="136" t="n">
        <v>0.22</v>
      </c>
      <c r="E5" s="136" t="n">
        <v>0.486</v>
      </c>
      <c r="F5" s="137" t="n">
        <v>0.455</v>
      </c>
      <c r="G5" s="147" t="inlineStr">
        <is>
          <t>??</t>
        </is>
      </c>
      <c r="H5" s="145" t="n">
        <v>0.95</v>
      </c>
      <c r="I5" s="141" t="inlineStr">
        <is>
          <t>⚠️ STRETCH and EDI DEPENDENT: 
-  85% ONLY achievable at 80% SC3 (Bosch)
- With Dedicated Control tower and proactive update we can hit Close to 60% (Operations)</t>
        </is>
      </c>
    </row>
    <row r="6" ht="60" customHeight="1" s="340">
      <c r="B6" s="135" t="inlineStr">
        <is>
          <t xml:space="preserve">Milestone Completeness ( All) </t>
        </is>
      </c>
      <c r="C6" s="139" t="inlineStr">
        <is>
          <t>Not Measured</t>
        </is>
      </c>
      <c r="D6" s="139" t="inlineStr">
        <is>
          <t>Not Measured</t>
        </is>
      </c>
      <c r="E6" s="137" t="n">
        <v>0.858</v>
      </c>
      <c r="F6" s="136" t="n">
        <v>0.865</v>
      </c>
      <c r="G6" s="136" t="n">
        <v>0.9</v>
      </c>
      <c r="H6" s="145" t="n">
        <v>0.95</v>
      </c>
      <c r="I6" s="138" t="inlineStr">
        <is>
          <t>✅ ACHIEVABLE
-  Fix top 3 Missing fields in CW1 yields 18,6 % increase
- Can be achieved with due diligance from CT on proactively updating missing fields (Operations)</t>
        </is>
      </c>
    </row>
    <row r="7" ht="45" customHeight="1" s="340">
      <c r="B7" s="135" t="inlineStr">
        <is>
          <t xml:space="preserve">Milestone Timeliness (All) </t>
        </is>
      </c>
      <c r="C7" s="139" t="inlineStr">
        <is>
          <t>Not Measured</t>
        </is>
      </c>
      <c r="D7" s="139" t="inlineStr">
        <is>
          <t>Not Measured</t>
        </is>
      </c>
      <c r="E7" s="137" t="n">
        <v>0.486</v>
      </c>
      <c r="F7" s="140" t="n">
        <v>0.455</v>
      </c>
      <c r="G7" s="144" t="inlineStr">
        <is>
          <t>??</t>
        </is>
      </c>
      <c r="H7" s="146" t="n">
        <v>0.95</v>
      </c>
      <c r="I7" s="141" t="inlineStr">
        <is>
          <t>⚠️ EDI DEPENDENT 
- The timeliness metrics can't be met with current EDI ratio, SC3 booking needs to be at ~75% to hit 80 % timeliness or ~80% to achieve 85% timeliness</t>
        </is>
      </c>
    </row>
    <row r="8" ht="45" customHeight="1" s="340">
      <c r="B8" s="175" t="inlineStr">
        <is>
          <t>SC4 Refrence Completeness</t>
        </is>
      </c>
      <c r="C8" s="176" t="n"/>
      <c r="D8" s="176" t="n"/>
      <c r="E8" s="177" t="n">
        <v>0.65</v>
      </c>
      <c r="F8" s="177" t="n">
        <v>0.65</v>
      </c>
      <c r="G8" s="178" t="inlineStr">
        <is>
          <t>??</t>
        </is>
      </c>
      <c r="H8" s="179" t="n">
        <v>0.95</v>
      </c>
      <c r="I8" s="143" t="inlineStr">
        <is>
          <t>-DN OR CIV Number at 91 % for Field present. But filtering out for Junk value it stands at 80 %; 
- Conversion of SC4 --&gt; SC3 will drastically improve accuracy
Data to be verifiied on wrong refrence by end of next week - Shared by Bosch on Wednesday EOD</t>
        </is>
      </c>
    </row>
    <row r="9" ht="14" customHeight="1" s="340">
      <c r="B9" s="180" t="inlineStr">
        <is>
          <t>ETA accuracy/reliability 2P shipments</t>
        </is>
      </c>
      <c r="C9" s="174" t="n"/>
      <c r="D9" s="174" t="n"/>
      <c r="E9" s="174" t="n"/>
      <c r="F9" s="181" t="n">
        <v>0.015</v>
      </c>
      <c r="G9" s="174" t="n"/>
      <c r="H9" s="182" t="n">
        <v>0.95</v>
      </c>
      <c r="I9" s="174" t="inlineStr">
        <is>
          <t xml:space="preserve">Data to be analyzed by next week </t>
        </is>
      </c>
    </row>
    <row r="10" ht="13" customHeight="1" s="340" thickBot="1">
      <c r="B10" s="183" t="inlineStr">
        <is>
          <t>ETA accuracy/reliability 2D shipments</t>
        </is>
      </c>
      <c r="C10" s="184" t="n"/>
      <c r="D10" s="184" t="n"/>
      <c r="E10" s="184" t="n"/>
      <c r="F10" s="185" t="n">
        <v>0.33</v>
      </c>
      <c r="G10" s="184" t="n"/>
      <c r="H10" s="186" t="n">
        <v>0.95</v>
      </c>
      <c r="I10" s="174" t="inlineStr">
        <is>
          <t xml:space="preserve">Data to be analyzed by next week </t>
        </is>
      </c>
    </row>
    <row r="11" ht="13" customHeight="1" s="340"/>
    <row r="13" ht="13" customHeight="1" s="340"/>
    <row r="14" ht="13" customHeight="1" s="340"/>
    <row r="16" ht="13" customHeight="1" s="340"/>
    <row r="18" ht="13" customHeight="1" s="340"/>
  </sheetData>
  <mergeCells count="4">
    <mergeCell ref="D2:D3"/>
    <mergeCell ref="F2:F3"/>
    <mergeCell ref="C2:C3"/>
    <mergeCell ref="B2:B3"/>
  </mergeCells>
  <pageMargins left="0.7" right="0.7" top="0.75" bottom="0.75" header="0.3" footer="0.3"/>
  <pageSetup orientation="portrait" paperSize="9" horizontalDpi="0" verticalDpi="0"/>
</worksheet>
</file>

<file path=xl/worksheets/sheet11.xml><?xml version="1.0" encoding="utf-8"?>
<worksheet xmlns="http://schemas.openxmlformats.org/spreadsheetml/2006/main">
  <sheetPr>
    <tabColor rgb="FF1F3864"/>
    <outlinePr summaryBelow="1" summaryRight="1"/>
    <pageSetUpPr/>
  </sheetPr>
  <dimension ref="A1:O23"/>
  <sheetViews>
    <sheetView zoomScaleNormal="100" workbookViewId="0">
      <selection activeCell="L23" sqref="L23"/>
    </sheetView>
  </sheetViews>
  <sheetFormatPr baseColWidth="10" defaultColWidth="8.6640625" defaultRowHeight="15" customHeight="1"/>
  <cols>
    <col width="35.33203125" customWidth="1" style="149" min="1" max="1"/>
    <col width="18" customWidth="1" style="149" min="2" max="10"/>
    <col width="8.6640625" customWidth="1" style="149" min="11" max="16384"/>
  </cols>
  <sheetData>
    <row r="1" ht="20" customHeight="1" s="340">
      <c r="A1" s="393" t="inlineStr">
        <is>
          <t>Port Shipment ETA Accuracy — January 2026 ARR</t>
        </is>
      </c>
    </row>
    <row r="2">
      <c r="A2" s="394" t="inlineStr">
        <is>
          <t>1235 Housebills with ARR in January 2026 | Dual-view: ≥7 Day Lead Time vs Any Lead Time</t>
        </is>
      </c>
    </row>
    <row r="4" ht="17" customHeight="1" s="340">
      <c r="A4" s="395" t="inlineStr">
        <is>
          <t>VIEW 1: ETA Published ≥7 Days Before ARR</t>
        </is>
      </c>
      <c r="F4" s="396" t="inlineStr">
        <is>
          <t>VIEW 2: Latest ETA (Any Lead Time)</t>
        </is>
      </c>
    </row>
    <row r="6">
      <c r="A6" s="188" t="inlineStr">
        <is>
          <t>Total Jan HBs</t>
        </is>
      </c>
      <c r="B6" s="188" t="inlineStr">
        <is>
          <t>With ≥7d ETA</t>
        </is>
      </c>
      <c r="C6" s="188" t="inlineStr">
        <is>
          <t>ETA &lt;7d only</t>
        </is>
      </c>
      <c r="D6" s="188" t="inlineStr">
        <is>
          <t>No ETA</t>
        </is>
      </c>
      <c r="F6" s="188" t="inlineStr">
        <is>
          <t>Total Jan HBs</t>
        </is>
      </c>
      <c r="G6" s="188" t="inlineStr">
        <is>
          <t>With ETA</t>
        </is>
      </c>
      <c r="H6" s="188" t="inlineStr">
        <is>
          <t>Missing ETA</t>
        </is>
      </c>
      <c r="I6" s="188" t="inlineStr">
        <is>
          <t>Median Dev</t>
        </is>
      </c>
    </row>
    <row r="7" ht="20" customHeight="1" s="340">
      <c r="A7" s="189" t="n">
        <v>1235</v>
      </c>
      <c r="B7" s="189" t="n">
        <v>65</v>
      </c>
      <c r="C7" s="189" t="n">
        <v>1165</v>
      </c>
      <c r="D7" s="189" t="n">
        <v>5</v>
      </c>
      <c r="F7" s="189" t="n">
        <v>1235</v>
      </c>
      <c r="G7" s="189" t="n">
        <v>1175</v>
      </c>
      <c r="H7" s="189" t="n">
        <v>5</v>
      </c>
      <c r="I7" s="189" t="inlineStr">
        <is>
          <t>1.2h</t>
        </is>
      </c>
    </row>
    <row r="9">
      <c r="A9" s="190" t="inlineStr">
        <is>
          <t>Of the 65 with ≥7d ETA:</t>
        </is>
      </c>
      <c r="F9" s="190" t="inlineStr">
        <is>
          <t>Of the 1175 with any ETA:</t>
        </is>
      </c>
      <c r="O9" s="149">
        <f>65/1235*100</f>
        <v/>
      </c>
    </row>
    <row r="10">
      <c r="A10" s="191" t="inlineStr">
        <is>
          <t>Within ±48h</t>
        </is>
      </c>
      <c r="B10" s="192" t="n">
        <v>19</v>
      </c>
      <c r="C10" s="193" t="inlineStr">
        <is>
          <t>29.2%</t>
        </is>
      </c>
      <c r="F10" s="191" t="inlineStr">
        <is>
          <t>Within ±48h</t>
        </is>
      </c>
      <c r="G10" s="192" t="n">
        <v>1091</v>
      </c>
      <c r="H10" s="193" t="inlineStr">
        <is>
          <t>92.9%</t>
        </is>
      </c>
    </row>
    <row r="11">
      <c r="A11" s="194" t="inlineStr">
        <is>
          <t>Late (ARR after ETA)</t>
        </is>
      </c>
      <c r="B11" s="192" t="n">
        <v>39</v>
      </c>
      <c r="C11" s="193" t="inlineStr">
        <is>
          <t>60.0%</t>
        </is>
      </c>
      <c r="F11" s="194" t="inlineStr">
        <is>
          <t>Late (ARR after ETA)</t>
        </is>
      </c>
      <c r="G11" s="192" t="n">
        <v>77</v>
      </c>
      <c r="H11" s="193" t="inlineStr">
        <is>
          <t>6.6%</t>
        </is>
      </c>
    </row>
    <row r="12">
      <c r="A12" s="195" t="inlineStr">
        <is>
          <t>Early (ARR before ETA)</t>
        </is>
      </c>
      <c r="B12" s="192" t="n">
        <v>7</v>
      </c>
      <c r="C12" s="193" t="inlineStr">
        <is>
          <t>10.8%</t>
        </is>
      </c>
      <c r="F12" s="195" t="inlineStr">
        <is>
          <t>Early (ARR before ETA)</t>
        </is>
      </c>
      <c r="G12" s="192" t="n">
        <v>7</v>
      </c>
      <c r="H12" s="193" t="inlineStr">
        <is>
          <t>0.6%</t>
        </is>
      </c>
    </row>
    <row r="14" ht="16" customHeight="1" s="340">
      <c r="A14" s="196" t="inlineStr">
        <is>
          <t>≥7d Accuracy (of matched): 19/65 = 29.2%</t>
        </is>
      </c>
      <c r="F14" s="197" t="inlineStr">
        <is>
          <t>Any-lead Accuracy (of matched): 1091/1175 = 92.9%</t>
        </is>
      </c>
    </row>
    <row r="15" ht="16" customHeight="1" s="340">
      <c r="A15" s="196" t="inlineStr">
        <is>
          <t>≥7d Accuracy (overall): 19/1235 = 1.5%</t>
        </is>
      </c>
      <c r="F15" s="197" t="inlineStr">
        <is>
          <t>Any-lead Accuracy (overall): 1091/1235 = 88.3%</t>
        </is>
      </c>
    </row>
    <row r="16">
      <c r="A16" s="394" t="inlineStr">
        <is>
          <t>Median deviation: 50.2h | Mean: 75.8h</t>
        </is>
      </c>
    </row>
    <row r="18">
      <c r="A18" s="190" t="inlineStr">
        <is>
          <t>Category</t>
        </is>
      </c>
      <c r="B18" s="190" t="inlineStr">
        <is>
          <t>Count</t>
        </is>
      </c>
      <c r="F18" s="190" t="inlineStr">
        <is>
          <t>Category</t>
        </is>
      </c>
      <c r="G18" s="190" t="inlineStr">
        <is>
          <t>Count</t>
        </is>
      </c>
    </row>
    <row r="19">
      <c r="A19" s="192" t="inlineStr">
        <is>
          <t>Within ±48h</t>
        </is>
      </c>
      <c r="B19" s="192" t="n">
        <v>19</v>
      </c>
      <c r="F19" s="192" t="inlineStr">
        <is>
          <t>Within ±48h</t>
        </is>
      </c>
      <c r="G19" s="192" t="n">
        <v>1091</v>
      </c>
    </row>
    <row r="20">
      <c r="A20" s="192" t="inlineStr">
        <is>
          <t>Late</t>
        </is>
      </c>
      <c r="B20" s="192" t="n">
        <v>39</v>
      </c>
      <c r="F20" s="192" t="inlineStr">
        <is>
          <t>Late</t>
        </is>
      </c>
      <c r="G20" s="192" t="n">
        <v>77</v>
      </c>
    </row>
    <row r="21">
      <c r="A21" s="192" t="inlineStr">
        <is>
          <t>Early</t>
        </is>
      </c>
      <c r="B21" s="192" t="n">
        <v>7</v>
      </c>
      <c r="F21" s="192" t="inlineStr">
        <is>
          <t>Early</t>
        </is>
      </c>
      <c r="G21" s="192" t="n">
        <v>7</v>
      </c>
    </row>
    <row r="22">
      <c r="A22" s="192" t="inlineStr">
        <is>
          <t>ETA &lt;7d (no qualifying)</t>
        </is>
      </c>
      <c r="B22" s="192" t="n">
        <v>1165</v>
      </c>
      <c r="F22" s="192" t="inlineStr">
        <is>
          <t>Missing ETA</t>
        </is>
      </c>
      <c r="G22" s="192" t="n">
        <v>5</v>
      </c>
    </row>
    <row r="23">
      <c r="A23" s="192" t="inlineStr">
        <is>
          <t>No ETA</t>
        </is>
      </c>
      <c r="B23" s="192" t="n">
        <v>5</v>
      </c>
    </row>
  </sheetData>
  <mergeCells count="4">
    <mergeCell ref="A1:J1"/>
    <mergeCell ref="A4:E4"/>
    <mergeCell ref="F4:J4"/>
    <mergeCell ref="A2:J2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1F3864"/>
    <outlinePr summaryBelow="1" summaryRight="1"/>
    <pageSetUpPr/>
  </sheetPr>
  <dimension ref="A1:J23"/>
  <sheetViews>
    <sheetView zoomScale="105" zoomScaleNormal="100" workbookViewId="0">
      <selection activeCell="A1" sqref="A1:J1"/>
    </sheetView>
  </sheetViews>
  <sheetFormatPr baseColWidth="10" defaultColWidth="8.6640625" defaultRowHeight="15" customHeight="1"/>
  <cols>
    <col width="18" customWidth="1" style="149" min="1" max="10"/>
    <col width="8.6640625" customWidth="1" style="149" min="11" max="16384"/>
  </cols>
  <sheetData>
    <row r="1" ht="20" customHeight="1" s="340">
      <c r="A1" s="393" t="inlineStr">
        <is>
          <t>Door Shipment POD Accuracy — Dual View Analysis</t>
        </is>
      </c>
    </row>
    <row r="2">
      <c r="A2" s="394" t="inlineStr">
        <is>
          <t>2642 Housebills with actual POD | POD_ estimate accuracy at ≥7 Day vs Any Lead Time</t>
        </is>
      </c>
    </row>
    <row r="4" ht="17" customHeight="1" s="340">
      <c r="A4" s="395" t="inlineStr">
        <is>
          <t>VIEW 1: POD_ Published ≥7 Days Before POD</t>
        </is>
      </c>
      <c r="F4" s="396" t="inlineStr">
        <is>
          <t>VIEW 2: Latest POD_ (Any Lead Time)</t>
        </is>
      </c>
    </row>
    <row r="6">
      <c r="A6" s="188" t="inlineStr">
        <is>
          <t>Total HBs</t>
        </is>
      </c>
      <c r="B6" s="188" t="inlineStr">
        <is>
          <t>With ≥7d POD_</t>
        </is>
      </c>
      <c r="C6" s="188" t="inlineStr">
        <is>
          <t>POD_ &lt;7d only</t>
        </is>
      </c>
      <c r="D6" s="188" t="inlineStr">
        <is>
          <t>No POD_</t>
        </is>
      </c>
      <c r="F6" s="188" t="inlineStr">
        <is>
          <t>Total HBs</t>
        </is>
      </c>
      <c r="G6" s="188" t="inlineStr">
        <is>
          <t>With POD_</t>
        </is>
      </c>
      <c r="H6" s="188" t="inlineStr">
        <is>
          <t>Missing POD_</t>
        </is>
      </c>
      <c r="I6" s="188" t="inlineStr">
        <is>
          <t>Median Dev</t>
        </is>
      </c>
    </row>
    <row r="7" ht="20" customHeight="1" s="340">
      <c r="A7" s="189" t="n">
        <v>2642</v>
      </c>
      <c r="B7" s="189" t="n">
        <v>2520</v>
      </c>
      <c r="C7" s="189" t="n">
        <v>120</v>
      </c>
      <c r="D7" s="189" t="n">
        <v>2</v>
      </c>
      <c r="F7" s="189" t="n">
        <v>2642</v>
      </c>
      <c r="G7" s="189" t="n">
        <v>2570</v>
      </c>
      <c r="H7" s="189" t="n">
        <v>2</v>
      </c>
      <c r="I7" s="189" t="inlineStr">
        <is>
          <t>1.7h</t>
        </is>
      </c>
    </row>
    <row r="9">
      <c r="A9" s="190" t="inlineStr">
        <is>
          <t>Of the 2520 with ≥7d POD_:</t>
        </is>
      </c>
      <c r="F9" s="190" t="inlineStr">
        <is>
          <t>Of the 2570 with any POD_:</t>
        </is>
      </c>
    </row>
    <row r="10">
      <c r="A10" s="191" t="inlineStr">
        <is>
          <t>Within ±48h</t>
        </is>
      </c>
      <c r="B10" s="192" t="n">
        <v>840</v>
      </c>
      <c r="C10" s="193" t="inlineStr">
        <is>
          <t>33.3%</t>
        </is>
      </c>
      <c r="F10" s="191" t="inlineStr">
        <is>
          <t>Within ±48h</t>
        </is>
      </c>
      <c r="G10" s="192" t="n">
        <v>1520</v>
      </c>
      <c r="H10" s="193" t="inlineStr">
        <is>
          <t>59.1%</t>
        </is>
      </c>
    </row>
    <row r="11">
      <c r="A11" s="194" t="inlineStr">
        <is>
          <t>Late</t>
        </is>
      </c>
      <c r="B11" s="192" t="n">
        <v>1617</v>
      </c>
      <c r="C11" s="193" t="inlineStr">
        <is>
          <t>64.2%</t>
        </is>
      </c>
      <c r="F11" s="194" t="inlineStr">
        <is>
          <t>Late</t>
        </is>
      </c>
      <c r="G11" s="192" t="n">
        <v>1003</v>
      </c>
      <c r="H11" s="193" t="inlineStr">
        <is>
          <t>39.0%</t>
        </is>
      </c>
    </row>
    <row r="12">
      <c r="A12" s="195" t="inlineStr">
        <is>
          <t>Early</t>
        </is>
      </c>
      <c r="B12" s="192" t="n">
        <v>63</v>
      </c>
      <c r="C12" s="193" t="inlineStr">
        <is>
          <t>2.5%</t>
        </is>
      </c>
      <c r="F12" s="195" t="inlineStr">
        <is>
          <t>Early</t>
        </is>
      </c>
      <c r="G12" s="192" t="n">
        <v>47</v>
      </c>
      <c r="H12" s="193" t="inlineStr">
        <is>
          <t>1.8%</t>
        </is>
      </c>
    </row>
    <row r="14" ht="16" customHeight="1" s="340">
      <c r="A14" s="196" t="inlineStr">
        <is>
          <t>≥7d Accuracy (of matched): 840/2520 = 33.3%</t>
        </is>
      </c>
      <c r="F14" s="197" t="inlineStr">
        <is>
          <t>Any-lead Accuracy (matched): 1520/2570 = 59.1%</t>
        </is>
      </c>
    </row>
    <row r="15" ht="16" customHeight="1" s="340">
      <c r="A15" s="196" t="inlineStr">
        <is>
          <t>≥7d Accuracy (overall): 840/2642 = 31.8%</t>
        </is>
      </c>
      <c r="F15" s="197" t="inlineStr">
        <is>
          <t>Any-lead Accuracy (overall): 1520/2642 = 57.5%</t>
        </is>
      </c>
    </row>
    <row r="16">
      <c r="A16" s="394" t="inlineStr">
        <is>
          <t>Median deviation: 209.3h | Mean: 848.8h</t>
        </is>
      </c>
      <c r="F16" s="394" t="inlineStr">
        <is>
          <t>Retroactive POD_ (published after POD): 701 HBs excluded</t>
        </is>
      </c>
    </row>
    <row r="18">
      <c r="A18" s="190" t="inlineStr">
        <is>
          <t>Category</t>
        </is>
      </c>
      <c r="B18" s="190" t="inlineStr">
        <is>
          <t>Count</t>
        </is>
      </c>
      <c r="F18" s="190" t="inlineStr">
        <is>
          <t>Category</t>
        </is>
      </c>
      <c r="G18" s="190" t="inlineStr">
        <is>
          <t>Count</t>
        </is>
      </c>
    </row>
    <row r="19">
      <c r="A19" s="192" t="inlineStr">
        <is>
          <t>Within ±48h</t>
        </is>
      </c>
      <c r="B19" s="192" t="n">
        <v>840</v>
      </c>
      <c r="F19" s="192" t="inlineStr">
        <is>
          <t>Within ±48h</t>
        </is>
      </c>
      <c r="G19" s="192" t="n">
        <v>1520</v>
      </c>
    </row>
    <row r="20">
      <c r="A20" s="192" t="inlineStr">
        <is>
          <t>Late</t>
        </is>
      </c>
      <c r="B20" s="192" t="n">
        <v>1617</v>
      </c>
      <c r="F20" s="192" t="inlineStr">
        <is>
          <t>Late</t>
        </is>
      </c>
      <c r="G20" s="192" t="n">
        <v>1003</v>
      </c>
    </row>
    <row r="21">
      <c r="A21" s="192" t="inlineStr">
        <is>
          <t>Early</t>
        </is>
      </c>
      <c r="B21" s="192" t="n">
        <v>63</v>
      </c>
      <c r="F21" s="192" t="inlineStr">
        <is>
          <t>Early</t>
        </is>
      </c>
      <c r="G21" s="192" t="n">
        <v>47</v>
      </c>
    </row>
    <row r="22">
      <c r="A22" s="192" t="inlineStr">
        <is>
          <t>POD_ &lt;7d</t>
        </is>
      </c>
      <c r="B22" s="192" t="n">
        <v>120</v>
      </c>
      <c r="F22" s="192" t="inlineStr">
        <is>
          <t>Missing POD_</t>
        </is>
      </c>
      <c r="G22" s="192" t="n">
        <v>2</v>
      </c>
    </row>
    <row r="23">
      <c r="A23" s="192" t="inlineStr">
        <is>
          <t>No POD_</t>
        </is>
      </c>
      <c r="B23" s="192" t="n">
        <v>2</v>
      </c>
    </row>
  </sheetData>
  <mergeCells count="4">
    <mergeCell ref="A1:J1"/>
    <mergeCell ref="A4:E4"/>
    <mergeCell ref="F4:J4"/>
    <mergeCell ref="A2:J2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4"/>
  <sheetViews>
    <sheetView topLeftCell="A14" zoomScale="136" workbookViewId="0">
      <selection activeCell="A18" sqref="A18"/>
    </sheetView>
  </sheetViews>
  <sheetFormatPr baseColWidth="10" defaultColWidth="8.83203125" defaultRowHeight="15"/>
  <cols>
    <col width="25" customWidth="1" style="387" min="1" max="7"/>
    <col width="8.83203125" customWidth="1" style="387" min="8" max="16384"/>
  </cols>
  <sheetData>
    <row r="1" ht="19" customHeight="1" s="340">
      <c r="A1" s="397" t="inlineStr">
        <is>
          <t>Reference Completeness — Breakdown by Origin Country</t>
        </is>
      </c>
    </row>
    <row r="2"/>
    <row r="3">
      <c r="A3" s="304" t="inlineStr">
        <is>
          <t>▸ All Weeks Aggregate (CW01–CW07, min. 5 shipments)</t>
        </is>
      </c>
    </row>
    <row r="4">
      <c r="A4" s="305" t="inlineStr">
        <is>
          <t>Country Code</t>
        </is>
      </c>
      <c r="B4" s="305" t="inlineStr">
        <is>
          <t>Country Name</t>
        </is>
      </c>
      <c r="C4" s="305" t="inlineStr">
        <is>
          <t>Shipments</t>
        </is>
      </c>
      <c r="D4" s="305" t="inlineStr">
        <is>
          <t>Ref Complete (%)</t>
        </is>
      </c>
      <c r="E4" s="305" t="inlineStr">
        <is>
          <t>Gap Rate (%)</t>
        </is>
      </c>
      <c r="F4" s="305" t="inlineStr">
        <is>
          <t>CIV Rate (%)</t>
        </is>
      </c>
      <c r="G4" s="305" t="inlineStr">
        <is>
          <t>DN Rate (%)</t>
        </is>
      </c>
      <c r="H4" s="305" t="inlineStr">
        <is>
          <t>Both CIV+DN (%)</t>
        </is>
      </c>
      <c r="I4" s="305" t="inlineStr">
        <is>
          <t>Status</t>
        </is>
      </c>
    </row>
    <row r="5">
      <c r="A5" s="306" t="inlineStr">
        <is>
          <t>MY</t>
        </is>
      </c>
      <c r="B5" s="307" t="inlineStr">
        <is>
          <t>Malaysia</t>
        </is>
      </c>
      <c r="C5" s="308" t="n">
        <v>115</v>
      </c>
      <c r="D5" s="309" t="n">
        <v>0</v>
      </c>
      <c r="E5" s="309" t="n">
        <v>1</v>
      </c>
      <c r="F5" s="310" t="n">
        <v>0</v>
      </c>
      <c r="G5" s="310" t="n">
        <v>0</v>
      </c>
      <c r="H5" s="310" t="n">
        <v>0</v>
      </c>
      <c r="I5" s="311" t="inlineStr">
        <is>
          <t>🔴 Critical</t>
        </is>
      </c>
    </row>
    <row r="6">
      <c r="A6" s="306" t="inlineStr">
        <is>
          <t>TH</t>
        </is>
      </c>
      <c r="B6" s="307" t="inlineStr">
        <is>
          <t>Thailand</t>
        </is>
      </c>
      <c r="C6" s="308" t="n">
        <v>125</v>
      </c>
      <c r="D6" s="309" t="n">
        <v>0.008</v>
      </c>
      <c r="E6" s="309" t="n">
        <v>0.992</v>
      </c>
      <c r="F6" s="310" t="n">
        <v>0</v>
      </c>
      <c r="G6" s="310" t="n">
        <v>0.008</v>
      </c>
      <c r="H6" s="310" t="n">
        <v>0</v>
      </c>
      <c r="I6" s="311" t="inlineStr">
        <is>
          <t>🔴 Critical</t>
        </is>
      </c>
    </row>
    <row r="7">
      <c r="A7" s="306" t="inlineStr">
        <is>
          <t>PL</t>
        </is>
      </c>
      <c r="B7" s="307" t="inlineStr">
        <is>
          <t>Poland</t>
        </is>
      </c>
      <c r="C7" s="308" t="n">
        <v>18</v>
      </c>
      <c r="D7" s="309" t="n">
        <v>0.05555555555555555</v>
      </c>
      <c r="E7" s="309" t="n">
        <v>0.9444444444444444</v>
      </c>
      <c r="F7" s="310" t="n">
        <v>0.05555555555555555</v>
      </c>
      <c r="G7" s="310" t="n">
        <v>0.05555555555555555</v>
      </c>
      <c r="H7" s="310" t="n">
        <v>0.05555555555555555</v>
      </c>
      <c r="I7" s="311" t="inlineStr">
        <is>
          <t>🔴 Critical</t>
        </is>
      </c>
    </row>
    <row r="8">
      <c r="A8" s="306" t="inlineStr">
        <is>
          <t>FR</t>
        </is>
      </c>
      <c r="B8" s="307" t="inlineStr">
        <is>
          <t>France</t>
        </is>
      </c>
      <c r="C8" s="308" t="n">
        <v>20</v>
      </c>
      <c r="D8" s="309" t="n">
        <v>0.1</v>
      </c>
      <c r="E8" s="309" t="n">
        <v>0.9</v>
      </c>
      <c r="F8" s="310" t="n">
        <v>0</v>
      </c>
      <c r="G8" s="310" t="n">
        <v>0.1</v>
      </c>
      <c r="H8" s="310" t="n">
        <v>0</v>
      </c>
      <c r="I8" s="311" t="inlineStr">
        <is>
          <t>🔴 Critical</t>
        </is>
      </c>
    </row>
    <row r="9">
      <c r="A9" s="306" t="inlineStr">
        <is>
          <t>BE</t>
        </is>
      </c>
      <c r="B9" s="307" t="inlineStr">
        <is>
          <t>BE</t>
        </is>
      </c>
      <c r="C9" s="308" t="n">
        <v>8</v>
      </c>
      <c r="D9" s="309" t="n">
        <v>0.125</v>
      </c>
      <c r="E9" s="309" t="n">
        <v>0.875</v>
      </c>
      <c r="F9" s="310" t="n">
        <v>0</v>
      </c>
      <c r="G9" s="310" t="n">
        <v>0.125</v>
      </c>
      <c r="H9" s="310" t="n">
        <v>0</v>
      </c>
      <c r="I9" s="311" t="inlineStr">
        <is>
          <t>🔴 Critical</t>
        </is>
      </c>
    </row>
    <row r="10">
      <c r="A10" s="306" t="inlineStr">
        <is>
          <t>RO</t>
        </is>
      </c>
      <c r="B10" s="307" t="inlineStr">
        <is>
          <t>Romania</t>
        </is>
      </c>
      <c r="C10" s="308" t="n">
        <v>24</v>
      </c>
      <c r="D10" s="309" t="n">
        <v>0.2083333333333333</v>
      </c>
      <c r="E10" s="309" t="n">
        <v>0.7916666666666666</v>
      </c>
      <c r="F10" s="310" t="n">
        <v>0.1666666666666667</v>
      </c>
      <c r="G10" s="310" t="n">
        <v>0.04166666666666666</v>
      </c>
      <c r="H10" s="310" t="n">
        <v>0</v>
      </c>
      <c r="I10" s="311" t="inlineStr">
        <is>
          <t>🔴 Critical</t>
        </is>
      </c>
    </row>
    <row r="11">
      <c r="A11" s="306" t="inlineStr">
        <is>
          <t>GB</t>
        </is>
      </c>
      <c r="B11" s="307" t="inlineStr">
        <is>
          <t>GB</t>
        </is>
      </c>
      <c r="C11" s="308" t="n">
        <v>5</v>
      </c>
      <c r="D11" s="309" t="n">
        <v>0.4</v>
      </c>
      <c r="E11" s="309" t="n">
        <v>0.6</v>
      </c>
      <c r="F11" s="310" t="n">
        <v>0.2</v>
      </c>
      <c r="G11" s="310" t="n">
        <v>0.4</v>
      </c>
      <c r="H11" s="310" t="n">
        <v>0.2</v>
      </c>
      <c r="I11" s="312" t="inlineStr">
        <is>
          <t>🟠 High</t>
        </is>
      </c>
    </row>
    <row r="12">
      <c r="A12" s="306" t="inlineStr">
        <is>
          <t>ES</t>
        </is>
      </c>
      <c r="B12" s="307" t="inlineStr">
        <is>
          <t>Spain</t>
        </is>
      </c>
      <c r="C12" s="308" t="n">
        <v>34</v>
      </c>
      <c r="D12" s="309" t="n">
        <v>0.4117647058823529</v>
      </c>
      <c r="E12" s="309" t="n">
        <v>0.5882352941176471</v>
      </c>
      <c r="F12" s="310" t="n">
        <v>0.2647058823529412</v>
      </c>
      <c r="G12" s="310" t="n">
        <v>0.2941176470588235</v>
      </c>
      <c r="H12" s="310" t="n">
        <v>0.1470588235294118</v>
      </c>
      <c r="I12" s="312" t="inlineStr">
        <is>
          <t>🟠 High</t>
        </is>
      </c>
    </row>
    <row r="13">
      <c r="A13" s="306" t="inlineStr">
        <is>
          <t>SG</t>
        </is>
      </c>
      <c r="B13" s="307" t="inlineStr">
        <is>
          <t>Singapore</t>
        </is>
      </c>
      <c r="C13" s="308" t="n">
        <v>22</v>
      </c>
      <c r="D13" s="309" t="n">
        <v>0.4545454545454545</v>
      </c>
      <c r="E13" s="309" t="n">
        <v>0.5454545454545454</v>
      </c>
      <c r="F13" s="310" t="n">
        <v>0</v>
      </c>
      <c r="G13" s="310" t="n">
        <v>0.4545454545454545</v>
      </c>
      <c r="H13" s="310" t="n">
        <v>0</v>
      </c>
      <c r="I13" s="312" t="inlineStr">
        <is>
          <t>🟠 High</t>
        </is>
      </c>
    </row>
    <row r="14">
      <c r="A14" s="306" t="inlineStr">
        <is>
          <t>NL</t>
        </is>
      </c>
      <c r="B14" s="307" t="inlineStr">
        <is>
          <t>Netherlands</t>
        </is>
      </c>
      <c r="C14" s="308" t="n">
        <v>13</v>
      </c>
      <c r="D14" s="309" t="n">
        <v>0.4615384615384616</v>
      </c>
      <c r="E14" s="309" t="n">
        <v>0.5384615384615384</v>
      </c>
      <c r="F14" s="310" t="n">
        <v>0</v>
      </c>
      <c r="G14" s="310" t="n">
        <v>0.4615384615384616</v>
      </c>
      <c r="H14" s="310" t="n">
        <v>0</v>
      </c>
      <c r="I14" s="312" t="inlineStr">
        <is>
          <t>🟠 High</t>
        </is>
      </c>
    </row>
    <row r="15">
      <c r="A15" s="306" t="inlineStr">
        <is>
          <t>JP</t>
        </is>
      </c>
      <c r="B15" s="307" t="inlineStr">
        <is>
          <t>Japan</t>
        </is>
      </c>
      <c r="C15" s="308" t="n">
        <v>232</v>
      </c>
      <c r="D15" s="309" t="n">
        <v>0.521551724137931</v>
      </c>
      <c r="E15" s="309" t="n">
        <v>0.478448275862069</v>
      </c>
      <c r="F15" s="310" t="n">
        <v>0.4827586206896552</v>
      </c>
      <c r="G15" s="310" t="n">
        <v>0.07758620689655173</v>
      </c>
      <c r="H15" s="310" t="n">
        <v>0.03879310344827586</v>
      </c>
      <c r="I15" s="312" t="inlineStr">
        <is>
          <t>🟠 High</t>
        </is>
      </c>
    </row>
    <row r="16">
      <c r="A16" s="306" t="inlineStr">
        <is>
          <t>KR</t>
        </is>
      </c>
      <c r="B16" s="307" t="inlineStr">
        <is>
          <t>South Korea</t>
        </is>
      </c>
      <c r="C16" s="308" t="n">
        <v>51</v>
      </c>
      <c r="D16" s="309" t="n">
        <v>0.5490196078431373</v>
      </c>
      <c r="E16" s="309" t="n">
        <v>0.4509803921568628</v>
      </c>
      <c r="F16" s="310" t="n">
        <v>0.5294117647058824</v>
      </c>
      <c r="G16" s="310" t="n">
        <v>0.0196078431372549</v>
      </c>
      <c r="H16" s="310" t="n">
        <v>0</v>
      </c>
      <c r="I16" s="312" t="inlineStr">
        <is>
          <t>🟠 High</t>
        </is>
      </c>
    </row>
    <row r="17">
      <c r="A17" s="306" t="inlineStr">
        <is>
          <t>PT</t>
        </is>
      </c>
      <c r="B17" s="307" t="inlineStr">
        <is>
          <t>Portugal</t>
        </is>
      </c>
      <c r="C17" s="308" t="n">
        <v>21</v>
      </c>
      <c r="D17" s="309" t="n">
        <v>0.5714285714285714</v>
      </c>
      <c r="E17" s="309" t="n">
        <v>0.4285714285714285</v>
      </c>
      <c r="F17" s="310" t="n">
        <v>0.5238095238095238</v>
      </c>
      <c r="G17" s="310" t="n">
        <v>0.09523809523809523</v>
      </c>
      <c r="H17" s="310" t="n">
        <v>0.04761904761904762</v>
      </c>
      <c r="I17" s="312" t="inlineStr">
        <is>
          <t>🟠 High</t>
        </is>
      </c>
    </row>
    <row r="18">
      <c r="A18" s="306" t="inlineStr">
        <is>
          <t>TR</t>
        </is>
      </c>
      <c r="B18" s="307" t="inlineStr">
        <is>
          <t>Turkey</t>
        </is>
      </c>
      <c r="C18" s="308" t="n">
        <v>12</v>
      </c>
      <c r="D18" s="309" t="n">
        <v>0.5833333333333334</v>
      </c>
      <c r="E18" s="309" t="n">
        <v>0.4166666666666667</v>
      </c>
      <c r="F18" s="310" t="n">
        <v>0.3333333333333333</v>
      </c>
      <c r="G18" s="310" t="n">
        <v>0.5833333333333334</v>
      </c>
      <c r="H18" s="313" t="n">
        <v>0.3333333333333333</v>
      </c>
      <c r="I18" s="312" t="inlineStr">
        <is>
          <t>🟠 High</t>
        </is>
      </c>
    </row>
    <row r="19">
      <c r="A19" s="306" t="inlineStr">
        <is>
          <t>IT</t>
        </is>
      </c>
      <c r="B19" s="307" t="inlineStr">
        <is>
          <t>Italy</t>
        </is>
      </c>
      <c r="C19" s="308" t="n">
        <v>86</v>
      </c>
      <c r="D19" s="314" t="n">
        <v>0.6395348837209303</v>
      </c>
      <c r="E19" s="309" t="n">
        <v>0.3604651162790697</v>
      </c>
      <c r="F19" s="310" t="n">
        <v>0.6279069767441861</v>
      </c>
      <c r="G19" s="310" t="n">
        <v>0.06976744186046512</v>
      </c>
      <c r="H19" s="310" t="n">
        <v>0.05813953488372093</v>
      </c>
      <c r="I19" s="315" t="inlineStr">
        <is>
          <t>🟡 Medium</t>
        </is>
      </c>
    </row>
    <row r="20">
      <c r="A20" s="306" t="inlineStr">
        <is>
          <t>VN</t>
        </is>
      </c>
      <c r="B20" s="307" t="inlineStr">
        <is>
          <t>Vietnam</t>
        </is>
      </c>
      <c r="C20" s="308" t="n">
        <v>43</v>
      </c>
      <c r="D20" s="314" t="n">
        <v>0.7209302325581395</v>
      </c>
      <c r="E20" s="314" t="n">
        <v>0.2790697674418605</v>
      </c>
      <c r="F20" s="310" t="n">
        <v>0.7209302325581395</v>
      </c>
      <c r="G20" s="310" t="n">
        <v>0</v>
      </c>
      <c r="H20" s="310" t="n">
        <v>0</v>
      </c>
      <c r="I20" s="315" t="inlineStr">
        <is>
          <t>🟡 Medium</t>
        </is>
      </c>
    </row>
    <row r="21">
      <c r="A21" s="306" t="inlineStr">
        <is>
          <t>CH</t>
        </is>
      </c>
      <c r="B21" s="307" t="inlineStr">
        <is>
          <t>Switzerland</t>
        </is>
      </c>
      <c r="C21" s="308" t="n">
        <v>35</v>
      </c>
      <c r="D21" s="314" t="n">
        <v>0.7428571428571429</v>
      </c>
      <c r="E21" s="314" t="n">
        <v>0.2571428571428571</v>
      </c>
      <c r="F21" s="310" t="n">
        <v>0.05714285714285714</v>
      </c>
      <c r="G21" s="310" t="n">
        <v>0.7428571428571429</v>
      </c>
      <c r="H21" s="310" t="n">
        <v>0.05714285714285714</v>
      </c>
      <c r="I21" s="315" t="inlineStr">
        <is>
          <t>🟡 Medium</t>
        </is>
      </c>
    </row>
    <row r="22">
      <c r="A22" s="306" t="inlineStr">
        <is>
          <t>CN</t>
        </is>
      </c>
      <c r="B22" s="307" t="inlineStr">
        <is>
          <t>China</t>
        </is>
      </c>
      <c r="C22" s="308" t="n">
        <v>1649</v>
      </c>
      <c r="D22" s="314" t="n">
        <v>0.7604608853850818</v>
      </c>
      <c r="E22" s="314" t="n">
        <v>0.2395391146149181</v>
      </c>
      <c r="F22" s="310" t="n">
        <v>0.7416616130988478</v>
      </c>
      <c r="G22" s="310" t="n">
        <v>0.1394784718010916</v>
      </c>
      <c r="H22" s="310" t="n">
        <v>0.1206791995148575</v>
      </c>
      <c r="I22" s="315" t="inlineStr">
        <is>
          <t>🟡 Medium</t>
        </is>
      </c>
    </row>
    <row r="23">
      <c r="A23" s="306" t="inlineStr">
        <is>
          <t>TW</t>
        </is>
      </c>
      <c r="B23" s="307" t="inlineStr">
        <is>
          <t>Taiwan</t>
        </is>
      </c>
      <c r="C23" s="308" t="n">
        <v>98</v>
      </c>
      <c r="D23" s="314" t="n">
        <v>0.7857142857142857</v>
      </c>
      <c r="E23" s="314" t="n">
        <v>0.2142857142857143</v>
      </c>
      <c r="F23" s="310" t="n">
        <v>0.7857142857142857</v>
      </c>
      <c r="G23" s="310" t="n">
        <v>0.08163265306122448</v>
      </c>
      <c r="H23" s="310" t="n">
        <v>0.08163265306122448</v>
      </c>
      <c r="I23" s="315" t="inlineStr">
        <is>
          <t>🟡 Medium</t>
        </is>
      </c>
    </row>
    <row r="24">
      <c r="A24" s="306" t="inlineStr">
        <is>
          <t>AT</t>
        </is>
      </c>
      <c r="B24" s="307" t="inlineStr">
        <is>
          <t>Austria</t>
        </is>
      </c>
      <c r="C24" s="308" t="n">
        <v>5</v>
      </c>
      <c r="D24" s="314" t="n">
        <v>0.8</v>
      </c>
      <c r="E24" s="314" t="n">
        <v>0.2</v>
      </c>
      <c r="F24" s="310" t="n">
        <v>0.8</v>
      </c>
      <c r="G24" s="310" t="n">
        <v>0.8</v>
      </c>
      <c r="H24" s="313" t="n">
        <v>0.8</v>
      </c>
      <c r="I24" s="315" t="inlineStr">
        <is>
          <t>🟡 Medium</t>
        </is>
      </c>
    </row>
    <row r="25">
      <c r="A25" s="306" t="inlineStr">
        <is>
          <t>HU</t>
        </is>
      </c>
      <c r="B25" s="307" t="inlineStr">
        <is>
          <t>Hungary</t>
        </is>
      </c>
      <c r="C25" s="308" t="n">
        <v>21</v>
      </c>
      <c r="D25" s="313" t="n">
        <v>0.8095238095238095</v>
      </c>
      <c r="E25" s="314" t="n">
        <v>0.1904761904761905</v>
      </c>
      <c r="F25" s="310" t="n">
        <v>0.7619047619047619</v>
      </c>
      <c r="G25" s="310" t="n">
        <v>0.1428571428571428</v>
      </c>
      <c r="H25" s="310" t="n">
        <v>0.09523809523809523</v>
      </c>
      <c r="I25" s="316" t="inlineStr">
        <is>
          <t>🟢 Low</t>
        </is>
      </c>
    </row>
    <row r="26">
      <c r="A26" s="306" t="inlineStr">
        <is>
          <t>SK</t>
        </is>
      </c>
      <c r="B26" s="307" t="inlineStr">
        <is>
          <t>Slovakia</t>
        </is>
      </c>
      <c r="C26" s="308" t="n">
        <v>19</v>
      </c>
      <c r="D26" s="313" t="n">
        <v>0.8421052631578947</v>
      </c>
      <c r="E26" s="314" t="n">
        <v>0.1578947368421053</v>
      </c>
      <c r="F26" s="310" t="n">
        <v>0.2631578947368421</v>
      </c>
      <c r="G26" s="310" t="n">
        <v>0.8421052631578947</v>
      </c>
      <c r="H26" s="310" t="n">
        <v>0.2631578947368421</v>
      </c>
      <c r="I26" s="316" t="inlineStr">
        <is>
          <t>🟢 Low</t>
        </is>
      </c>
    </row>
    <row r="27">
      <c r="A27" s="306" t="inlineStr">
        <is>
          <t>HK</t>
        </is>
      </c>
      <c r="B27" s="307" t="inlineStr">
        <is>
          <t>Hong Kong</t>
        </is>
      </c>
      <c r="C27" s="308" t="n">
        <v>269</v>
      </c>
      <c r="D27" s="313" t="n">
        <v>0.8550185873605948</v>
      </c>
      <c r="E27" s="313" t="n">
        <v>0.1449814126394052</v>
      </c>
      <c r="F27" s="310" t="n">
        <v>0.8327137546468402</v>
      </c>
      <c r="G27" s="310" t="n">
        <v>0.03345724907063197</v>
      </c>
      <c r="H27" s="310" t="n">
        <v>0.01115241635687732</v>
      </c>
      <c r="I27" s="316" t="inlineStr">
        <is>
          <t>🟢 Low</t>
        </is>
      </c>
    </row>
    <row r="28">
      <c r="A28" s="306" t="inlineStr">
        <is>
          <t>SE</t>
        </is>
      </c>
      <c r="B28" s="307" t="inlineStr">
        <is>
          <t>Sweden</t>
        </is>
      </c>
      <c r="C28" s="308" t="n">
        <v>14</v>
      </c>
      <c r="D28" s="313" t="n">
        <v>0.8571428571428571</v>
      </c>
      <c r="E28" s="313" t="n">
        <v>0.1428571428571428</v>
      </c>
      <c r="F28" s="310" t="n">
        <v>0</v>
      </c>
      <c r="G28" s="310" t="n">
        <v>0.8571428571428571</v>
      </c>
      <c r="H28" s="310" t="n">
        <v>0</v>
      </c>
      <c r="I28" s="316" t="inlineStr">
        <is>
          <t>🟢 Low</t>
        </is>
      </c>
    </row>
    <row r="29">
      <c r="A29" s="306" t="inlineStr">
        <is>
          <t>CZ</t>
        </is>
      </c>
      <c r="B29" s="307" t="inlineStr">
        <is>
          <t>Czech Rep.</t>
        </is>
      </c>
      <c r="C29" s="308" t="n">
        <v>56</v>
      </c>
      <c r="D29" s="313" t="n">
        <v>0.8571428571428571</v>
      </c>
      <c r="E29" s="313" t="n">
        <v>0.1428571428571428</v>
      </c>
      <c r="F29" s="310" t="n">
        <v>0.4642857142857143</v>
      </c>
      <c r="G29" s="310" t="n">
        <v>0.75</v>
      </c>
      <c r="H29" s="313" t="n">
        <v>0.3571428571428572</v>
      </c>
      <c r="I29" s="316" t="inlineStr">
        <is>
          <t>🟢 Low</t>
        </is>
      </c>
    </row>
    <row r="30">
      <c r="A30" s="306" t="inlineStr">
        <is>
          <t>DE</t>
        </is>
      </c>
      <c r="B30" s="307" t="inlineStr">
        <is>
          <t>Germany</t>
        </is>
      </c>
      <c r="C30" s="308" t="n">
        <v>825</v>
      </c>
      <c r="D30" s="313" t="n">
        <v>0.8909090909090909</v>
      </c>
      <c r="E30" s="313" t="n">
        <v>0.1090909090909091</v>
      </c>
      <c r="F30" s="310" t="n">
        <v>0.7951515151515152</v>
      </c>
      <c r="G30" s="310" t="n">
        <v>0.8121212121212121</v>
      </c>
      <c r="H30" s="313" t="n">
        <v>0.7163636363636363</v>
      </c>
      <c r="I30" s="316" t="inlineStr">
        <is>
          <t>🟢 Low</t>
        </is>
      </c>
    </row>
    <row r="31">
      <c r="A31" s="306" t="inlineStr">
        <is>
          <t>BA</t>
        </is>
      </c>
      <c r="B31" s="307" t="inlineStr">
        <is>
          <t>BA</t>
        </is>
      </c>
      <c r="C31" s="308" t="n">
        <v>5</v>
      </c>
      <c r="D31" s="313" t="n">
        <v>1</v>
      </c>
      <c r="E31" s="313" t="n">
        <v>0</v>
      </c>
      <c r="F31" s="310" t="n">
        <v>1</v>
      </c>
      <c r="G31" s="310" t="n">
        <v>1</v>
      </c>
      <c r="H31" s="313" t="n">
        <v>1</v>
      </c>
      <c r="I31" s="316" t="inlineStr">
        <is>
          <t>🟢 Low</t>
        </is>
      </c>
    </row>
    <row r="32">
      <c r="A32" s="306" t="inlineStr">
        <is>
          <t>SI</t>
        </is>
      </c>
      <c r="B32" s="307" t="inlineStr">
        <is>
          <t>SI</t>
        </is>
      </c>
      <c r="C32" s="308" t="n">
        <v>8</v>
      </c>
      <c r="D32" s="313" t="n">
        <v>1</v>
      </c>
      <c r="E32" s="313" t="n">
        <v>0</v>
      </c>
      <c r="F32" s="310" t="n">
        <v>0.875</v>
      </c>
      <c r="G32" s="310" t="n">
        <v>0.375</v>
      </c>
      <c r="H32" s="310" t="n">
        <v>0.25</v>
      </c>
      <c r="I32" s="316" t="inlineStr">
        <is>
          <t>🟢 Low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1">
    <mergeCell ref="A1:L1"/>
  </mergeCells>
  <pageMargins left="0.75" right="0.75" top="1" bottom="1" header="0.5" footer="0.5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1"/>
  <sheetViews>
    <sheetView topLeftCell="A30" workbookViewId="0">
      <selection activeCell="A1" sqref="A1:E1"/>
    </sheetView>
  </sheetViews>
  <sheetFormatPr baseColWidth="10" defaultColWidth="8.83203125" defaultRowHeight="15"/>
  <cols>
    <col width="35" customWidth="1" style="387" min="1" max="1"/>
    <col width="25" customWidth="1" style="387" min="2" max="2"/>
    <col width="30" customWidth="1" style="387" min="3" max="3"/>
    <col width="22" customWidth="1" style="387" min="4" max="4"/>
    <col width="25" customWidth="1" style="387" min="5" max="5"/>
    <col width="8.83203125" customWidth="1" style="387" min="6" max="16384"/>
  </cols>
  <sheetData>
    <row r="1" ht="28" customHeight="1" s="340">
      <c r="A1" s="398" t="inlineStr">
        <is>
          <t>SYNC, DTL &amp; PLAUSIBILITY — Deep Analysis (16-Feb)</t>
        </is>
      </c>
    </row>
    <row r="3" ht="16" customHeight="1" s="340">
      <c r="A3" s="208" t="inlineStr">
        <is>
          <t>THREE-SOURCE SYNC: ROOT CAUSE (from 16-Feb meeting)</t>
        </is>
      </c>
    </row>
    <row r="4">
      <c r="A4" s="205" t="inlineStr">
        <is>
          <t>CargoWise → Track &amp; Trace Excel: SAME data, full operational extract</t>
        </is>
      </c>
    </row>
    <row r="5">
      <c r="A5" s="205" t="inlineStr">
        <is>
          <t>CargoWise → Maersk.com: Generic/public subset (standard offering only)</t>
        </is>
      </c>
    </row>
    <row r="6">
      <c r="A6" s="205" t="inlineStr">
        <is>
          <t>CargoWise → Seeburger DTL → EDI to Bosch: Quality checks FILTER messages</t>
        </is>
      </c>
    </row>
    <row r="7">
      <c r="A7" s="205" t="n"/>
    </row>
    <row r="8">
      <c r="A8" s="209" t="inlineStr">
        <is>
          <t>ROOT CAUSE: When DTL checks fail → message blocked → Bosch sees 'missing milestone'</t>
        </is>
      </c>
    </row>
    <row r="9">
      <c r="A9" s="205" t="inlineStr">
        <is>
          <t>Error log exists internally but no structured feedback loop to operations</t>
        </is>
      </c>
    </row>
    <row r="10">
      <c r="A10" s="209" t="inlineStr">
        <is>
          <t>PDCA REQUIRED: Document DTL checks, establish ops feedback loop, log monitoring</t>
        </is>
      </c>
    </row>
    <row r="13" ht="16" customHeight="1" s="340">
      <c r="A13" s="208" t="inlineStr">
        <is>
          <t>SC3/SC4 DOUBLE BOOKING (NEW from meeting)</t>
        </is>
      </c>
    </row>
    <row r="14">
      <c r="A14" s="205" t="inlineStr">
        <is>
          <t>~1/3 of shipments labeled SC4 were actually received as SC3</t>
        </is>
      </c>
    </row>
    <row r="15">
      <c r="A15" s="205" t="inlineStr">
        <is>
          <t>Cause: Incomplete SC3 → operator follows up via email → converts to SC4</t>
        </is>
      </c>
    </row>
    <row r="16">
      <c r="A16" s="205" t="inlineStr">
        <is>
          <t>Bosch suppliers also send emails when SC3 exists → creates duplicates</t>
        </is>
      </c>
    </row>
    <row r="17">
      <c r="A17" s="205" t="inlineStr">
        <is>
          <t>Fix (Maersk): Eurolog S09 + reason O01 to close duplicates (Karina)</t>
        </is>
      </c>
    </row>
    <row r="18">
      <c r="A18" s="205" t="inlineStr">
        <is>
          <t>Fix (Bosch): Instruct suppliers to stop emails when SC3 exists</t>
        </is>
      </c>
    </row>
    <row r="21" ht="19" customHeight="1" s="340">
      <c r="A21" s="210" t="inlineStr">
        <is>
          <t>MILESTONE INCONSISTENCY — DEEP ANALYSIS (662 Shipments, 1,500 Records)</t>
        </is>
      </c>
    </row>
    <row r="22">
      <c r="A22" s="211" t="inlineStr">
        <is>
          <t>Metric</t>
        </is>
      </c>
      <c r="B22" s="211" t="inlineStr">
        <is>
          <t>Value</t>
        </is>
      </c>
      <c r="C22" s="211" t="inlineStr">
        <is>
          <t>Significance</t>
        </is>
      </c>
    </row>
    <row r="23">
      <c r="A23" s="207" t="inlineStr">
        <is>
          <t>Total records in dataset</t>
        </is>
      </c>
      <c r="B23" s="207" t="inlineStr">
        <is>
          <t>1,500</t>
        </is>
      </c>
      <c r="C23" s="207" t="inlineStr">
        <is>
          <t>Across ETA (1,000) and ATA (500) violations</t>
        </is>
      </c>
    </row>
    <row r="24">
      <c r="A24" s="207" t="inlineStr">
        <is>
          <t>Unique affected HBLs</t>
        </is>
      </c>
      <c r="B24" s="207" t="inlineStr">
        <is>
          <t>550 of 662 (83%)</t>
        </is>
      </c>
      <c r="C24" s="207" t="inlineStr">
        <is>
          <t>Vast majority of flagged shipments have real issues</t>
        </is>
      </c>
    </row>
    <row r="25">
      <c r="A25" s="207" t="inlineStr">
        <is>
          <t>ETA sequence violations</t>
        </is>
      </c>
      <c r="B25" s="207" t="inlineStr">
        <is>
          <t>475 unique HBLs</t>
        </is>
      </c>
      <c r="C25" s="212" t="inlineStr">
        <is>
          <t>Estimates with impossible date order</t>
        </is>
      </c>
    </row>
    <row r="26">
      <c r="A26" s="207" t="inlineStr">
        <is>
          <t>ATA sequence violations</t>
        </is>
      </c>
      <c r="B26" s="207" t="inlineStr">
        <is>
          <t>76 unique HBLs</t>
        </is>
      </c>
      <c r="C26" s="212" t="inlineStr">
        <is>
          <t>ACTUALS recorded in wrong order — data quality failure</t>
        </is>
      </c>
    </row>
    <row r="27">
      <c r="A27" s="207" t="inlineStr">
        <is>
          <t>Dominant issue</t>
        </is>
      </c>
      <c r="B27" s="207" t="inlineStr">
        <is>
          <t>POD &gt; Delivery (83%)</t>
        </is>
      </c>
      <c r="C27" s="212" t="inlineStr">
        <is>
          <t>Port arrival dated after door delivery — physically impossible</t>
        </is>
      </c>
    </row>
    <row r="28">
      <c r="A28" s="207" t="inlineStr">
        <is>
          <t>NON TMC / SC4 share</t>
        </is>
      </c>
      <c r="B28" s="207" t="inlineStr">
        <is>
          <t>63% of ETA violations</t>
        </is>
      </c>
      <c r="C28" s="207" t="inlineStr">
        <is>
          <t>Manual entry is the primary root cause (300 HBLs)</t>
        </is>
      </c>
    </row>
    <row r="29">
      <c r="A29" s="207" t="inlineStr">
        <is>
          <t>61-90 day gap cluster</t>
        </is>
      </c>
      <c r="B29" s="207" t="inlineStr">
        <is>
          <t>31% of POD&gt;Delivery</t>
        </is>
      </c>
      <c r="C29" s="207" t="inlineStr">
        <is>
          <t>Suggests bulk upload / template error pattern</t>
        </is>
      </c>
    </row>
    <row r="30">
      <c r="A30" s="207" t="inlineStr">
        <is>
          <t>ATA median gap</t>
        </is>
      </c>
      <c r="B30" s="207" t="inlineStr">
        <is>
          <t>73 days</t>
        </is>
      </c>
      <c r="C30" s="207" t="inlineStr">
        <is>
          <t>Actuals MORE wrong than estimates — operators entering out-of-sequence</t>
        </is>
      </c>
    </row>
    <row r="31">
      <c r="A31" s="207" t="inlineStr">
        <is>
          <t>ETA median gap</t>
        </is>
      </c>
      <c r="B31" s="207" t="inlineStr">
        <is>
          <t>15 days</t>
        </is>
      </c>
      <c r="C31" s="207" t="inlineStr">
        <is>
          <t>Estimates are wrong but less severely than actuals</t>
        </is>
      </c>
    </row>
    <row r="34">
      <c r="A34" s="206" t="inlineStr">
        <is>
          <t>DUPLICATION CLARIFICATION:</t>
        </is>
      </c>
    </row>
    <row r="35">
      <c r="A35" s="205" t="inlineStr">
        <is>
          <t>Multiple ETA rows per HBL = VALID (estimates get revised; 51% of HBLs have 2+ revisions)</t>
        </is>
      </c>
    </row>
    <row r="36">
      <c r="A36" s="205" t="inlineStr">
        <is>
          <t>ATA rows: duplicated with IDENTICAL dates (multiple containers/TOs per shipment)</t>
        </is>
      </c>
    </row>
    <row r="37">
      <c r="A37" s="205" t="inlineStr">
        <is>
          <t>No conflicting actual dates found — ATA duplication is structural, not a data quality issue</t>
        </is>
      </c>
    </row>
    <row r="38">
      <c r="A38" s="205" t="inlineStr">
        <is>
          <t>The 76 ATA violations are genuine sequence errors, not duplication artifacts</t>
        </is>
      </c>
    </row>
    <row r="41">
      <c r="A41" s="206" t="inlineStr">
        <is>
          <t>POD &gt; DELIVERY GAP SEVERITY (1,010 records — 83% of all violations)</t>
        </is>
      </c>
    </row>
    <row r="42">
      <c r="A42" s="211" t="inlineStr">
        <is>
          <t>Bucket</t>
        </is>
      </c>
      <c r="B42" s="211" t="inlineStr">
        <is>
          <t>ETA Records</t>
        </is>
      </c>
      <c r="C42" s="211" t="inlineStr">
        <is>
          <t>ATA Records</t>
        </is>
      </c>
      <c r="D42" s="211" t="inlineStr">
        <is>
          <t>% of Total</t>
        </is>
      </c>
      <c r="E42" s="211" t="inlineStr">
        <is>
          <t>Likely Cause</t>
        </is>
      </c>
    </row>
    <row r="43">
      <c r="A43" s="207" t="inlineStr">
        <is>
          <t>1-7 days</t>
        </is>
      </c>
      <c r="B43" s="207" t="inlineStr">
        <is>
          <t>309</t>
        </is>
      </c>
      <c r="C43" s="207" t="inlineStr">
        <is>
          <t>52</t>
        </is>
      </c>
      <c r="D43" s="207" t="inlineStr">
        <is>
          <t>35.7%</t>
        </is>
      </c>
      <c r="E43" s="207" t="inlineStr">
        <is>
          <t>Timezone / rounding — low severity but still invalid</t>
        </is>
      </c>
    </row>
    <row r="44">
      <c r="A44" s="207" t="inlineStr">
        <is>
          <t>8-30 days</t>
        </is>
      </c>
      <c r="B44" s="207" t="inlineStr">
        <is>
          <t>171</t>
        </is>
      </c>
      <c r="C44" s="207" t="inlineStr">
        <is>
          <t>28</t>
        </is>
      </c>
      <c r="D44" s="207" t="inlineStr">
        <is>
          <t>19.7%</t>
        </is>
      </c>
      <c r="E44" s="207" t="inlineStr">
        <is>
          <t>Operator error — medium severity</t>
        </is>
      </c>
    </row>
    <row r="45">
      <c r="A45" s="207" t="inlineStr">
        <is>
          <t>31-60 days</t>
        </is>
      </c>
      <c r="B45" s="207" t="inlineStr">
        <is>
          <t>99</t>
        </is>
      </c>
      <c r="C45" s="207" t="inlineStr">
        <is>
          <t>13</t>
        </is>
      </c>
      <c r="D45" s="207" t="inlineStr">
        <is>
          <t>11.1%</t>
        </is>
      </c>
      <c r="E45" s="207" t="inlineStr">
        <is>
          <t>Wrong milestone updated — high severity</t>
        </is>
      </c>
    </row>
    <row r="46">
      <c r="A46" s="207" t="inlineStr">
        <is>
          <t>61-90 days</t>
        </is>
      </c>
      <c r="B46" s="207" t="inlineStr">
        <is>
          <t>278</t>
        </is>
      </c>
      <c r="C46" s="207" t="inlineStr">
        <is>
          <t>32</t>
        </is>
      </c>
      <c r="D46" s="207" t="inlineStr">
        <is>
          <t>30.7%</t>
        </is>
      </c>
      <c r="E46" s="212" t="inlineStr">
        <is>
          <t>Bulk upload / template error — SYSTEMIC pattern</t>
        </is>
      </c>
    </row>
    <row r="47">
      <c r="A47" s="207" t="inlineStr">
        <is>
          <t>&gt;90 days</t>
        </is>
      </c>
      <c r="B47" s="207" t="inlineStr">
        <is>
          <t>22</t>
        </is>
      </c>
      <c r="C47" s="207" t="inlineStr">
        <is>
          <t>6</t>
        </is>
      </c>
      <c r="D47" s="207" t="inlineStr">
        <is>
          <t>2.8%</t>
        </is>
      </c>
      <c r="E47" s="212" t="inlineStr">
        <is>
          <t>Data corruption — critical (up to 367 days)</t>
        </is>
      </c>
    </row>
    <row r="50">
      <c r="A50" s="213" t="inlineStr">
        <is>
          <t>PROPOSED PLAUSIBILITY RULES (for dashboard — committed Nov '25, OVERDUE)</t>
        </is>
      </c>
    </row>
    <row r="51">
      <c r="A51" s="214" t="inlineStr">
        <is>
          <t>Rule</t>
        </is>
      </c>
      <c r="B51" s="214" t="inlineStr">
        <is>
          <t>Condition</t>
        </is>
      </c>
      <c r="C51" s="214" t="inlineStr">
        <is>
          <t>Severity</t>
        </is>
      </c>
      <c r="D51" s="214" t="inlineStr">
        <is>
          <t>Auto-Action</t>
        </is>
      </c>
      <c r="E51" s="214" t="inlineStr">
        <is>
          <t>Expected Catch</t>
        </is>
      </c>
    </row>
    <row r="52">
      <c r="A52" s="207" t="inlineStr">
        <is>
          <t>Seq: POD &gt; Delivery</t>
        </is>
      </c>
      <c r="B52" s="207" t="inlineStr">
        <is>
          <t>Port Discharge after Door Delivery</t>
        </is>
      </c>
      <c r="C52" s="207" t="inlineStr">
        <is>
          <t>Critical</t>
        </is>
      </c>
      <c r="D52" s="207" t="inlineStr">
        <is>
          <t>Block + alert</t>
        </is>
      </c>
      <c r="E52" s="207" t="inlineStr">
        <is>
          <t>83% of violations</t>
        </is>
      </c>
    </row>
    <row r="53">
      <c r="A53" s="207" t="inlineStr">
        <is>
          <t>Seq: POL &gt; POD</t>
        </is>
      </c>
      <c r="B53" s="207" t="inlineStr">
        <is>
          <t>Vessel departure after port arrival</t>
        </is>
      </c>
      <c r="C53" s="207" t="inlineStr">
        <is>
          <t>Critical</t>
        </is>
      </c>
      <c r="D53" s="207" t="inlineStr">
        <is>
          <t>Block + alert</t>
        </is>
      </c>
      <c r="E53" s="207" t="inlineStr">
        <is>
          <t>4% of violations</t>
        </is>
      </c>
    </row>
    <row r="54">
      <c r="A54" s="207" t="inlineStr">
        <is>
          <t>Seq: Pickup &gt; POL</t>
        </is>
      </c>
      <c r="B54" s="207" t="inlineStr">
        <is>
          <t>Collection after vessel departure</t>
        </is>
      </c>
      <c r="C54" s="207" t="inlineStr">
        <is>
          <t>Critical</t>
        </is>
      </c>
      <c r="D54" s="207" t="inlineStr">
        <is>
          <t>Block + alert</t>
        </is>
      </c>
      <c r="E54" s="207" t="inlineStr">
        <is>
          <t>8% of violations</t>
        </is>
      </c>
    </row>
    <row r="55">
      <c r="A55" s="207" t="inlineStr">
        <is>
          <t>Gap: &gt;60d between stages</t>
        </is>
      </c>
      <c r="B55" s="207" t="inlineStr">
        <is>
          <t>Unrealistic transit gap</t>
        </is>
      </c>
      <c r="C55" s="207" t="inlineStr">
        <is>
          <t>Warning</t>
        </is>
      </c>
      <c r="D55" s="207" t="inlineStr">
        <is>
          <t>Flag for review</t>
        </is>
      </c>
      <c r="E55" s="207" t="inlineStr">
        <is>
          <t>31% severity bucket</t>
        </is>
      </c>
    </row>
    <row r="56">
      <c r="A56" s="207" t="inlineStr">
        <is>
          <t>ATA gap &gt; 73d</t>
        </is>
      </c>
      <c r="B56" s="207" t="inlineStr">
        <is>
          <t>Actuals with extreme gaps</t>
        </is>
      </c>
      <c r="C56" s="207" t="inlineStr">
        <is>
          <t>Critical</t>
        </is>
      </c>
      <c r="D56" s="207" t="inlineStr">
        <is>
          <t>Lock record</t>
        </is>
      </c>
      <c r="E56" s="207" t="inlineStr">
        <is>
          <t>76 ATA HBLs</t>
        </is>
      </c>
    </row>
    <row r="57">
      <c r="A57" s="207" t="inlineStr">
        <is>
          <t>Retroactive: ETA after ATA</t>
        </is>
      </c>
      <c r="B57" s="207" t="inlineStr">
        <is>
          <t>Estimate updated after actual</t>
        </is>
      </c>
      <c r="C57" s="207" t="inlineStr">
        <is>
          <t>Critical</t>
        </is>
      </c>
      <c r="D57" s="207" t="inlineStr">
        <is>
          <t>Prevent edit</t>
        </is>
      </c>
      <c r="E57" s="207" t="inlineStr">
        <is>
          <t>701+ HBLs (POD data)</t>
        </is>
      </c>
    </row>
    <row r="58">
      <c r="A58" s="207" t="inlineStr">
        <is>
          <t>Bulk: &gt;50 same-day edits</t>
        </is>
      </c>
      <c r="B58" s="207" t="inlineStr">
        <is>
          <t>Mass update pattern detection</t>
        </is>
      </c>
      <c r="C58" s="207" t="inlineStr">
        <is>
          <t>Warning</t>
        </is>
      </c>
      <c r="D58" s="207" t="inlineStr">
        <is>
          <t>Flag batch</t>
        </is>
      </c>
      <c r="E58" s="207" t="inlineStr">
        <is>
          <t>Dec 12: 994 HBLs</t>
        </is>
      </c>
    </row>
    <row r="61" ht="16" customHeight="1" s="340">
      <c r="A61" s="208" t="inlineStr">
        <is>
          <t>ESCALATION: Dashboard + rules committed Nov '25. Mimel aware. Must show progress Thursday 19-Feb.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4472C4"/>
    <outlinePr summaryBelow="1" summaryRight="1"/>
    <pageSetUpPr/>
  </sheetPr>
  <dimension ref="A1:I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5" sqref="G5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8" customWidth="1" style="149" min="3" max="3"/>
    <col width="13" customWidth="1" style="149" min="4" max="8"/>
    <col width="8.6640625" customWidth="1" style="149" min="9" max="16384"/>
  </cols>
  <sheetData>
    <row r="1" ht="30" customHeight="1" s="340">
      <c r="A1" s="384" t="inlineStr">
        <is>
          <t>SC4 - Week-over-Week Trend Summary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</row>
    <row r="3">
      <c r="A3" s="399" t="inlineStr">
        <is>
          <t>CRITICAL MILESTONES (S00, S02, S04, S07, S31, S45)</t>
        </is>
      </c>
      <c r="B3" s="441" t="n"/>
      <c r="C3" s="441" t="n"/>
      <c r="D3" s="441" t="n"/>
      <c r="E3" s="441" t="n"/>
      <c r="F3" s="441" t="n"/>
      <c r="G3" s="441" t="n"/>
      <c r="H3" s="441" t="n"/>
      <c r="I3" s="441" t="n"/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0" t="inlineStr">
        <is>
          <t>Metric</t>
        </is>
      </c>
      <c r="D4" s="150" t="inlineStr">
        <is>
          <t>Week 1</t>
        </is>
      </c>
      <c r="E4" s="150" t="inlineStr">
        <is>
          <t>Week 2</t>
        </is>
      </c>
      <c r="F4" s="150" t="inlineStr">
        <is>
          <t>Week 3</t>
        </is>
      </c>
      <c r="G4" s="150" t="inlineStr">
        <is>
          <t>Week 4</t>
        </is>
      </c>
      <c r="H4" s="160" t="inlineStr">
        <is>
          <t>W1→W4
Delta</t>
        </is>
      </c>
    </row>
    <row r="5">
      <c r="A5" s="152" t="inlineStr">
        <is>
          <t>S00 - Shipment created</t>
        </is>
      </c>
      <c r="B5" s="153" t="inlineStr">
        <is>
          <t>Actual</t>
        </is>
      </c>
      <c r="C5" s="153" t="inlineStr">
        <is>
          <t>Completeness</t>
        </is>
      </c>
      <c r="D5" s="155" t="n">
        <v>0.52</v>
      </c>
      <c r="E5" s="155" t="n">
        <v>0.36</v>
      </c>
      <c r="F5" s="155" t="n">
        <v>0.35</v>
      </c>
      <c r="G5" s="155" t="n">
        <v>0.5</v>
      </c>
      <c r="H5" s="161" t="n">
        <v>-0.02</v>
      </c>
    </row>
    <row r="6">
      <c r="A6" s="152" t="inlineStr">
        <is>
          <t>S00 - Shipment created</t>
        </is>
      </c>
      <c r="B6" s="153" t="inlineStr">
        <is>
          <t>Actual</t>
        </is>
      </c>
      <c r="C6" s="153" t="inlineStr">
        <is>
          <t>Timeliness</t>
        </is>
      </c>
      <c r="D6" s="155" t="n">
        <v>0.52</v>
      </c>
      <c r="E6" s="155" t="n">
        <v>0.36</v>
      </c>
      <c r="F6" s="155" t="n">
        <v>0.35</v>
      </c>
      <c r="G6" s="155" t="n">
        <v>0.49</v>
      </c>
      <c r="H6" s="161" t="n">
        <v>-0.03</v>
      </c>
    </row>
    <row r="7">
      <c r="A7" s="152" t="inlineStr">
        <is>
          <t>S02 - Collected</t>
        </is>
      </c>
      <c r="B7" s="153" t="inlineStr">
        <is>
          <t>Estimated</t>
        </is>
      </c>
      <c r="C7" s="153" t="inlineStr">
        <is>
          <t>Completeness</t>
        </is>
      </c>
      <c r="D7" s="155" t="n">
        <v>0.79</v>
      </c>
      <c r="E7" s="155" t="n">
        <v>0.83</v>
      </c>
      <c r="F7" s="155" t="n">
        <v>0.85</v>
      </c>
      <c r="G7" s="155" t="n">
        <v>0.87</v>
      </c>
      <c r="H7" s="162" t="n">
        <v>0.08</v>
      </c>
    </row>
    <row r="8">
      <c r="A8" s="152" t="inlineStr">
        <is>
          <t>S02 - Collected</t>
        </is>
      </c>
      <c r="B8" s="153" t="inlineStr">
        <is>
          <t>Estimated</t>
        </is>
      </c>
      <c r="C8" s="153" t="inlineStr">
        <is>
          <t>Timeliness</t>
        </is>
      </c>
      <c r="D8" s="155" t="n">
        <v>0.41</v>
      </c>
      <c r="E8" s="155" t="n">
        <v>0.36</v>
      </c>
      <c r="F8" s="155" t="n">
        <v>0.34</v>
      </c>
      <c r="G8" s="155" t="n">
        <v>0.43</v>
      </c>
      <c r="H8" s="162" t="n">
        <v>0.02</v>
      </c>
    </row>
    <row r="9">
      <c r="A9" s="152" t="inlineStr">
        <is>
          <t>S02 - Collected</t>
        </is>
      </c>
      <c r="B9" s="153" t="inlineStr">
        <is>
          <t>Actual</t>
        </is>
      </c>
      <c r="C9" s="153" t="inlineStr">
        <is>
          <t>Completeness</t>
        </is>
      </c>
      <c r="D9" s="155" t="n">
        <v>0.92</v>
      </c>
      <c r="E9" s="155" t="n">
        <v>0.95</v>
      </c>
      <c r="F9" s="155" t="n">
        <v>0.88</v>
      </c>
      <c r="G9" s="155" t="n">
        <v>0.9</v>
      </c>
      <c r="H9" s="161" t="n">
        <v>-0.02</v>
      </c>
    </row>
    <row r="10">
      <c r="A10" s="152" t="inlineStr">
        <is>
          <t>S02 - Collected</t>
        </is>
      </c>
      <c r="B10" s="153" t="inlineStr">
        <is>
          <t>Actual</t>
        </is>
      </c>
      <c r="C10" s="153" t="inlineStr">
        <is>
          <t>Timeliness</t>
        </is>
      </c>
      <c r="D10" s="155" t="n">
        <v>0.17</v>
      </c>
      <c r="E10" s="155" t="n">
        <v>0.39</v>
      </c>
      <c r="F10" s="155" t="n">
        <v>0.34</v>
      </c>
      <c r="G10" s="155" t="n">
        <v>0.4</v>
      </c>
      <c r="H10" s="162" t="n">
        <v>0.23</v>
      </c>
    </row>
    <row r="11">
      <c r="A11" s="152" t="inlineStr">
        <is>
          <t>S04 - Vessel/ flight departed</t>
        </is>
      </c>
      <c r="B11" s="153" t="inlineStr">
        <is>
          <t>Estimated</t>
        </is>
      </c>
      <c r="C11" s="153" t="inlineStr">
        <is>
          <t>Completeness</t>
        </is>
      </c>
      <c r="D11" s="155" t="n">
        <v>0.99</v>
      </c>
      <c r="E11" s="155" t="n">
        <v>0.99</v>
      </c>
      <c r="F11" s="155" t="n">
        <v>0.96</v>
      </c>
      <c r="G11" s="155" t="n">
        <v>0.97</v>
      </c>
      <c r="H11" s="161" t="n">
        <v>-0.02</v>
      </c>
    </row>
    <row r="12">
      <c r="A12" s="152" t="inlineStr">
        <is>
          <t>S04 - Vessel/ flight departed</t>
        </is>
      </c>
      <c r="B12" s="153" t="inlineStr">
        <is>
          <t>Estimated</t>
        </is>
      </c>
      <c r="C12" s="153" t="inlineStr">
        <is>
          <t>Timeliness</t>
        </is>
      </c>
      <c r="D12" s="155" t="n">
        <v>0.38</v>
      </c>
      <c r="E12" s="155" t="n">
        <v>0.43</v>
      </c>
      <c r="F12" s="155" t="n">
        <v>0.37</v>
      </c>
      <c r="G12" s="155" t="n">
        <v>0.43</v>
      </c>
      <c r="H12" s="162" t="n">
        <v>0.05</v>
      </c>
    </row>
    <row r="13">
      <c r="A13" s="152" t="inlineStr">
        <is>
          <t>S04 - Vessel/ flight departed</t>
        </is>
      </c>
      <c r="B13" s="153" t="inlineStr">
        <is>
          <t>Actual</t>
        </is>
      </c>
      <c r="C13" s="153" t="inlineStr">
        <is>
          <t>Completeness</t>
        </is>
      </c>
      <c r="D13" s="155" t="n">
        <v>0.96</v>
      </c>
      <c r="E13" s="155" t="n">
        <v>0.93</v>
      </c>
      <c r="F13" s="155" t="n">
        <v>0.83</v>
      </c>
      <c r="G13" s="155" t="n">
        <v>0.88</v>
      </c>
      <c r="H13" s="161" t="n">
        <v>-0.08</v>
      </c>
    </row>
    <row r="14">
      <c r="A14" s="152" t="inlineStr">
        <is>
          <t>S04 - Vessel/ flight departed</t>
        </is>
      </c>
      <c r="B14" s="153" t="inlineStr">
        <is>
          <t>Actual</t>
        </is>
      </c>
      <c r="C14" s="153" t="inlineStr">
        <is>
          <t>Timeliness</t>
        </is>
      </c>
      <c r="D14" s="155" t="n">
        <v>0.83</v>
      </c>
      <c r="E14" s="155" t="n">
        <v>0.55</v>
      </c>
      <c r="F14" s="155" t="n">
        <v>0.52</v>
      </c>
      <c r="G14" s="155" t="n">
        <v>0.54</v>
      </c>
      <c r="H14" s="161" t="n">
        <v>-0.29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3" t="inlineStr">
        <is>
          <t>Completeness</t>
        </is>
      </c>
      <c r="D15" s="155" t="n">
        <v>1</v>
      </c>
      <c r="E15" s="155" t="n">
        <v>0.96</v>
      </c>
      <c r="F15" s="155" t="n">
        <v>0.93</v>
      </c>
      <c r="G15" s="155" t="n">
        <v>0.9399999999999999</v>
      </c>
      <c r="H15" s="161" t="n">
        <v>-0.0600000000000001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3" t="inlineStr">
        <is>
          <t>Timeliness</t>
        </is>
      </c>
      <c r="D16" s="155" t="n">
        <v>0.26</v>
      </c>
      <c r="E16" s="155" t="n">
        <v>0.21</v>
      </c>
      <c r="F16" s="155" t="n">
        <v>0.18</v>
      </c>
      <c r="G16" s="155" t="n">
        <v>0.22</v>
      </c>
      <c r="H16" s="161" t="n">
        <v>-0.04</v>
      </c>
    </row>
    <row r="17">
      <c r="A17" s="152" t="inlineStr">
        <is>
          <t>S07 - Vessel/ flight arrived</t>
        </is>
      </c>
      <c r="B17" s="153" t="inlineStr">
        <is>
          <t>Actual</t>
        </is>
      </c>
      <c r="C17" s="153" t="inlineStr">
        <is>
          <t>Completeness</t>
        </is>
      </c>
      <c r="D17" s="155" t="n">
        <v>0.83</v>
      </c>
      <c r="E17" s="155" t="n">
        <v>0.83</v>
      </c>
      <c r="F17" s="155" t="n">
        <v>0.8100000000000001</v>
      </c>
      <c r="G17" s="155" t="n">
        <v>0.84</v>
      </c>
      <c r="H17" s="162" t="n">
        <v>0.01</v>
      </c>
    </row>
    <row r="18">
      <c r="A18" s="152" t="inlineStr">
        <is>
          <t>S07 - Vessel/ flight arrived</t>
        </is>
      </c>
      <c r="B18" s="153" t="inlineStr">
        <is>
          <t>Actual</t>
        </is>
      </c>
      <c r="C18" s="153" t="inlineStr">
        <is>
          <t>Timeliness</t>
        </is>
      </c>
      <c r="D18" s="155" t="n">
        <v>0.33</v>
      </c>
      <c r="E18" s="155" t="n">
        <v>0.66</v>
      </c>
      <c r="F18" s="155" t="n">
        <v>0.61</v>
      </c>
      <c r="G18" s="155" t="n">
        <v>0.52</v>
      </c>
      <c r="H18" s="162" t="n">
        <v>0.19</v>
      </c>
    </row>
    <row r="19">
      <c r="A19" s="152" t="inlineStr">
        <is>
          <t>S45 - Handover to broker</t>
        </is>
      </c>
      <c r="B19" s="153" t="inlineStr">
        <is>
          <t>Actual</t>
        </is>
      </c>
      <c r="C19" s="153" t="inlineStr">
        <is>
          <t>Completeness</t>
        </is>
      </c>
      <c r="D19" s="155" t="n">
        <v>1</v>
      </c>
      <c r="E19" s="155" t="n">
        <v>1</v>
      </c>
      <c r="F19" s="155" t="n">
        <v>0.5600000000000001</v>
      </c>
      <c r="G19" s="155" t="n">
        <v>0.42</v>
      </c>
      <c r="H19" s="161" t="n">
        <v>-0.58</v>
      </c>
    </row>
    <row r="20">
      <c r="A20" s="152" t="inlineStr">
        <is>
          <t>S45 - Handover to broker</t>
        </is>
      </c>
      <c r="B20" s="153" t="inlineStr">
        <is>
          <t>Actual</t>
        </is>
      </c>
      <c r="C20" s="153" t="inlineStr">
        <is>
          <t>Timeliness</t>
        </is>
      </c>
      <c r="D20" s="155" t="n">
        <v>1</v>
      </c>
      <c r="E20" s="155" t="n">
        <v>0.92</v>
      </c>
      <c r="F20" s="155" t="n">
        <v>0.54</v>
      </c>
      <c r="G20" s="155" t="n">
        <v>0.37</v>
      </c>
      <c r="H20" s="161" t="n">
        <v>-0.63</v>
      </c>
    </row>
    <row r="21">
      <c r="A21" s="152" t="inlineStr">
        <is>
          <t>S31 - Delivered</t>
        </is>
      </c>
      <c r="B21" s="153" t="inlineStr">
        <is>
          <t>Estimated</t>
        </is>
      </c>
      <c r="C21" s="153" t="inlineStr">
        <is>
          <t>Completeness</t>
        </is>
      </c>
      <c r="D21" s="155" t="n">
        <v>0.96</v>
      </c>
      <c r="E21" s="155" t="n">
        <v>0.99</v>
      </c>
      <c r="F21" s="155" t="n">
        <v>0.97</v>
      </c>
      <c r="G21" s="155" t="n">
        <v>0.98</v>
      </c>
      <c r="H21" s="162" t="n">
        <v>0.02</v>
      </c>
    </row>
    <row r="22">
      <c r="A22" s="152" t="inlineStr">
        <is>
          <t>S31 - Delivered</t>
        </is>
      </c>
      <c r="B22" s="153" t="inlineStr">
        <is>
          <t>Estimated</t>
        </is>
      </c>
      <c r="C22" s="153" t="inlineStr">
        <is>
          <t>Timeliness</t>
        </is>
      </c>
      <c r="D22" s="155" t="n">
        <v>0.8</v>
      </c>
      <c r="E22" s="155" t="n">
        <v>0.82</v>
      </c>
      <c r="F22" s="155" t="n">
        <v>0.7</v>
      </c>
      <c r="G22" s="155" t="n">
        <v>0.67</v>
      </c>
      <c r="H22" s="161" t="n">
        <v>-0.13</v>
      </c>
    </row>
    <row r="23">
      <c r="A23" s="152" t="inlineStr">
        <is>
          <t>S31 - Delivered</t>
        </is>
      </c>
      <c r="B23" s="153" t="inlineStr">
        <is>
          <t>Actual</t>
        </is>
      </c>
      <c r="C23" s="153" t="inlineStr">
        <is>
          <t>Completeness</t>
        </is>
      </c>
      <c r="D23" s="155" t="n">
        <v>1</v>
      </c>
      <c r="E23" s="155" t="n">
        <v>1</v>
      </c>
      <c r="F23" s="155" t="n">
        <v>0.76</v>
      </c>
      <c r="G23" s="155" t="n">
        <v>0.83</v>
      </c>
      <c r="H23" s="161" t="n">
        <v>-0.17</v>
      </c>
    </row>
    <row r="24">
      <c r="A24" s="152" t="inlineStr">
        <is>
          <t>S31 - Delivered</t>
        </is>
      </c>
      <c r="B24" s="153" t="inlineStr">
        <is>
          <t>Actual</t>
        </is>
      </c>
      <c r="C24" s="153" t="inlineStr">
        <is>
          <t>Timeliness</t>
        </is>
      </c>
      <c r="D24" s="155" t="n">
        <v>0.04</v>
      </c>
      <c r="E24" s="155" t="n">
        <v>0.12</v>
      </c>
      <c r="F24" s="155" t="n">
        <v>0.29</v>
      </c>
      <c r="G24" s="155" t="n">
        <v>0.09</v>
      </c>
      <c r="H24" s="162" t="n">
        <v>0.05</v>
      </c>
    </row>
    <row r="26">
      <c r="A26" s="400" t="inlineStr">
        <is>
          <t>Critical Milestone Averages</t>
        </is>
      </c>
      <c r="B26" s="441" t="n"/>
      <c r="C26" s="441" t="n"/>
      <c r="D26" s="441" t="n"/>
      <c r="E26" s="441" t="n"/>
      <c r="F26" s="441" t="n"/>
      <c r="G26" s="441" t="n"/>
      <c r="H26" s="441" t="n"/>
      <c r="I26" s="441" t="n"/>
    </row>
    <row r="27">
      <c r="A27" s="157" t="n"/>
      <c r="B27" s="157" t="n"/>
      <c r="C27" s="163" t="inlineStr">
        <is>
          <t>Avg Completeness</t>
        </is>
      </c>
      <c r="D27" s="164" t="n">
        <v>0.897</v>
      </c>
      <c r="E27" s="164" t="n">
        <v>0.884</v>
      </c>
      <c r="F27" s="164" t="n">
        <v>0.79</v>
      </c>
      <c r="G27" s="164" t="n">
        <v>0.8129999999999999</v>
      </c>
      <c r="H27" s="165" t="n">
        <v>-0.0840000000000001</v>
      </c>
    </row>
    <row r="28">
      <c r="A28" s="157" t="n"/>
      <c r="B28" s="157" t="n"/>
      <c r="C28" s="163" t="inlineStr">
        <is>
          <t>Avg Timeliness</t>
        </is>
      </c>
      <c r="D28" s="164" t="n">
        <v>0.474</v>
      </c>
      <c r="E28" s="164" t="n">
        <v>0.482</v>
      </c>
      <c r="F28" s="164" t="n">
        <v>0.424</v>
      </c>
      <c r="G28" s="164" t="n">
        <v>0.416</v>
      </c>
      <c r="H28" s="165" t="n">
        <v>-0.0579999999999999</v>
      </c>
    </row>
    <row r="31">
      <c r="A31" s="399" t="inlineStr">
        <is>
          <t>ALL MILESTONES - AVERAGES</t>
        </is>
      </c>
      <c r="B31" s="441" t="n"/>
      <c r="C31" s="441" t="n"/>
      <c r="D31" s="441" t="n"/>
      <c r="E31" s="441" t="n"/>
      <c r="F31" s="441" t="n"/>
      <c r="G31" s="441" t="n"/>
      <c r="H31" s="441" t="n"/>
      <c r="I31" s="441" t="n"/>
    </row>
    <row r="32" ht="34.5" customHeight="1" s="340">
      <c r="A32" s="166" t="n"/>
      <c r="B32" s="166" t="n"/>
      <c r="C32" s="150" t="inlineStr">
        <is>
          <t>Metric</t>
        </is>
      </c>
      <c r="D32" s="150" t="inlineStr">
        <is>
          <t>Week 1</t>
        </is>
      </c>
      <c r="E32" s="150" t="inlineStr">
        <is>
          <t>Week 2</t>
        </is>
      </c>
      <c r="F32" s="150" t="inlineStr">
        <is>
          <t>Week 3</t>
        </is>
      </c>
      <c r="G32" s="150" t="inlineStr">
        <is>
          <t>Week 4</t>
        </is>
      </c>
      <c r="H32" s="160" t="inlineStr">
        <is>
          <t>W1→W4
Delta</t>
        </is>
      </c>
    </row>
    <row r="33">
      <c r="C33" s="163" t="inlineStr">
        <is>
          <t>Avg Completeness</t>
        </is>
      </c>
      <c r="D33" s="164" t="n">
        <v>0.722380952380953</v>
      </c>
      <c r="E33" s="164" t="n">
        <v>0.6466666666666669</v>
      </c>
      <c r="F33" s="164" t="n">
        <v>0.616190476190476</v>
      </c>
      <c r="G33" s="164" t="n">
        <v>0.708095238095238</v>
      </c>
      <c r="H33" s="165" t="n">
        <v>-0.0142857142857144</v>
      </c>
    </row>
    <row r="34">
      <c r="C34" s="163" t="inlineStr">
        <is>
          <t>Avg Timeliness</t>
        </is>
      </c>
      <c r="D34" s="164" t="n">
        <v>0.392380952380952</v>
      </c>
      <c r="E34" s="164" t="n">
        <v>0.373809523809524</v>
      </c>
      <c r="F34" s="164" t="n">
        <v>0.334285714285714</v>
      </c>
      <c r="G34" s="164" t="n">
        <v>0.387142857142857</v>
      </c>
      <c r="H34" s="165" t="n">
        <v>-0.00523809523809521</v>
      </c>
    </row>
  </sheetData>
  <mergeCells count="4">
    <mergeCell ref="A1:I1"/>
    <mergeCell ref="A26:I26"/>
    <mergeCell ref="A31:I31"/>
    <mergeCell ref="A3:I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4472C4"/>
    <outlinePr summaryBelow="1" summaryRight="1"/>
    <pageSetUpPr/>
  </sheetPr>
  <dimension ref="A1:I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8" sqref="D28:F29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8" customWidth="1" style="149" min="3" max="3"/>
    <col width="13" customWidth="1" style="149" min="4" max="8"/>
    <col width="8.6640625" customWidth="1" style="149" min="9" max="16384"/>
  </cols>
  <sheetData>
    <row r="1" ht="30" customHeight="1" s="340">
      <c r="A1" s="384" t="inlineStr">
        <is>
          <t>SC3 - Week-over-Week Trend Summary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</row>
    <row r="3">
      <c r="A3" s="399" t="inlineStr">
        <is>
          <t>CRITICAL MILESTONES (S02, S04, S07, S31, S45)</t>
        </is>
      </c>
      <c r="B3" s="441" t="n"/>
      <c r="C3" s="441" t="n"/>
      <c r="D3" s="441" t="n"/>
      <c r="E3" s="441" t="n"/>
      <c r="F3" s="441" t="n"/>
      <c r="G3" s="441" t="n"/>
      <c r="H3" s="441" t="n"/>
      <c r="I3" s="441" t="n"/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0" t="inlineStr">
        <is>
          <t>Metric</t>
        </is>
      </c>
      <c r="D4" s="150" t="inlineStr">
        <is>
          <t>Week 1</t>
        </is>
      </c>
      <c r="E4" s="150" t="inlineStr">
        <is>
          <t>Week 2</t>
        </is>
      </c>
      <c r="F4" s="150" t="inlineStr">
        <is>
          <t>Week 3</t>
        </is>
      </c>
      <c r="G4" s="150" t="inlineStr">
        <is>
          <t>Week 4</t>
        </is>
      </c>
      <c r="H4" s="160" t="inlineStr">
        <is>
          <t>W1→W4
Delta</t>
        </is>
      </c>
    </row>
    <row r="5">
      <c r="A5" s="152" t="inlineStr">
        <is>
          <t>S02 - Collected</t>
        </is>
      </c>
      <c r="B5" s="153" t="inlineStr">
        <is>
          <t>Actual</t>
        </is>
      </c>
      <c r="C5" s="153" t="inlineStr">
        <is>
          <t>Completeness</t>
        </is>
      </c>
      <c r="D5" s="155" t="n">
        <v>0.8129999999999999</v>
      </c>
      <c r="E5" s="155" t="n">
        <v>0.792</v>
      </c>
      <c r="F5" s="155" t="n">
        <v>0.73</v>
      </c>
      <c r="G5" s="155" t="n">
        <v>0.791</v>
      </c>
      <c r="H5" s="161" t="n">
        <v>-0.022</v>
      </c>
    </row>
    <row r="6">
      <c r="A6" s="152" t="inlineStr">
        <is>
          <t>S02 - Collected</t>
        </is>
      </c>
      <c r="B6" s="153" t="inlineStr">
        <is>
          <t>Actual</t>
        </is>
      </c>
      <c r="C6" s="153" t="inlineStr">
        <is>
          <t>Timeliness</t>
        </is>
      </c>
      <c r="D6" s="155" t="n">
        <v>0.317</v>
      </c>
      <c r="E6" s="155" t="n">
        <v>0.392</v>
      </c>
      <c r="F6" s="155" t="n">
        <v>0.318</v>
      </c>
      <c r="G6" s="155" t="n">
        <v>0.317</v>
      </c>
      <c r="H6" s="162" t="n">
        <v>0</v>
      </c>
    </row>
    <row r="7">
      <c r="A7" s="152" t="inlineStr">
        <is>
          <t>S02 - Collected</t>
        </is>
      </c>
      <c r="B7" s="153" t="inlineStr">
        <is>
          <t>Estimated</t>
        </is>
      </c>
      <c r="C7" s="153" t="inlineStr">
        <is>
          <t>Completeness</t>
        </is>
      </c>
      <c r="D7" s="155" t="n">
        <v>0.8129999999999999</v>
      </c>
      <c r="E7" s="155" t="n">
        <v>0.8090000000000001</v>
      </c>
      <c r="F7" s="155" t="n">
        <v>0.777</v>
      </c>
      <c r="G7" s="155" t="n">
        <v>0.839</v>
      </c>
      <c r="H7" s="162" t="n">
        <v>0.0260000000000001</v>
      </c>
    </row>
    <row r="8">
      <c r="A8" s="152" t="inlineStr">
        <is>
          <t>S02 - Collected</t>
        </is>
      </c>
      <c r="B8" s="153" t="inlineStr">
        <is>
          <t>Estimated</t>
        </is>
      </c>
      <c r="C8" s="153" t="inlineStr">
        <is>
          <t>Timeliness</t>
        </is>
      </c>
      <c r="D8" s="155" t="n">
        <v>0</v>
      </c>
      <c r="E8" s="155" t="n">
        <v>0</v>
      </c>
      <c r="F8" s="155" t="n">
        <v>0</v>
      </c>
      <c r="G8" s="155" t="n">
        <v>0</v>
      </c>
      <c r="H8" s="162" t="n">
        <v>0</v>
      </c>
    </row>
    <row r="9">
      <c r="A9" s="152" t="inlineStr">
        <is>
          <t>S04 - Vessel/ flight departed</t>
        </is>
      </c>
      <c r="B9" s="153" t="inlineStr">
        <is>
          <t>Actual</t>
        </is>
      </c>
      <c r="C9" s="153" t="inlineStr">
        <is>
          <t>Completeness</t>
        </is>
      </c>
      <c r="D9" s="155" t="n">
        <v>0.866</v>
      </c>
      <c r="E9" s="155" t="n">
        <v>0.864</v>
      </c>
      <c r="F9" s="155" t="n">
        <v>0.843</v>
      </c>
      <c r="G9" s="155" t="n">
        <v>0.801</v>
      </c>
      <c r="H9" s="161" t="n">
        <v>-0.0650000000000001</v>
      </c>
    </row>
    <row r="10">
      <c r="A10" s="152" t="inlineStr">
        <is>
          <t>S04 - Vessel/ flight departed</t>
        </is>
      </c>
      <c r="B10" s="153" t="inlineStr">
        <is>
          <t>Actual</t>
        </is>
      </c>
      <c r="C10" s="153" t="inlineStr">
        <is>
          <t>Timeliness</t>
        </is>
      </c>
      <c r="D10" s="155" t="n">
        <v>0.858</v>
      </c>
      <c r="E10" s="155" t="n">
        <v>0.858</v>
      </c>
      <c r="F10" s="155" t="n">
        <v>0.8169999999999999</v>
      </c>
      <c r="G10" s="155" t="n">
        <v>0.781</v>
      </c>
      <c r="H10" s="161" t="n">
        <v>-0.0770000000000001</v>
      </c>
    </row>
    <row r="11">
      <c r="A11" s="152" t="inlineStr">
        <is>
          <t>S04 - Vessel/ flight departed</t>
        </is>
      </c>
      <c r="B11" s="153" t="inlineStr">
        <is>
          <t>Estimated</t>
        </is>
      </c>
      <c r="C11" s="153" t="inlineStr">
        <is>
          <t>Completeness</t>
        </is>
      </c>
      <c r="D11" s="155" t="n">
        <v>0.866</v>
      </c>
      <c r="E11" s="155" t="n">
        <v>0.895</v>
      </c>
      <c r="F11" s="155" t="n">
        <v>0.863</v>
      </c>
      <c r="G11" s="155" t="n">
        <v>0.846</v>
      </c>
      <c r="H11" s="161" t="n">
        <v>-0.02</v>
      </c>
    </row>
    <row r="12">
      <c r="A12" s="152" t="inlineStr">
        <is>
          <t>S04 - Vessel/ flight departed</t>
        </is>
      </c>
      <c r="B12" s="153" t="inlineStr">
        <is>
          <t>Estimated</t>
        </is>
      </c>
      <c r="C12" s="153" t="inlineStr">
        <is>
          <t>Timeliness</t>
        </is>
      </c>
      <c r="D12" s="155" t="n">
        <v>0.6879999999999999</v>
      </c>
      <c r="E12" s="155" t="n">
        <v>0.724</v>
      </c>
      <c r="F12" s="155" t="n">
        <v>0.706</v>
      </c>
      <c r="G12" s="155" t="n">
        <v>0.681</v>
      </c>
      <c r="H12" s="161" t="n">
        <v>-0.00700000000000001</v>
      </c>
    </row>
    <row r="13">
      <c r="A13" s="152" t="inlineStr">
        <is>
          <t>S07 - Vessel/ flight arrived</t>
        </is>
      </c>
      <c r="B13" s="153" t="inlineStr">
        <is>
          <t>Actual</t>
        </is>
      </c>
      <c r="C13" s="153" t="inlineStr">
        <is>
          <t>Completeness</t>
        </is>
      </c>
      <c r="D13" s="155" t="n">
        <v>0.905</v>
      </c>
      <c r="E13" s="155" t="n">
        <v>0.901</v>
      </c>
      <c r="F13" s="155" t="n">
        <v>0.863</v>
      </c>
      <c r="G13" s="155" t="n">
        <v>0.86</v>
      </c>
      <c r="H13" s="161" t="n">
        <v>-0.045</v>
      </c>
    </row>
    <row r="14">
      <c r="A14" s="152" t="inlineStr">
        <is>
          <t>S07 - Vessel/ flight arrived</t>
        </is>
      </c>
      <c r="B14" s="153" t="inlineStr">
        <is>
          <t>Actual</t>
        </is>
      </c>
      <c r="C14" s="153" t="inlineStr">
        <is>
          <t>Timeliness</t>
        </is>
      </c>
      <c r="D14" s="155" t="n">
        <v>0.885</v>
      </c>
      <c r="E14" s="155" t="n">
        <v>0.889</v>
      </c>
      <c r="F14" s="155" t="n">
        <v>0.85</v>
      </c>
      <c r="G14" s="155" t="n">
        <v>0.849</v>
      </c>
      <c r="H14" s="161" t="n">
        <v>-0.0359999999999999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3" t="inlineStr">
        <is>
          <t>Completeness</t>
        </is>
      </c>
      <c r="D15" s="155" t="n">
        <v>0.881</v>
      </c>
      <c r="E15" s="155" t="n">
        <v>0.913</v>
      </c>
      <c r="F15" s="155" t="n">
        <v>0.879</v>
      </c>
      <c r="G15" s="155" t="n">
        <v>0.866</v>
      </c>
      <c r="H15" s="161" t="n">
        <v>-0.0149999999999999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3" t="inlineStr">
        <is>
          <t>Timeliness</t>
        </is>
      </c>
      <c r="D16" s="155" t="n">
        <v>0.834</v>
      </c>
      <c r="E16" s="155" t="n">
        <v>0.864</v>
      </c>
      <c r="F16" s="155" t="n">
        <v>0.83</v>
      </c>
      <c r="G16" s="155" t="n">
        <v>0.826</v>
      </c>
      <c r="H16" s="161" t="n">
        <v>-0.00800000000000012</v>
      </c>
    </row>
    <row r="17">
      <c r="A17" s="152" t="inlineStr">
        <is>
          <t>S45 - Handover to broker</t>
        </is>
      </c>
      <c r="B17" s="153" t="inlineStr">
        <is>
          <t>Actual</t>
        </is>
      </c>
      <c r="C17" s="153" t="inlineStr">
        <is>
          <t>Completeness</t>
        </is>
      </c>
      <c r="D17" s="155" t="n">
        <v>0.369</v>
      </c>
      <c r="E17" s="155" t="n">
        <v>0.279</v>
      </c>
      <c r="F17" s="155" t="n">
        <v>0.406</v>
      </c>
      <c r="G17" s="155" t="n">
        <v>0.468</v>
      </c>
      <c r="H17" s="162" t="n">
        <v>0.099</v>
      </c>
    </row>
    <row r="18">
      <c r="A18" s="152" t="inlineStr">
        <is>
          <t>S45 - Handover to broker</t>
        </is>
      </c>
      <c r="B18" s="153" t="inlineStr">
        <is>
          <t>Actual</t>
        </is>
      </c>
      <c r="C18" s="153" t="inlineStr">
        <is>
          <t>Timeliness</t>
        </is>
      </c>
      <c r="D18" s="155" t="n">
        <v>0.369</v>
      </c>
      <c r="E18" s="155" t="n">
        <v>0.279</v>
      </c>
      <c r="F18" s="155" t="n">
        <v>0.396</v>
      </c>
      <c r="G18" s="155" t="n">
        <v>0.452</v>
      </c>
      <c r="H18" s="162" t="n">
        <v>0.083</v>
      </c>
    </row>
    <row r="19">
      <c r="A19" s="152" t="inlineStr">
        <is>
          <t>S45 - Handover to broker</t>
        </is>
      </c>
      <c r="B19" s="153" t="inlineStr">
        <is>
          <t>Estimated</t>
        </is>
      </c>
      <c r="C19" s="153" t="inlineStr">
        <is>
          <t>Completeness</t>
        </is>
      </c>
      <c r="D19" s="155" t="n">
        <v>0.091</v>
      </c>
      <c r="E19" s="155" t="n">
        <v>0.25</v>
      </c>
      <c r="F19" s="155" t="n">
        <v>0.375</v>
      </c>
      <c r="G19" s="155" t="n">
        <v>0.514</v>
      </c>
      <c r="H19" s="162" t="n">
        <v>0.423</v>
      </c>
    </row>
    <row r="20">
      <c r="A20" s="152" t="inlineStr">
        <is>
          <t>S45 - Handover to broker</t>
        </is>
      </c>
      <c r="B20" s="153" t="inlineStr">
        <is>
          <t>Estimated</t>
        </is>
      </c>
      <c r="C20" s="153" t="inlineStr">
        <is>
          <t>Timeliness</t>
        </is>
      </c>
      <c r="D20" s="155" t="n">
        <v>0.091</v>
      </c>
      <c r="E20" s="155" t="n">
        <v>0.25</v>
      </c>
      <c r="F20" s="155" t="n">
        <v>0.375</v>
      </c>
      <c r="G20" s="155" t="n">
        <v>0.459</v>
      </c>
      <c r="H20" s="162" t="n">
        <v>0.368</v>
      </c>
    </row>
    <row r="21">
      <c r="A21" s="152" t="inlineStr">
        <is>
          <t>S31 - Delivered</t>
        </is>
      </c>
      <c r="B21" s="153" t="inlineStr">
        <is>
          <t>Actual</t>
        </is>
      </c>
      <c r="C21" s="153" t="inlineStr">
        <is>
          <t>Completeness</t>
        </is>
      </c>
      <c r="D21" s="155" t="n">
        <v>0.422</v>
      </c>
      <c r="E21" s="155" t="n">
        <v>0.575</v>
      </c>
      <c r="F21" s="155" t="n">
        <v>0.54</v>
      </c>
      <c r="G21" s="155" t="n">
        <v>0.583</v>
      </c>
      <c r="H21" s="162" t="n">
        <v>0.161</v>
      </c>
    </row>
    <row r="22">
      <c r="A22" s="152" t="inlineStr">
        <is>
          <t>S31 - Delivered</t>
        </is>
      </c>
      <c r="B22" s="153" t="inlineStr">
        <is>
          <t>Actual</t>
        </is>
      </c>
      <c r="C22" s="153" t="inlineStr">
        <is>
          <t>Timeliness</t>
        </is>
      </c>
      <c r="D22" s="155" t="n">
        <v>0.144</v>
      </c>
      <c r="E22" s="155" t="n">
        <v>0.154</v>
      </c>
      <c r="F22" s="155" t="n">
        <v>0.101</v>
      </c>
      <c r="G22" s="155" t="n">
        <v>0.094</v>
      </c>
      <c r="H22" s="161" t="n">
        <v>-0.05</v>
      </c>
    </row>
    <row r="23">
      <c r="A23" s="152" t="inlineStr">
        <is>
          <t>S31 - Delivered</t>
        </is>
      </c>
      <c r="B23" s="153" t="inlineStr">
        <is>
          <t>Estimated</t>
        </is>
      </c>
      <c r="C23" s="153" t="inlineStr">
        <is>
          <t>Completeness</t>
        </is>
      </c>
      <c r="D23" s="155" t="n">
        <v>0.722</v>
      </c>
      <c r="E23" s="155" t="n">
        <v>0.764</v>
      </c>
      <c r="F23" s="155" t="n">
        <v>0.694</v>
      </c>
      <c r="G23" s="155" t="n">
        <v>0.709</v>
      </c>
      <c r="H23" s="161" t="n">
        <v>-0.0129999999999999</v>
      </c>
    </row>
    <row r="24">
      <c r="A24" s="152" t="inlineStr">
        <is>
          <t>S31 - Delivered</t>
        </is>
      </c>
      <c r="B24" s="153" t="inlineStr">
        <is>
          <t>Estimated</t>
        </is>
      </c>
      <c r="C24" s="153" t="inlineStr">
        <is>
          <t>Timeliness</t>
        </is>
      </c>
      <c r="D24" s="155" t="n">
        <v>0.578</v>
      </c>
      <c r="E24" s="155" t="n">
        <v>0.587</v>
      </c>
      <c r="F24" s="155" t="n">
        <v>0.504</v>
      </c>
      <c r="G24" s="155" t="n">
        <v>0.468</v>
      </c>
      <c r="H24" s="161" t="n">
        <v>-0.11</v>
      </c>
    </row>
    <row r="26">
      <c r="A26" s="400" t="inlineStr">
        <is>
          <t>Critical Milestone Averages</t>
        </is>
      </c>
      <c r="B26" s="441" t="n"/>
      <c r="C26" s="441" t="n"/>
      <c r="D26" s="441" t="n"/>
      <c r="E26" s="441" t="n"/>
      <c r="F26" s="441" t="n"/>
      <c r="G26" s="441" t="n"/>
      <c r="H26" s="441" t="n"/>
      <c r="I26" s="441" t="n"/>
    </row>
    <row r="27">
      <c r="A27" s="157" t="n"/>
      <c r="B27" s="157" t="n"/>
      <c r="C27" s="163" t="inlineStr">
        <is>
          <t>Avg Completeness</t>
        </is>
      </c>
      <c r="D27" s="164" t="n">
        <v>0.6748</v>
      </c>
      <c r="E27" s="164" t="n">
        <v>0.7042</v>
      </c>
      <c r="F27" s="164" t="n">
        <v>0.697</v>
      </c>
      <c r="G27" s="164" t="n">
        <v>0.7277</v>
      </c>
      <c r="H27" s="167" t="n">
        <v>0.0528999999999997</v>
      </c>
    </row>
    <row r="28">
      <c r="A28" s="157" t="n"/>
      <c r="B28" s="157" t="n"/>
      <c r="C28" s="163" t="inlineStr">
        <is>
          <t>Avg Timeliness</t>
        </is>
      </c>
      <c r="D28" s="164" t="n">
        <v>0.4764</v>
      </c>
      <c r="E28" s="164" t="n">
        <v>0.4997</v>
      </c>
      <c r="F28" s="164" t="n">
        <v>0.4897</v>
      </c>
      <c r="G28" s="164" t="n">
        <v>0.4927</v>
      </c>
      <c r="H28" s="167" t="n">
        <v>0.0163</v>
      </c>
    </row>
    <row r="31">
      <c r="A31" s="399" t="inlineStr">
        <is>
          <t>ALL MILESTONES - AVERAGES</t>
        </is>
      </c>
      <c r="B31" s="441" t="n"/>
      <c r="C31" s="441" t="n"/>
      <c r="D31" s="441" t="n"/>
      <c r="E31" s="441" t="n"/>
      <c r="F31" s="441" t="n"/>
      <c r="G31" s="441" t="n"/>
      <c r="H31" s="441" t="n"/>
      <c r="I31" s="441" t="n"/>
    </row>
    <row r="32" ht="34.5" customHeight="1" s="340">
      <c r="A32" s="166" t="n"/>
      <c r="B32" s="166" t="n"/>
      <c r="C32" s="150" t="inlineStr">
        <is>
          <t>Metric</t>
        </is>
      </c>
      <c r="D32" s="150" t="inlineStr">
        <is>
          <t>Week 1</t>
        </is>
      </c>
      <c r="E32" s="150" t="inlineStr">
        <is>
          <t>Week 2</t>
        </is>
      </c>
      <c r="F32" s="150" t="inlineStr">
        <is>
          <t>Week 3</t>
        </is>
      </c>
      <c r="G32" s="150" t="inlineStr">
        <is>
          <t>Week 4</t>
        </is>
      </c>
      <c r="H32" s="160" t="inlineStr">
        <is>
          <t>W1→W4
Delta</t>
        </is>
      </c>
    </row>
    <row r="33">
      <c r="C33" s="163" t="inlineStr">
        <is>
          <t>Avg Completeness</t>
        </is>
      </c>
      <c r="D33" s="164" t="n">
        <v>0.5738</v>
      </c>
      <c r="E33" s="164" t="n">
        <v>0.6162</v>
      </c>
      <c r="F33" s="164" t="n">
        <v>0.6098</v>
      </c>
      <c r="G33" s="164" t="n">
        <v>0.6302</v>
      </c>
      <c r="H33" s="167" t="n">
        <v>0.0563999999999999</v>
      </c>
    </row>
    <row r="34">
      <c r="C34" s="163" t="inlineStr">
        <is>
          <t>Avg Timeliness</t>
        </is>
      </c>
      <c r="D34" s="164" t="n">
        <v>0.4159</v>
      </c>
      <c r="E34" s="164" t="n">
        <v>0.4476</v>
      </c>
      <c r="F34" s="164" t="n">
        <v>0.45055</v>
      </c>
      <c r="G34" s="164" t="n">
        <v>0.4654</v>
      </c>
      <c r="H34" s="167" t="n">
        <v>0.0495</v>
      </c>
    </row>
  </sheetData>
  <mergeCells count="4">
    <mergeCell ref="A1:I1"/>
    <mergeCell ref="A26:I26"/>
    <mergeCell ref="A31:I31"/>
    <mergeCell ref="A3:I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A1:K16"/>
  <sheetViews>
    <sheetView zoomScaleNormal="100" workbookViewId="0">
      <selection activeCell="A1" sqref="A1:K1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4" customWidth="1" style="149" min="3" max="10"/>
    <col width="8.6640625" customWidth="1" style="149" min="11" max="16384"/>
  </cols>
  <sheetData>
    <row r="1" ht="30" customHeight="1" s="340">
      <c r="A1" s="384" t="inlineStr">
        <is>
          <t>SC3 vs SC4 - Critical Milestone Comparison (Week 4 Latest)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</row>
    <row r="2">
      <c r="C2" s="401" t="inlineStr">
        <is>
          <t>SC3 Completeness</t>
        </is>
      </c>
      <c r="D2" s="442" t="n"/>
      <c r="E2" s="401" t="inlineStr">
        <is>
          <t>SC3 Timeliness</t>
        </is>
      </c>
      <c r="F2" s="442" t="n"/>
      <c r="G2" s="402" t="inlineStr">
        <is>
          <t>SC4 Completeness</t>
        </is>
      </c>
      <c r="H2" s="442" t="n"/>
      <c r="I2" s="402" t="inlineStr">
        <is>
          <t>SC4 Timeliness</t>
        </is>
      </c>
      <c r="J2" s="442" t="n"/>
    </row>
    <row r="3" ht="34.5" customHeight="1" s="340">
      <c r="A3" s="150" t="inlineStr">
        <is>
          <t>Milestone</t>
        </is>
      </c>
      <c r="B3" s="150" t="inlineStr">
        <is>
          <t>Type</t>
        </is>
      </c>
      <c r="C3" s="401" t="inlineStr">
        <is>
          <t>Week 4</t>
        </is>
      </c>
      <c r="D3" s="401" t="inlineStr">
        <is>
          <t>W1→W4</t>
        </is>
      </c>
      <c r="E3" s="401" t="inlineStr">
        <is>
          <t>Week 4</t>
        </is>
      </c>
      <c r="F3" s="401" t="inlineStr">
        <is>
          <t>W1→W4</t>
        </is>
      </c>
      <c r="G3" s="169" t="inlineStr">
        <is>
          <t>Week 4</t>
        </is>
      </c>
      <c r="H3" s="169" t="inlineStr">
        <is>
          <t>W1→W4</t>
        </is>
      </c>
      <c r="I3" s="169" t="inlineStr">
        <is>
          <t>Week 4</t>
        </is>
      </c>
      <c r="J3" s="169" t="inlineStr">
        <is>
          <t>W1→W4</t>
        </is>
      </c>
    </row>
    <row r="4">
      <c r="A4" s="152" t="inlineStr">
        <is>
          <t>S02 - Collected</t>
        </is>
      </c>
      <c r="B4" s="153" t="inlineStr">
        <is>
          <t>Actual</t>
        </is>
      </c>
      <c r="C4" s="159" t="n">
        <v>0.791</v>
      </c>
      <c r="D4" s="170" t="n">
        <v>-0.022</v>
      </c>
      <c r="E4" s="159" t="n">
        <v>0.317</v>
      </c>
      <c r="F4" s="171" t="n">
        <v>0</v>
      </c>
      <c r="G4" s="159" t="n">
        <v>0.9</v>
      </c>
      <c r="H4" s="170" t="n">
        <v>-0.02</v>
      </c>
      <c r="I4" s="159" t="n">
        <v>0.4</v>
      </c>
      <c r="J4" s="171" t="n">
        <v>0.23</v>
      </c>
    </row>
    <row r="5">
      <c r="A5" s="152" t="inlineStr">
        <is>
          <t>S02 - Collected</t>
        </is>
      </c>
      <c r="B5" s="153" t="inlineStr">
        <is>
          <t>Estimated</t>
        </is>
      </c>
      <c r="C5" s="159" t="n">
        <v>0.839</v>
      </c>
      <c r="D5" s="171" t="n">
        <v>0.0260000000000001</v>
      </c>
      <c r="E5" s="159" t="n">
        <v>0</v>
      </c>
      <c r="F5" s="171" t="n">
        <v>0</v>
      </c>
      <c r="G5" s="159" t="n">
        <v>0.87</v>
      </c>
      <c r="H5" s="171" t="n">
        <v>0.08</v>
      </c>
      <c r="I5" s="159" t="n">
        <v>0.43</v>
      </c>
      <c r="J5" s="171" t="n">
        <v>0.02</v>
      </c>
    </row>
    <row r="6">
      <c r="A6" s="152" t="inlineStr">
        <is>
          <t>S04 - Vessel/ flight departed</t>
        </is>
      </c>
      <c r="B6" s="153" t="inlineStr">
        <is>
          <t>Actual</t>
        </is>
      </c>
      <c r="C6" s="159" t="n">
        <v>0.801</v>
      </c>
      <c r="D6" s="170" t="n">
        <v>-0.065</v>
      </c>
      <c r="E6" s="159" t="n">
        <v>0.781</v>
      </c>
      <c r="F6" s="170" t="n">
        <v>-0.077</v>
      </c>
      <c r="G6" s="159" t="n">
        <v>0.88</v>
      </c>
      <c r="H6" s="170" t="n">
        <v>-0.08</v>
      </c>
      <c r="I6" s="159" t="n">
        <v>0.54</v>
      </c>
      <c r="J6" s="170" t="n">
        <v>-0.29</v>
      </c>
    </row>
    <row r="7">
      <c r="A7" s="152" t="inlineStr">
        <is>
          <t>S04 - Vessel/ flight departed</t>
        </is>
      </c>
      <c r="B7" s="153" t="inlineStr">
        <is>
          <t>Estimated</t>
        </is>
      </c>
      <c r="C7" s="159" t="n">
        <v>0.846</v>
      </c>
      <c r="D7" s="170" t="n">
        <v>-0.02</v>
      </c>
      <c r="E7" s="159" t="n">
        <v>0.681</v>
      </c>
      <c r="F7" s="170" t="n">
        <v>-0.00700000000000003</v>
      </c>
      <c r="G7" s="159" t="n">
        <v>0.97</v>
      </c>
      <c r="H7" s="170" t="n">
        <v>-0.02</v>
      </c>
      <c r="I7" s="159" t="n">
        <v>0.43</v>
      </c>
      <c r="J7" s="171" t="n">
        <v>0.05</v>
      </c>
    </row>
    <row r="8">
      <c r="A8" s="152" t="inlineStr">
        <is>
          <t>S07 - Vessel/ flight arrived</t>
        </is>
      </c>
      <c r="B8" s="153" t="inlineStr">
        <is>
          <t>Actual</t>
        </is>
      </c>
      <c r="C8" s="159" t="n">
        <v>0.86</v>
      </c>
      <c r="D8" s="170" t="n">
        <v>-0.045</v>
      </c>
      <c r="E8" s="159" t="n">
        <v>0.849</v>
      </c>
      <c r="F8" s="170" t="n">
        <v>-0.0359999999999999</v>
      </c>
      <c r="G8" s="159" t="n">
        <v>0.84</v>
      </c>
      <c r="H8" s="171" t="n">
        <v>0.01</v>
      </c>
      <c r="I8" s="159" t="n">
        <v>0.52</v>
      </c>
      <c r="J8" s="171" t="n">
        <v>0.19</v>
      </c>
    </row>
    <row r="9">
      <c r="A9" s="152" t="inlineStr">
        <is>
          <t>S07 - Vessel/ flight arrived</t>
        </is>
      </c>
      <c r="B9" s="153" t="inlineStr">
        <is>
          <t>Estimated</t>
        </is>
      </c>
      <c r="C9" s="159" t="n">
        <v>0.866</v>
      </c>
      <c r="D9" s="170" t="n">
        <v>-0.015</v>
      </c>
      <c r="E9" s="159" t="n">
        <v>0.826</v>
      </c>
      <c r="F9" s="170" t="n">
        <v>-0.008000000000000109</v>
      </c>
      <c r="G9" s="159" t="n">
        <v>0.9399999999999999</v>
      </c>
      <c r="H9" s="170" t="n">
        <v>-0.06</v>
      </c>
      <c r="I9" s="159" t="n">
        <v>0.22</v>
      </c>
      <c r="J9" s="170" t="n">
        <v>-0.04</v>
      </c>
    </row>
    <row r="10">
      <c r="A10" s="152" t="inlineStr">
        <is>
          <t>S31 - Delivered</t>
        </is>
      </c>
      <c r="B10" s="153" t="inlineStr">
        <is>
          <t>Actual</t>
        </is>
      </c>
      <c r="C10" s="159" t="n">
        <v>0.583</v>
      </c>
      <c r="D10" s="171" t="n">
        <v>0.161</v>
      </c>
      <c r="E10" s="159" t="n">
        <v>0.094</v>
      </c>
      <c r="F10" s="170" t="n">
        <v>-0.05</v>
      </c>
      <c r="G10" s="159" t="n">
        <v>0.83</v>
      </c>
      <c r="H10" s="170" t="n">
        <v>-0.17</v>
      </c>
      <c r="I10" s="159" t="n">
        <v>0.09</v>
      </c>
      <c r="J10" s="171" t="n">
        <v>0.05</v>
      </c>
    </row>
    <row r="11">
      <c r="A11" s="152" t="inlineStr">
        <is>
          <t>S31 - Delivered</t>
        </is>
      </c>
      <c r="B11" s="153" t="inlineStr">
        <is>
          <t>Estimated</t>
        </is>
      </c>
      <c r="C11" s="159" t="n">
        <v>0.709</v>
      </c>
      <c r="D11" s="170" t="n">
        <v>-0.013</v>
      </c>
      <c r="E11" s="159" t="n">
        <v>0.468</v>
      </c>
      <c r="F11" s="170" t="n">
        <v>-0.11</v>
      </c>
      <c r="G11" s="159" t="n">
        <v>0.98</v>
      </c>
      <c r="H11" s="171" t="n">
        <v>0.02</v>
      </c>
      <c r="I11" s="159" t="n">
        <v>0.67</v>
      </c>
      <c r="J11" s="170" t="n">
        <v>-0.13</v>
      </c>
    </row>
    <row r="12">
      <c r="A12" s="152" t="inlineStr">
        <is>
          <t>S45 - Handover to broker</t>
        </is>
      </c>
      <c r="B12" s="153" t="inlineStr">
        <is>
          <t>Actual</t>
        </is>
      </c>
      <c r="C12" s="159" t="n">
        <v>0.468</v>
      </c>
      <c r="D12" s="171" t="n">
        <v>0.099</v>
      </c>
      <c r="E12" s="159" t="n">
        <v>0.452</v>
      </c>
      <c r="F12" s="171" t="n">
        <v>0.0830000000000001</v>
      </c>
      <c r="G12" s="159" t="n">
        <v>0.42</v>
      </c>
      <c r="H12" s="170" t="n">
        <v>-0.58</v>
      </c>
      <c r="I12" s="159" t="n">
        <v>0.37</v>
      </c>
      <c r="J12" s="170" t="n">
        <v>-0.63</v>
      </c>
    </row>
    <row r="13">
      <c r="A13" s="152" t="inlineStr">
        <is>
          <t>S45 - Handover to broker</t>
        </is>
      </c>
      <c r="B13" s="153" t="inlineStr">
        <is>
          <t>Estimated</t>
        </is>
      </c>
      <c r="C13" s="159" t="n">
        <v>0.514</v>
      </c>
      <c r="D13" s="171" t="n">
        <v>0.423</v>
      </c>
      <c r="E13" s="159" t="n">
        <v>0.459</v>
      </c>
      <c r="F13" s="171" t="n">
        <v>0.368</v>
      </c>
      <c r="G13" s="157" t="inlineStr">
        <is>
          <t>N/A</t>
        </is>
      </c>
      <c r="H13" s="157" t="inlineStr">
        <is>
          <t>N/A</t>
        </is>
      </c>
      <c r="I13" s="157" t="inlineStr">
        <is>
          <t>N/A</t>
        </is>
      </c>
      <c r="J13" s="157" t="inlineStr">
        <is>
          <t>N/A</t>
        </is>
      </c>
    </row>
    <row r="15">
      <c r="A15" s="399" t="inlineStr">
        <is>
          <t>SC4 Only - S00 (Shipment Created)</t>
        </is>
      </c>
      <c r="B15" s="441" t="n"/>
      <c r="C15" s="441" t="n"/>
      <c r="D15" s="441" t="n"/>
      <c r="E15" s="441" t="n"/>
      <c r="F15" s="441" t="n"/>
      <c r="G15" s="441" t="n"/>
      <c r="H15" s="441" t="n"/>
      <c r="I15" s="441" t="n"/>
      <c r="J15" s="441" t="n"/>
    </row>
    <row r="16">
      <c r="A16" s="152" t="inlineStr">
        <is>
          <t>S00 - Shipment created</t>
        </is>
      </c>
      <c r="B16" s="153" t="inlineStr">
        <is>
          <t>Actual</t>
        </is>
      </c>
      <c r="C16" s="157" t="inlineStr">
        <is>
          <t>N/A</t>
        </is>
      </c>
      <c r="D16" s="157" t="inlineStr">
        <is>
          <t>N/A</t>
        </is>
      </c>
      <c r="E16" s="157" t="inlineStr">
        <is>
          <t>N/A</t>
        </is>
      </c>
      <c r="F16" s="157" t="inlineStr">
        <is>
          <t>N/A</t>
        </is>
      </c>
      <c r="G16" s="159" t="n">
        <v>0.5</v>
      </c>
      <c r="H16" s="170" t="n">
        <v>-0.02</v>
      </c>
      <c r="I16" s="159" t="n">
        <v>0.49</v>
      </c>
      <c r="J16" s="170" t="n">
        <v>-0.03</v>
      </c>
    </row>
  </sheetData>
  <mergeCells count="6">
    <mergeCell ref="C2:D2"/>
    <mergeCell ref="G2:H2"/>
    <mergeCell ref="E2:F2"/>
    <mergeCell ref="I2:J2"/>
    <mergeCell ref="A15:J15"/>
    <mergeCell ref="A1:K1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1">
    <outlinePr summaryBelow="1" summaryRight="1"/>
    <pageSetUpPr/>
  </sheetPr>
  <dimension ref="A1:S88"/>
  <sheetViews>
    <sheetView workbookViewId="0">
      <selection activeCell="M60" sqref="M60"/>
    </sheetView>
  </sheetViews>
  <sheetFormatPr baseColWidth="10" defaultRowHeight="13"/>
  <cols>
    <col width="40" customWidth="1" style="340" min="2" max="2"/>
  </cols>
  <sheetData>
    <row r="1">
      <c r="A1" t="inlineStr">
        <is>
          <t>Nr</t>
        </is>
      </c>
      <c r="B1" t="inlineStr">
        <is>
          <t>Main Problems</t>
        </is>
      </c>
      <c r="C1" t="inlineStr">
        <is>
          <t>Product
Impact</t>
        </is>
      </c>
      <c r="D1" t="inlineStr">
        <is>
          <t>Category</t>
        </is>
      </c>
      <c r="G1" t="inlineStr">
        <is>
          <t>W01</t>
        </is>
      </c>
      <c r="H1" t="inlineStr">
        <is>
          <t>W02</t>
        </is>
      </c>
      <c r="I1" t="inlineStr">
        <is>
          <t>W03</t>
        </is>
      </c>
      <c r="J1" t="inlineStr">
        <is>
          <t>W04</t>
        </is>
      </c>
      <c r="K1" t="inlineStr">
        <is>
          <t>W05</t>
        </is>
      </c>
      <c r="L1" t="inlineStr">
        <is>
          <t>W06</t>
        </is>
      </c>
      <c r="M1" t="inlineStr">
        <is>
          <t>W07</t>
        </is>
      </c>
      <c r="N1" t="inlineStr">
        <is>
          <t>W08</t>
        </is>
      </c>
      <c r="O1" t="inlineStr">
        <is>
          <t>W09</t>
        </is>
      </c>
      <c r="P1" t="inlineStr">
        <is>
          <t>W10</t>
        </is>
      </c>
      <c r="Q1" t="inlineStr">
        <is>
          <t>W11</t>
        </is>
      </c>
      <c r="R1" t="inlineStr">
        <is>
          <t>W12</t>
        </is>
      </c>
      <c r="S1" t="inlineStr">
        <is>
          <t>YTD</t>
        </is>
      </c>
    </row>
    <row r="2" hidden="1" s="340">
      <c r="A2" t="n">
        <v>50</v>
      </c>
      <c r="B2" t="inlineStr">
        <is>
          <t>SC3 – S02 - Collected (Estimated)</t>
        </is>
      </c>
      <c r="C2" t="inlineStr">
        <is>
          <t>high</t>
        </is>
      </c>
      <c r="D2" t="inlineStr">
        <is>
          <t>Timeliness (Critical)</t>
        </is>
      </c>
      <c r="G2" s="251" t="n">
        <v>0</v>
      </c>
      <c r="H2" s="251" t="n">
        <v>0</v>
      </c>
      <c r="I2" s="251" t="n">
        <v>0</v>
      </c>
      <c r="J2" s="251" t="n">
        <v>0</v>
      </c>
      <c r="K2" s="251" t="n">
        <v>0</v>
      </c>
      <c r="L2" s="251" t="n">
        <v>0</v>
      </c>
      <c r="M2" s="251" t="n">
        <v>0</v>
      </c>
      <c r="N2" s="251" t="n"/>
      <c r="O2" s="251" t="n"/>
      <c r="P2" s="251" t="n"/>
      <c r="Q2" s="251" t="n"/>
      <c r="R2" s="251" t="n"/>
      <c r="S2" s="251" t="n">
        <v>0</v>
      </c>
    </row>
    <row r="3" hidden="1" s="340">
      <c r="A3" t="n">
        <v>66</v>
      </c>
      <c r="B3" t="inlineStr">
        <is>
          <t>SC3 – S54 - Full Container discharge (Actual)</t>
        </is>
      </c>
      <c r="C3" t="inlineStr">
        <is>
          <t>medium</t>
        </is>
      </c>
      <c r="D3" t="inlineStr">
        <is>
          <t>Timeliness (All)</t>
        </is>
      </c>
      <c r="G3" s="251" t="n">
        <v>0.06900000000000001</v>
      </c>
      <c r="H3" s="251" t="n">
        <v>0.139</v>
      </c>
      <c r="I3" s="251" t="n">
        <v>0</v>
      </c>
      <c r="J3" s="251" t="n">
        <v>0.045</v>
      </c>
      <c r="K3" s="251" t="n">
        <v>0.0555555555555556</v>
      </c>
      <c r="L3" s="251" t="n">
        <v>0.02564102564102564</v>
      </c>
      <c r="M3" s="251" t="n">
        <v>0.0731707317073171</v>
      </c>
      <c r="N3" s="251" t="n"/>
      <c r="O3" s="251" t="n"/>
      <c r="P3" s="251" t="n"/>
      <c r="Q3" s="251" t="n"/>
      <c r="R3" s="251" t="n"/>
      <c r="S3" s="251" t="n">
        <v>0.05819533041484262</v>
      </c>
    </row>
    <row r="4" hidden="1" s="340">
      <c r="A4" t="n">
        <v>38</v>
      </c>
      <c r="B4" t="inlineStr">
        <is>
          <t>SC4 – S05 - In delivery (Actual)</t>
        </is>
      </c>
      <c r="C4" t="inlineStr">
        <is>
          <t>medium</t>
        </is>
      </c>
      <c r="D4" t="inlineStr">
        <is>
          <t>Timeliness (All)</t>
        </is>
      </c>
      <c r="G4" s="251" t="n">
        <v>0.18</v>
      </c>
      <c r="H4" s="251" t="n">
        <v>0.07000000000000001</v>
      </c>
      <c r="I4" s="251" t="n">
        <v>0.04</v>
      </c>
      <c r="J4" s="251" t="n">
        <v>0.02</v>
      </c>
      <c r="K4" s="251" t="n">
        <v>0.0885167464114833</v>
      </c>
      <c r="L4" s="251" t="n">
        <v>0.05</v>
      </c>
      <c r="M4" s="251" t="n">
        <v>0.07238605898123331</v>
      </c>
      <c r="N4" s="251" t="n"/>
      <c r="O4" s="251" t="n"/>
      <c r="P4" s="251" t="n"/>
      <c r="Q4" s="251" t="n"/>
      <c r="R4" s="251" t="n"/>
      <c r="S4" s="251" t="n">
        <v>0.07441468648467379</v>
      </c>
    </row>
    <row r="5">
      <c r="A5" t="n">
        <v>65</v>
      </c>
      <c r="B5" t="inlineStr">
        <is>
          <t>SC3 – S54 - Full Container discharge (Actual)</t>
        </is>
      </c>
      <c r="C5" t="inlineStr">
        <is>
          <t>medium</t>
        </is>
      </c>
      <c r="D5" t="inlineStr">
        <is>
          <t>Completeness (All)</t>
        </is>
      </c>
      <c r="G5" s="251" t="n">
        <v>0.138</v>
      </c>
      <c r="H5" s="251" t="n">
        <v>0.139</v>
      </c>
      <c r="I5" s="251" t="n">
        <v>0.039</v>
      </c>
      <c r="J5" s="251" t="n">
        <v>0.045</v>
      </c>
      <c r="K5" s="251" t="n">
        <v>0.0740740740740741</v>
      </c>
      <c r="L5" s="251" t="n">
        <v>0.02564102564102564</v>
      </c>
      <c r="M5" s="251" t="n">
        <v>0.121951219512195</v>
      </c>
      <c r="N5" s="251" t="n"/>
      <c r="O5" s="251" t="n"/>
      <c r="P5" s="251" t="n"/>
      <c r="Q5" s="251" t="n"/>
      <c r="R5" s="251" t="n"/>
      <c r="S5" s="251" t="n">
        <v>0.08323804560389925</v>
      </c>
    </row>
    <row r="6" hidden="1" s="340">
      <c r="A6" t="n">
        <v>84</v>
      </c>
      <c r="B6" t="inlineStr">
        <is>
          <t>For "to Door" Shipments, milestone estimates are not received 7 days before of the actual Milestone event</t>
        </is>
      </c>
      <c r="C6" t="inlineStr">
        <is>
          <t>medium</t>
        </is>
      </c>
      <c r="D6" t="inlineStr">
        <is>
          <t>ETA accuracy 2D</t>
        </is>
      </c>
      <c r="G6" s="251" t="n">
        <v>0.044</v>
      </c>
      <c r="H6" s="251" t="n">
        <v>0.132</v>
      </c>
      <c r="I6" s="251" t="n">
        <v>0.07000000000000001</v>
      </c>
      <c r="J6" s="251" t="n">
        <v>0.115</v>
      </c>
      <c r="K6" s="251" t="n">
        <v>0.125</v>
      </c>
      <c r="L6" s="251" t="n">
        <v>0.174</v>
      </c>
      <c r="M6" s="251" t="n">
        <v>0.174</v>
      </c>
      <c r="N6" s="251" t="n"/>
      <c r="O6" s="251" t="n"/>
      <c r="P6" s="251" t="n"/>
      <c r="Q6" s="251" t="n"/>
      <c r="R6" s="251" t="n"/>
      <c r="S6" s="251" t="n">
        <v>0.1191428571428571</v>
      </c>
    </row>
    <row r="7" hidden="1" s="340">
      <c r="A7" t="n">
        <v>42</v>
      </c>
      <c r="B7" t="inlineStr">
        <is>
          <t>SC4 – S31 - Delivered (Actual)</t>
        </is>
      </c>
      <c r="C7" t="inlineStr">
        <is>
          <t>high</t>
        </is>
      </c>
      <c r="D7" t="inlineStr">
        <is>
          <t>Timeliness (Critical)</t>
        </is>
      </c>
      <c r="G7" s="251" t="n">
        <v>0.04</v>
      </c>
      <c r="H7" s="251" t="n">
        <v>0.12</v>
      </c>
      <c r="I7" s="251" t="n">
        <v>0.29</v>
      </c>
      <c r="J7" s="251" t="n">
        <v>0.09</v>
      </c>
      <c r="K7" s="251" t="n">
        <v>0.105263157894737</v>
      </c>
      <c r="L7" s="251" t="n">
        <v>0.16</v>
      </c>
      <c r="M7" s="251" t="n">
        <v>0.131367292225201</v>
      </c>
      <c r="N7" s="251" t="n"/>
      <c r="O7" s="251" t="n"/>
      <c r="P7" s="251" t="n"/>
      <c r="Q7" s="251" t="n"/>
      <c r="R7" s="251" t="n"/>
      <c r="S7" s="251" t="n">
        <v>0.133804350017134</v>
      </c>
    </row>
    <row r="8" hidden="1" s="340">
      <c r="A8" t="n">
        <v>78</v>
      </c>
      <c r="B8" t="inlineStr">
        <is>
          <t>SC3 – S31 - Delivered (Actual)</t>
        </is>
      </c>
      <c r="C8" t="inlineStr">
        <is>
          <t>high</t>
        </is>
      </c>
      <c r="D8" t="inlineStr">
        <is>
          <t>Timeliness (Critical)</t>
        </is>
      </c>
      <c r="G8" s="251" t="n">
        <v>0.144</v>
      </c>
      <c r="H8" s="251" t="n">
        <v>0.154</v>
      </c>
      <c r="I8" s="251" t="n">
        <v>0.101</v>
      </c>
      <c r="J8" s="251" t="n">
        <v>0.094</v>
      </c>
      <c r="K8" s="251" t="n">
        <v>0.127906976744186</v>
      </c>
      <c r="L8" s="251" t="n">
        <v>0.1891025641025641</v>
      </c>
      <c r="M8" s="251" t="n">
        <v>0.141414141414141</v>
      </c>
      <c r="N8" s="251" t="n"/>
      <c r="O8" s="251" t="n"/>
      <c r="P8" s="251" t="n"/>
      <c r="Q8" s="251" t="n"/>
      <c r="R8" s="251" t="n"/>
      <c r="S8" s="251" t="n">
        <v>0.135917668894413</v>
      </c>
    </row>
    <row r="9" hidden="1" s="340">
      <c r="A9" t="n">
        <v>87</v>
      </c>
      <c r="B9" t="inlineStr">
        <is>
          <t>Milestones sent to Bosch do not follow a plausible date order</t>
        </is>
      </c>
      <c r="C9" t="inlineStr">
        <is>
          <t>medium</t>
        </is>
      </c>
      <c r="D9" t="inlineStr">
        <is>
          <t>Plausability (% of shipments with ≥1 sequence break)</t>
        </is>
      </c>
      <c r="G9" s="251" t="n">
        <v>0.2556</v>
      </c>
      <c r="H9" s="251" t="n">
        <v>0.1708</v>
      </c>
      <c r="I9" s="251" t="n">
        <v>0.1488</v>
      </c>
      <c r="J9" s="251" t="n">
        <v>0.1455</v>
      </c>
      <c r="K9" s="251" t="n">
        <v>0.1245</v>
      </c>
      <c r="L9" s="251" t="n">
        <v>0.0708</v>
      </c>
      <c r="M9" s="251" t="n">
        <v>0.1019</v>
      </c>
      <c r="N9" s="251" t="n"/>
      <c r="O9" s="251" t="n"/>
      <c r="P9" s="251" t="n"/>
      <c r="Q9" s="251" t="n"/>
      <c r="R9" s="251" t="n"/>
      <c r="S9" s="251" t="n">
        <v>0.1454142857142857</v>
      </c>
    </row>
    <row r="10">
      <c r="A10" t="n">
        <v>37</v>
      </c>
      <c r="B10" t="inlineStr">
        <is>
          <t>SC4 – S05 - In delivery (Actual)</t>
        </is>
      </c>
      <c r="C10" t="inlineStr">
        <is>
          <t>medium</t>
        </is>
      </c>
      <c r="D10" t="inlineStr">
        <is>
          <t>Completeness (All)</t>
        </is>
      </c>
      <c r="G10" s="251" t="n">
        <v>0.2</v>
      </c>
      <c r="H10" s="251" t="n">
        <v>0.08</v>
      </c>
      <c r="I10" s="251" t="n">
        <v>0.11</v>
      </c>
      <c r="J10" s="251" t="n">
        <v>0.13</v>
      </c>
      <c r="K10" s="251" t="n">
        <v>0.174641148325359</v>
      </c>
      <c r="L10" s="251" t="n">
        <v>0.12</v>
      </c>
      <c r="M10" s="251" t="n">
        <v>0.20911528150134</v>
      </c>
      <c r="N10" s="251" t="n"/>
      <c r="O10" s="251" t="n"/>
      <c r="P10" s="251" t="n"/>
      <c r="Q10" s="251" t="n"/>
      <c r="R10" s="251" t="n"/>
      <c r="S10" s="251" t="n">
        <v>0.1462509185466713</v>
      </c>
    </row>
    <row r="11" hidden="1" s="340">
      <c r="A11" t="n">
        <v>68</v>
      </c>
      <c r="B11" t="inlineStr">
        <is>
          <t>SC3 – S51 - Arrived destination CFS (Actual)</t>
        </is>
      </c>
      <c r="C11" t="inlineStr">
        <is>
          <t>medium</t>
        </is>
      </c>
      <c r="D11" t="inlineStr">
        <is>
          <t>Timeliness (All)</t>
        </is>
      </c>
      <c r="G11" s="251" t="n">
        <v>0.08400000000000001</v>
      </c>
      <c r="H11" s="251" t="n">
        <v>0.07000000000000001</v>
      </c>
      <c r="I11" s="251" t="n">
        <v>0.056</v>
      </c>
      <c r="J11" s="251" t="n">
        <v>0.275</v>
      </c>
      <c r="K11" s="251" t="n">
        <v>0.374149659863946</v>
      </c>
      <c r="L11" s="251" t="n">
        <v>0.28</v>
      </c>
      <c r="M11" s="251" t="n">
        <v>0.192307692307692</v>
      </c>
      <c r="N11" s="251" t="n"/>
      <c r="O11" s="251" t="n"/>
      <c r="P11" s="251" t="n"/>
      <c r="Q11" s="251" t="n"/>
      <c r="R11" s="251" t="n"/>
      <c r="S11" s="251" t="n">
        <v>0.1902081931673769</v>
      </c>
    </row>
    <row r="12" hidden="1" s="340">
      <c r="A12" t="n">
        <v>46</v>
      </c>
      <c r="B12" t="inlineStr">
        <is>
          <t>SC3 – S52 - Empty Container picked up (Actual)</t>
        </is>
      </c>
      <c r="C12" t="inlineStr">
        <is>
          <t>medium</t>
        </is>
      </c>
      <c r="D12" t="inlineStr">
        <is>
          <t>Timeliness (All)</t>
        </is>
      </c>
      <c r="G12" s="251" t="n">
        <v>0.192</v>
      </c>
      <c r="H12" s="251" t="n">
        <v>0.222</v>
      </c>
      <c r="I12" s="251" t="n">
        <v>0.255</v>
      </c>
      <c r="J12" s="251" t="n">
        <v>0.115</v>
      </c>
      <c r="K12" s="251" t="n">
        <v>0.244444444444444</v>
      </c>
      <c r="L12" s="251" t="n">
        <v>0.1304347826086956</v>
      </c>
      <c r="M12" s="251" t="n">
        <v>0.25</v>
      </c>
      <c r="N12" s="251" t="n"/>
      <c r="O12" s="251" t="n"/>
      <c r="P12" s="251" t="n"/>
      <c r="Q12" s="251" t="n"/>
      <c r="R12" s="251" t="n"/>
      <c r="S12" s="251" t="n">
        <v>0.2012684610075914</v>
      </c>
    </row>
    <row r="13" hidden="1" s="340">
      <c r="A13" t="n">
        <v>24</v>
      </c>
      <c r="B13" t="inlineStr">
        <is>
          <t>SC4 – S07 - Vessel/flight arrived (Estimated)</t>
        </is>
      </c>
      <c r="C13" t="inlineStr">
        <is>
          <t>high</t>
        </is>
      </c>
      <c r="D13" t="inlineStr">
        <is>
          <t>Timeliness (Critical)</t>
        </is>
      </c>
      <c r="G13" s="251" t="n">
        <v>0.26</v>
      </c>
      <c r="H13" s="251" t="n">
        <v>0.21</v>
      </c>
      <c r="I13" s="251" t="n">
        <v>0.18</v>
      </c>
      <c r="J13" s="251" t="n">
        <v>0.22</v>
      </c>
      <c r="K13" s="251" t="n">
        <v>0.214421252371917</v>
      </c>
      <c r="L13" s="251" t="n">
        <v>0.13</v>
      </c>
      <c r="M13" s="251" t="n">
        <v>0.245583038869258</v>
      </c>
      <c r="N13" s="251" t="n"/>
      <c r="O13" s="251" t="n"/>
      <c r="P13" s="251" t="n"/>
      <c r="Q13" s="251" t="n"/>
      <c r="R13" s="251" t="n"/>
      <c r="S13" s="251" t="n">
        <v>0.2085720416058821</v>
      </c>
    </row>
    <row r="14" hidden="1" s="340">
      <c r="A14" t="n">
        <v>30</v>
      </c>
      <c r="B14" t="inlineStr">
        <is>
          <t>SC4 – S18 - Recovered from carrier (Actual)</t>
        </is>
      </c>
      <c r="C14" t="inlineStr">
        <is>
          <t>medium</t>
        </is>
      </c>
      <c r="D14" t="inlineStr">
        <is>
          <t>Timeliness (All)</t>
        </is>
      </c>
      <c r="G14" s="251" t="n">
        <v>0.04</v>
      </c>
      <c r="H14" s="251" t="n">
        <v>0.06</v>
      </c>
      <c r="I14" s="251" t="n">
        <v>0.18</v>
      </c>
      <c r="J14" s="251" t="n">
        <v>0.38</v>
      </c>
      <c r="K14" s="251" t="n">
        <v>0.305921052631579</v>
      </c>
      <c r="L14" s="251" t="n">
        <v>0.38</v>
      </c>
      <c r="M14" s="251" t="n">
        <v>0.399339933993399</v>
      </c>
      <c r="N14" s="251" t="n"/>
      <c r="O14" s="251" t="n"/>
      <c r="P14" s="251" t="n"/>
      <c r="Q14" s="251" t="n"/>
      <c r="R14" s="251" t="n"/>
      <c r="S14" s="251" t="n">
        <v>0.2493229980892826</v>
      </c>
    </row>
    <row r="15" hidden="1" s="340">
      <c r="A15" t="n">
        <v>32</v>
      </c>
      <c r="B15" t="inlineStr">
        <is>
          <t>SC4 – S12 - On hand at destination Hub/CC (Actual)</t>
        </is>
      </c>
      <c r="C15" t="inlineStr">
        <is>
          <t>medium</t>
        </is>
      </c>
      <c r="D15" t="inlineStr">
        <is>
          <t>Timeliness (All)</t>
        </is>
      </c>
      <c r="G15" s="251" t="n">
        <v>0.06</v>
      </c>
      <c r="H15" s="251" t="n">
        <v>0.15</v>
      </c>
      <c r="I15" s="251" t="n">
        <v>0.25</v>
      </c>
      <c r="J15" s="251" t="n">
        <v>0.41</v>
      </c>
      <c r="K15" s="251" t="n">
        <v>0.3125</v>
      </c>
      <c r="L15" s="251" t="n">
        <v>0.37</v>
      </c>
      <c r="M15" s="251" t="n">
        <v>0.415841584158416</v>
      </c>
      <c r="N15" s="251" t="n"/>
      <c r="O15" s="251" t="n"/>
      <c r="P15" s="251" t="n"/>
      <c r="Q15" s="251" t="n"/>
      <c r="R15" s="251" t="n"/>
      <c r="S15" s="251" t="n">
        <v>0.2811916548797737</v>
      </c>
    </row>
    <row r="16" hidden="1" s="340">
      <c r="A16" t="n">
        <v>28</v>
      </c>
      <c r="B16" t="inlineStr">
        <is>
          <t>SC4 – S51 - Arrived destination CFS (Actual)</t>
        </is>
      </c>
      <c r="C16" t="inlineStr">
        <is>
          <t>medium</t>
        </is>
      </c>
      <c r="D16" t="inlineStr">
        <is>
          <t>Timeliness (All)</t>
        </is>
      </c>
      <c r="G16" s="251" t="n">
        <v>0.6</v>
      </c>
      <c r="H16" s="251" t="n">
        <v>0.31</v>
      </c>
      <c r="I16" s="251" t="n">
        <v>0.06</v>
      </c>
      <c r="J16" s="251" t="n">
        <v>0.26</v>
      </c>
      <c r="K16" s="251" t="n">
        <v>0.139013452914798</v>
      </c>
      <c r="L16" s="251" t="n">
        <v>0.28</v>
      </c>
      <c r="M16" s="251" t="n">
        <v>0.319391634980989</v>
      </c>
      <c r="N16" s="251" t="n"/>
      <c r="O16" s="251" t="n"/>
      <c r="P16" s="251" t="n"/>
      <c r="Q16" s="251" t="n"/>
      <c r="R16" s="251" t="n"/>
      <c r="S16" s="251" t="n">
        <v>0.2812007268422553</v>
      </c>
    </row>
    <row r="17" hidden="1" s="340">
      <c r="A17" t="n">
        <v>16</v>
      </c>
      <c r="B17" t="inlineStr">
        <is>
          <t>SC4 – S17 - Tendered carrier (Actual)</t>
        </is>
      </c>
      <c r="C17" t="inlineStr">
        <is>
          <t>medium</t>
        </is>
      </c>
      <c r="D17" t="inlineStr">
        <is>
          <t>Timeliness (All)</t>
        </is>
      </c>
      <c r="G17" s="251" t="n">
        <v>0.29</v>
      </c>
      <c r="H17" s="251" t="n">
        <v>0.27</v>
      </c>
      <c r="I17" s="251" t="n">
        <v>0.17</v>
      </c>
      <c r="J17" s="251" t="n">
        <v>0.3</v>
      </c>
      <c r="K17" s="251" t="n">
        <v>0.327669902912621</v>
      </c>
      <c r="L17" s="251" t="n">
        <v>0.36</v>
      </c>
      <c r="M17" s="251" t="n">
        <v>0.272727272727273</v>
      </c>
      <c r="N17" s="251" t="n"/>
      <c r="O17" s="251" t="n"/>
      <c r="P17" s="251" t="n"/>
      <c r="Q17" s="251" t="n"/>
      <c r="R17" s="251" t="n"/>
      <c r="S17" s="251" t="n">
        <v>0.284342453662842</v>
      </c>
    </row>
    <row r="18">
      <c r="A18" t="n">
        <v>45</v>
      </c>
      <c r="B18" t="inlineStr">
        <is>
          <t>SC3 – S52 - Empty Container picked up (Actual)</t>
        </is>
      </c>
      <c r="C18" t="inlineStr">
        <is>
          <t>medium</t>
        </is>
      </c>
      <c r="D18" t="inlineStr">
        <is>
          <t>Completeness (All)</t>
        </is>
      </c>
      <c r="G18" s="251" t="n">
        <v>0.269</v>
      </c>
      <c r="H18" s="251" t="n">
        <v>0.296</v>
      </c>
      <c r="I18" s="251" t="n">
        <v>0.298</v>
      </c>
      <c r="J18" s="251" t="n">
        <v>0.192</v>
      </c>
      <c r="K18" s="251" t="n">
        <v>0.288888888888889</v>
      </c>
      <c r="L18" s="251" t="n">
        <v>0.3043478260869565</v>
      </c>
      <c r="M18" s="251" t="n">
        <v>0.34375</v>
      </c>
      <c r="N18" s="251" t="n"/>
      <c r="O18" s="251" t="n"/>
      <c r="P18" s="251" t="n"/>
      <c r="Q18" s="251" t="n"/>
      <c r="R18" s="251" t="n"/>
      <c r="S18" s="251" t="n">
        <v>0.2845695307108351</v>
      </c>
    </row>
    <row r="19" hidden="1" s="340">
      <c r="A19" t="n">
        <v>8</v>
      </c>
      <c r="B19" t="inlineStr">
        <is>
          <t>SC4 – S46 - Documents rcvd from shipper (Actual)</t>
        </is>
      </c>
      <c r="C19" t="inlineStr">
        <is>
          <t>medium</t>
        </is>
      </c>
      <c r="D19" t="inlineStr">
        <is>
          <t>Timeliness (All)</t>
        </is>
      </c>
      <c r="G19" s="251" t="n">
        <v>0.27</v>
      </c>
      <c r="H19" s="251" t="n">
        <v>0.18</v>
      </c>
      <c r="I19" s="251" t="n">
        <v>0.15</v>
      </c>
      <c r="J19" s="251" t="n">
        <v>0.31</v>
      </c>
      <c r="K19" s="251" t="n">
        <v>0.313092979127135</v>
      </c>
      <c r="L19" s="251" t="n">
        <v>0.41</v>
      </c>
      <c r="M19" s="251" t="n">
        <v>0.5088339222614841</v>
      </c>
      <c r="N19" s="251" t="n"/>
      <c r="O19" s="251" t="n"/>
      <c r="P19" s="251" t="n"/>
      <c r="Q19" s="251" t="n"/>
      <c r="R19" s="251" t="n"/>
      <c r="S19" s="251" t="n">
        <v>0.3059895573412313</v>
      </c>
    </row>
    <row r="20" hidden="1" s="340">
      <c r="A20" t="n">
        <v>6</v>
      </c>
      <c r="B20" t="inlineStr">
        <is>
          <t>SC4 – S02 - Collected (Actual)</t>
        </is>
      </c>
      <c r="C20" t="inlineStr">
        <is>
          <t>high</t>
        </is>
      </c>
      <c r="D20" t="inlineStr">
        <is>
          <t>Timeliness (Critical)</t>
        </is>
      </c>
      <c r="G20" s="251" t="n">
        <v>0.17</v>
      </c>
      <c r="H20" s="251" t="n">
        <v>0.39</v>
      </c>
      <c r="I20" s="251" t="n">
        <v>0.34</v>
      </c>
      <c r="J20" s="251" t="n">
        <v>0.4</v>
      </c>
      <c r="K20" s="251" t="n">
        <v>0.329145728643216</v>
      </c>
      <c r="L20" s="251" t="n">
        <v>0.37</v>
      </c>
      <c r="M20" s="251" t="n">
        <v>0.383408071748879</v>
      </c>
      <c r="N20" s="251" t="n"/>
      <c r="O20" s="251" t="n"/>
      <c r="P20" s="251" t="n"/>
      <c r="Q20" s="251" t="n"/>
      <c r="R20" s="251" t="n"/>
      <c r="S20" s="251" t="n">
        <v>0.3403648286274422</v>
      </c>
    </row>
    <row r="21" hidden="1" s="340">
      <c r="A21" t="n">
        <v>48</v>
      </c>
      <c r="B21" t="inlineStr">
        <is>
          <t>SC3 – S02 - Collected (Actual)</t>
        </is>
      </c>
      <c r="C21" t="inlineStr">
        <is>
          <t>high</t>
        </is>
      </c>
      <c r="D21" t="inlineStr">
        <is>
          <t>Timeliness (Critical)</t>
        </is>
      </c>
      <c r="G21" s="251" t="n">
        <v>0.317</v>
      </c>
      <c r="H21" s="251" t="n">
        <v>0.392</v>
      </c>
      <c r="I21" s="251" t="n">
        <v>0.318</v>
      </c>
      <c r="J21" s="251" t="n">
        <v>0.317</v>
      </c>
      <c r="K21" s="251" t="n">
        <v>0.342465753424658</v>
      </c>
      <c r="L21" s="251" t="n">
        <v>0.3848684210526316</v>
      </c>
      <c r="M21" s="251" t="n">
        <v>0.406832298136646</v>
      </c>
      <c r="N21" s="251" t="n"/>
      <c r="O21" s="251" t="n"/>
      <c r="P21" s="251" t="n"/>
      <c r="Q21" s="251" t="n"/>
      <c r="R21" s="251" t="n"/>
      <c r="S21" s="251" t="n">
        <v>0.3540237818019908</v>
      </c>
    </row>
    <row r="22">
      <c r="A22" t="n">
        <v>67</v>
      </c>
      <c r="B22" t="inlineStr">
        <is>
          <t>SC3 – S51 - Arrived destination CFS (Actual)</t>
        </is>
      </c>
      <c r="C22" t="inlineStr">
        <is>
          <t>medium</t>
        </is>
      </c>
      <c r="D22" t="inlineStr">
        <is>
          <t>Completeness (All)</t>
        </is>
      </c>
      <c r="G22" s="251" t="n">
        <v>0.411</v>
      </c>
      <c r="H22" s="251" t="n">
        <v>0.426</v>
      </c>
      <c r="I22" s="251" t="n">
        <v>0.312</v>
      </c>
      <c r="J22" s="251" t="n">
        <v>0.399</v>
      </c>
      <c r="K22" s="251" t="n">
        <v>0.428571428571429</v>
      </c>
      <c r="L22" s="251" t="n">
        <v>0.3133333333333334</v>
      </c>
      <c r="M22" s="251" t="n">
        <v>0.223076923076923</v>
      </c>
      <c r="N22" s="251" t="n"/>
      <c r="O22" s="251" t="n"/>
      <c r="P22" s="251" t="n"/>
      <c r="Q22" s="251" t="n"/>
      <c r="R22" s="251" t="n"/>
      <c r="S22" s="251" t="n">
        <v>0.3589973835688122</v>
      </c>
    </row>
    <row r="23" hidden="1" s="340">
      <c r="A23" t="n">
        <v>34</v>
      </c>
      <c r="B23" t="inlineStr">
        <is>
          <t>SC4 – S13 - On hand at destination SVC (Actual)</t>
        </is>
      </c>
      <c r="C23" t="inlineStr">
        <is>
          <t>medium</t>
        </is>
      </c>
      <c r="D23" t="inlineStr">
        <is>
          <t>Timeliness (All)</t>
        </is>
      </c>
      <c r="G23" s="251" t="n">
        <v>0.04</v>
      </c>
      <c r="H23" s="251" t="n">
        <v>0.08</v>
      </c>
      <c r="I23" s="251" t="n">
        <v>0.22</v>
      </c>
      <c r="J23" s="251" t="n">
        <v>0.5</v>
      </c>
      <c r="K23" s="251" t="n">
        <v>0.453947368421053</v>
      </c>
      <c r="L23" s="251" t="n">
        <v>0.61</v>
      </c>
      <c r="M23" s="251" t="n">
        <v>0.653465346534653</v>
      </c>
      <c r="N23" s="251" t="n"/>
      <c r="O23" s="251" t="n"/>
      <c r="P23" s="251" t="n"/>
      <c r="Q23" s="251" t="n"/>
      <c r="R23" s="251" t="n"/>
      <c r="S23" s="251" t="n">
        <v>0.3653446735651009</v>
      </c>
    </row>
    <row r="24" hidden="1" s="340">
      <c r="A24" t="n">
        <v>76</v>
      </c>
      <c r="B24" t="inlineStr">
        <is>
          <t>SC3 – S05 - In delivery (Actual)</t>
        </is>
      </c>
      <c r="C24" t="inlineStr">
        <is>
          <t>medium</t>
        </is>
      </c>
      <c r="D24" t="inlineStr">
        <is>
          <t>Timeliness (All)</t>
        </is>
      </c>
      <c r="G24" s="251" t="n">
        <v>0.235</v>
      </c>
      <c r="H24" s="251" t="n">
        <v>0.228</v>
      </c>
      <c r="I24" s="251" t="n">
        <v>0.254</v>
      </c>
      <c r="J24" s="251" t="n">
        <v>0.345</v>
      </c>
      <c r="K24" s="251" t="n">
        <v>0.437984496124031</v>
      </c>
      <c r="L24" s="251" t="n">
        <v>0.5192307692307693</v>
      </c>
      <c r="M24" s="251" t="n">
        <v>0.575757575757576</v>
      </c>
      <c r="N24" s="251" t="n"/>
      <c r="O24" s="251" t="n"/>
      <c r="P24" s="251" t="n"/>
      <c r="Q24" s="251" t="n"/>
      <c r="R24" s="251" t="n"/>
      <c r="S24" s="251" t="n">
        <v>0.3707104058731966</v>
      </c>
    </row>
    <row r="25" hidden="1" s="340">
      <c r="A25" t="n">
        <v>72</v>
      </c>
      <c r="B25" t="inlineStr">
        <is>
          <t>SC3 – S45 - Handover to broker (Actual)</t>
        </is>
      </c>
      <c r="C25" t="inlineStr">
        <is>
          <t>high</t>
        </is>
      </c>
      <c r="D25" t="inlineStr">
        <is>
          <t>Timeliness (Critical)</t>
        </is>
      </c>
      <c r="G25" s="251" t="n">
        <v>0.369</v>
      </c>
      <c r="H25" s="251" t="n">
        <v>0.279</v>
      </c>
      <c r="I25" s="251" t="n">
        <v>0.396</v>
      </c>
      <c r="J25" s="251" t="n">
        <v>0.452</v>
      </c>
      <c r="K25" s="251" t="n">
        <v>0.417322834645669</v>
      </c>
      <c r="L25" s="251" t="n">
        <v>0.4260869565217391</v>
      </c>
      <c r="M25" s="251" t="n">
        <v>0.382978723404255</v>
      </c>
      <c r="N25" s="251" t="n"/>
      <c r="O25" s="251" t="n"/>
      <c r="P25" s="251" t="n"/>
      <c r="Q25" s="251" t="n"/>
      <c r="R25" s="251" t="n"/>
      <c r="S25" s="251" t="n">
        <v>0.388912644938809</v>
      </c>
    </row>
    <row r="26" hidden="1" s="340">
      <c r="A26" t="n">
        <v>12</v>
      </c>
      <c r="B26" t="inlineStr">
        <is>
          <t>SC4 – S11 - On hand at origin Hub/CC (Actual)</t>
        </is>
      </c>
      <c r="C26" t="inlineStr">
        <is>
          <t>medium</t>
        </is>
      </c>
      <c r="D26" t="inlineStr">
        <is>
          <t>Timeliness (All)</t>
        </is>
      </c>
      <c r="G26" s="251" t="n">
        <v>0.47</v>
      </c>
      <c r="H26" s="251" t="n">
        <v>0.27</v>
      </c>
      <c r="I26" s="251" t="n">
        <v>0.3</v>
      </c>
      <c r="J26" s="251" t="n">
        <v>0.36</v>
      </c>
      <c r="K26" s="251" t="n">
        <v>0.398058252427184</v>
      </c>
      <c r="L26" s="251" t="n">
        <v>0.45</v>
      </c>
      <c r="M26" s="251" t="n">
        <v>0.53276955602537</v>
      </c>
      <c r="N26" s="251" t="n"/>
      <c r="O26" s="251" t="n"/>
      <c r="P26" s="251" t="n"/>
      <c r="Q26" s="251" t="n"/>
      <c r="R26" s="251" t="n"/>
      <c r="S26" s="251" t="n">
        <v>0.397261115493222</v>
      </c>
    </row>
    <row r="27" hidden="1" s="340">
      <c r="A27" t="n">
        <v>74</v>
      </c>
      <c r="B27" t="inlineStr">
        <is>
          <t>SC3 – S45 - Handover to broker (Estimated)</t>
        </is>
      </c>
      <c r="C27" t="inlineStr">
        <is>
          <t>high</t>
        </is>
      </c>
      <c r="D27" t="inlineStr">
        <is>
          <t>Timeliness (Critical)</t>
        </is>
      </c>
      <c r="G27" s="251" t="n">
        <v>0.091</v>
      </c>
      <c r="H27" s="251" t="n">
        <v>0.25</v>
      </c>
      <c r="I27" s="251" t="n">
        <v>0.375</v>
      </c>
      <c r="J27" s="251" t="n">
        <v>0.459</v>
      </c>
      <c r="K27" s="251" t="n">
        <v>0.588235294117647</v>
      </c>
      <c r="L27" s="251" t="n">
        <v>0.5813953488372093</v>
      </c>
      <c r="M27" s="251" t="n">
        <v>0.456521739130435</v>
      </c>
      <c r="N27" s="251" t="n"/>
      <c r="O27" s="251" t="n"/>
      <c r="P27" s="251" t="n"/>
      <c r="Q27" s="251" t="n"/>
      <c r="R27" s="251" t="n"/>
      <c r="S27" s="251" t="n">
        <v>0.4001646260121845</v>
      </c>
    </row>
    <row r="28">
      <c r="A28" t="n">
        <v>71</v>
      </c>
      <c r="B28" t="inlineStr">
        <is>
          <t>SC3 – S45 - Handover to broker (Actual)</t>
        </is>
      </c>
      <c r="C28" t="inlineStr">
        <is>
          <t>high</t>
        </is>
      </c>
      <c r="D28" t="inlineStr">
        <is>
          <t>Completeness (Critical)</t>
        </is>
      </c>
      <c r="G28" s="251" t="n">
        <v>0.369</v>
      </c>
      <c r="H28" s="251" t="n">
        <v>0.279</v>
      </c>
      <c r="I28" s="251" t="n">
        <v>0.406</v>
      </c>
      <c r="J28" s="251" t="n">
        <v>0.468</v>
      </c>
      <c r="K28" s="251" t="n">
        <v>0.440944881889764</v>
      </c>
      <c r="L28" s="251" t="n">
        <v>0.4608695652173913</v>
      </c>
      <c r="M28" s="251" t="n">
        <v>0.425531914893617</v>
      </c>
      <c r="N28" s="251" t="n"/>
      <c r="O28" s="251" t="n"/>
      <c r="P28" s="251" t="n"/>
      <c r="Q28" s="251" t="n"/>
      <c r="R28" s="251" t="n"/>
      <c r="S28" s="251" t="n">
        <v>0.4070494802858247</v>
      </c>
    </row>
    <row r="29" hidden="1" s="340">
      <c r="A29" t="n">
        <v>83</v>
      </c>
      <c r="B29" t="inlineStr">
        <is>
          <t>For "to Port" Shipments, milestone estimates are not received 7 days before of the actual Milestone event</t>
        </is>
      </c>
      <c r="C29" t="inlineStr">
        <is>
          <t>medium</t>
        </is>
      </c>
      <c r="D29" t="inlineStr">
        <is>
          <t>ETA accuracy 2P</t>
        </is>
      </c>
      <c r="G29" s="251" t="n">
        <v>0.223</v>
      </c>
      <c r="H29" s="251" t="n">
        <v>0.386</v>
      </c>
      <c r="I29" s="251" t="n">
        <v>0.403</v>
      </c>
      <c r="J29" s="251" t="n">
        <v>0.434</v>
      </c>
      <c r="K29" s="251" t="n">
        <v>0.435</v>
      </c>
      <c r="L29" s="251" t="n">
        <v>0.622</v>
      </c>
      <c r="M29" s="251" t="n">
        <v>0.392</v>
      </c>
      <c r="N29" s="251" t="n"/>
      <c r="O29" s="251" t="n"/>
      <c r="P29" s="251" t="n"/>
      <c r="Q29" s="251" t="n"/>
      <c r="R29" s="251" t="n"/>
      <c r="S29" s="251" t="n">
        <v>0.4135714285714286</v>
      </c>
    </row>
    <row r="30" hidden="1" s="340">
      <c r="A30" t="n">
        <v>18</v>
      </c>
      <c r="B30" t="inlineStr">
        <is>
          <t>SC4 – S50 - Received origin CFS (Actual)</t>
        </is>
      </c>
      <c r="C30" t="inlineStr">
        <is>
          <t>medium</t>
        </is>
      </c>
      <c r="D30" t="inlineStr">
        <is>
          <t>Timeliness (All)</t>
        </is>
      </c>
      <c r="G30" s="251" t="n">
        <v>0.4</v>
      </c>
      <c r="H30" s="251" t="n">
        <v>0.64</v>
      </c>
      <c r="I30" s="251" t="n">
        <v>0.42</v>
      </c>
      <c r="J30" s="251" t="n">
        <v>0.33</v>
      </c>
      <c r="K30" s="251" t="n">
        <v>0.439461883408072</v>
      </c>
      <c r="L30" s="251" t="n">
        <v>0.44</v>
      </c>
      <c r="M30" s="251" t="n">
        <v>0.288973384030418</v>
      </c>
      <c r="N30" s="251" t="n"/>
      <c r="O30" s="251" t="n"/>
      <c r="P30" s="251" t="n"/>
      <c r="Q30" s="251" t="n"/>
      <c r="R30" s="251" t="n"/>
      <c r="S30" s="251" t="n">
        <v>0.42263360963407</v>
      </c>
    </row>
    <row r="31">
      <c r="A31" t="n">
        <v>73</v>
      </c>
      <c r="B31" t="inlineStr">
        <is>
          <t>SC3 – S45 - Handover to broker (Estimated)</t>
        </is>
      </c>
      <c r="C31" t="inlineStr">
        <is>
          <t>high</t>
        </is>
      </c>
      <c r="D31" t="inlineStr">
        <is>
          <t>Completeness (Critical)</t>
        </is>
      </c>
      <c r="G31" s="251" t="n">
        <v>0.091</v>
      </c>
      <c r="H31" s="251" t="n">
        <v>0.25</v>
      </c>
      <c r="I31" s="251" t="n">
        <v>0.375</v>
      </c>
      <c r="J31" s="251" t="n">
        <v>0.514</v>
      </c>
      <c r="K31" s="251" t="n">
        <v>0.617647058823529</v>
      </c>
      <c r="L31" s="251" t="n">
        <v>0.6511627906976745</v>
      </c>
      <c r="M31" s="251" t="n">
        <v>0.478260869565217</v>
      </c>
      <c r="N31" s="251" t="n"/>
      <c r="O31" s="251" t="n"/>
      <c r="P31" s="251" t="n"/>
      <c r="Q31" s="251" t="n"/>
      <c r="R31" s="251" t="n"/>
      <c r="S31" s="251" t="n">
        <v>0.4252958170123457</v>
      </c>
    </row>
    <row r="32">
      <c r="A32" t="n">
        <v>27</v>
      </c>
      <c r="B32" t="inlineStr">
        <is>
          <t>SC4 – S51 - Arrived destination CFS (Actual)</t>
        </is>
      </c>
      <c r="C32" t="inlineStr">
        <is>
          <t>medium</t>
        </is>
      </c>
      <c r="D32" t="inlineStr">
        <is>
          <t>Completeness (All)</t>
        </is>
      </c>
      <c r="G32" s="251" t="n">
        <v>0.65</v>
      </c>
      <c r="H32" s="251" t="n">
        <v>0.38</v>
      </c>
      <c r="I32" s="251" t="n">
        <v>0.29</v>
      </c>
      <c r="J32" s="251" t="n">
        <v>0.41</v>
      </c>
      <c r="K32" s="251" t="n">
        <v>0.349775784753363</v>
      </c>
      <c r="L32" s="251" t="n">
        <v>0.4</v>
      </c>
      <c r="M32" s="251" t="n">
        <v>0.581749049429658</v>
      </c>
      <c r="N32" s="251" t="n"/>
      <c r="O32" s="251" t="n"/>
      <c r="P32" s="251" t="n"/>
      <c r="Q32" s="251" t="n"/>
      <c r="R32" s="251" t="n"/>
      <c r="S32" s="251" t="n">
        <v>0.4373606905975744</v>
      </c>
    </row>
    <row r="33" hidden="1" s="340">
      <c r="A33" t="n">
        <v>56</v>
      </c>
      <c r="B33" t="inlineStr">
        <is>
          <t>SC3 – S53 - Full Container loaded on vessel (Actual)</t>
        </is>
      </c>
      <c r="C33" t="inlineStr">
        <is>
          <t>medium</t>
        </is>
      </c>
      <c r="D33" t="inlineStr">
        <is>
          <t>Timeliness (All)</t>
        </is>
      </c>
      <c r="G33" s="251" t="n">
        <v>0.379</v>
      </c>
      <c r="H33" s="251" t="n">
        <v>0.389</v>
      </c>
      <c r="I33" s="251" t="n">
        <v>0.49</v>
      </c>
      <c r="J33" s="251" t="n">
        <v>0.348</v>
      </c>
      <c r="K33" s="251" t="n">
        <v>0.62962962962963</v>
      </c>
      <c r="L33" s="251" t="n">
        <v>0.5512820512820513</v>
      </c>
      <c r="M33" s="251" t="n">
        <v>0.365853658536585</v>
      </c>
      <c r="N33" s="251" t="n"/>
      <c r="O33" s="251" t="n"/>
      <c r="P33" s="251" t="n"/>
      <c r="Q33" s="251" t="n"/>
      <c r="R33" s="251" t="n"/>
      <c r="S33" s="251" t="n">
        <v>0.4503950484926094</v>
      </c>
    </row>
    <row r="34" hidden="1" s="340">
      <c r="A34" t="n">
        <v>4</v>
      </c>
      <c r="B34" t="inlineStr">
        <is>
          <t>SC4 – S02 - Collected (Estimated)</t>
        </is>
      </c>
      <c r="C34" t="inlineStr">
        <is>
          <t>high</t>
        </is>
      </c>
      <c r="D34" t="inlineStr">
        <is>
          <t>Timeliness (Critical)</t>
        </is>
      </c>
      <c r="G34" s="251" t="n">
        <v>0.41</v>
      </c>
      <c r="H34" s="251" t="n">
        <v>0.36</v>
      </c>
      <c r="I34" s="251" t="n">
        <v>0.34</v>
      </c>
      <c r="J34" s="251" t="n">
        <v>0.43</v>
      </c>
      <c r="K34" s="251" t="n">
        <v>0.527638190954774</v>
      </c>
      <c r="L34" s="251" t="n">
        <v>0.59</v>
      </c>
      <c r="M34" s="251" t="n">
        <v>0.665919282511211</v>
      </c>
      <c r="N34" s="251" t="n"/>
      <c r="O34" s="251" t="n"/>
      <c r="P34" s="251" t="n"/>
      <c r="Q34" s="251" t="n"/>
      <c r="R34" s="251" t="n"/>
      <c r="S34" s="251" t="n">
        <v>0.474793924780855</v>
      </c>
    </row>
    <row r="35" hidden="1" s="340">
      <c r="A35" t="n">
        <v>20</v>
      </c>
      <c r="B35" t="inlineStr">
        <is>
          <t>SC4 – S04 - Vessel/flight departed (Estimated)</t>
        </is>
      </c>
      <c r="C35" t="inlineStr">
        <is>
          <t>high</t>
        </is>
      </c>
      <c r="D35" t="inlineStr">
        <is>
          <t>Timeliness (Critical)</t>
        </is>
      </c>
      <c r="G35" s="251" t="n">
        <v>0.38</v>
      </c>
      <c r="H35" s="251" t="n">
        <v>0.43</v>
      </c>
      <c r="I35" s="251" t="n">
        <v>0.37</v>
      </c>
      <c r="J35" s="251" t="n">
        <v>0.43</v>
      </c>
      <c r="K35" s="251" t="n">
        <v>0.487666034155598</v>
      </c>
      <c r="L35" s="251" t="n">
        <v>0.53</v>
      </c>
      <c r="M35" s="251" t="n">
        <v>0.720848056537102</v>
      </c>
      <c r="N35" s="251" t="n"/>
      <c r="O35" s="251" t="n"/>
      <c r="P35" s="251" t="n"/>
      <c r="Q35" s="251" t="n"/>
      <c r="R35" s="251" t="n"/>
      <c r="S35" s="251" t="n">
        <v>0.4783591558132429</v>
      </c>
    </row>
    <row r="36" hidden="1" s="340">
      <c r="A36" t="n">
        <v>26</v>
      </c>
      <c r="B36" t="inlineStr">
        <is>
          <t>SC4 – S07 - Vessel/flight arrived (Actual)</t>
        </is>
      </c>
      <c r="C36" t="inlineStr">
        <is>
          <t>high</t>
        </is>
      </c>
      <c r="D36" t="inlineStr">
        <is>
          <t>Timeliness (Critical)</t>
        </is>
      </c>
      <c r="G36" s="251" t="n">
        <v>0.33</v>
      </c>
      <c r="H36" s="251" t="n">
        <v>0.66</v>
      </c>
      <c r="I36" s="251" t="n">
        <v>0.61</v>
      </c>
      <c r="J36" s="251" t="n">
        <v>0.52</v>
      </c>
      <c r="K36" s="251" t="n">
        <v>0.438330170777989</v>
      </c>
      <c r="L36" s="251" t="n">
        <v>0.46</v>
      </c>
      <c r="M36" s="251" t="n">
        <v>0.45583038869258</v>
      </c>
      <c r="N36" s="251" t="n"/>
      <c r="O36" s="251" t="n"/>
      <c r="P36" s="251" t="n"/>
      <c r="Q36" s="251" t="n"/>
      <c r="R36" s="251" t="n"/>
      <c r="S36" s="251" t="n">
        <v>0.4963086513529385</v>
      </c>
    </row>
    <row r="37" hidden="1" s="340">
      <c r="A37" t="n">
        <v>70</v>
      </c>
      <c r="B37" t="inlineStr">
        <is>
          <t>SC3 – S13 - On hand at destination SVC (Actual)</t>
        </is>
      </c>
      <c r="C37" t="inlineStr">
        <is>
          <t>medium</t>
        </is>
      </c>
      <c r="D37" t="inlineStr">
        <is>
          <t>Timeliness (All)</t>
        </is>
      </c>
      <c r="G37" s="251" t="n">
        <v>0.062</v>
      </c>
      <c r="H37" s="251" t="n">
        <v>0.173</v>
      </c>
      <c r="I37" s="251" t="n">
        <v>0.365</v>
      </c>
      <c r="J37" s="251" t="n">
        <v>0.545</v>
      </c>
      <c r="K37" s="251" t="n">
        <v>0.721311475409836</v>
      </c>
      <c r="L37" s="251" t="n">
        <v>0.7870370370370371</v>
      </c>
      <c r="M37" s="251" t="n">
        <v>0.84037558685446</v>
      </c>
      <c r="N37" s="251" t="n"/>
      <c r="O37" s="251" t="n"/>
      <c r="P37" s="251" t="n"/>
      <c r="Q37" s="251" t="n"/>
      <c r="R37" s="251" t="n"/>
      <c r="S37" s="251" t="n">
        <v>0.4991034427573333</v>
      </c>
    </row>
    <row r="38">
      <c r="A38" t="n">
        <v>29</v>
      </c>
      <c r="B38" t="inlineStr">
        <is>
          <t>SC4 – S18 - Recovered from carrier (Actual)</t>
        </is>
      </c>
      <c r="C38" t="inlineStr">
        <is>
          <t>medium</t>
        </is>
      </c>
      <c r="D38" t="inlineStr">
        <is>
          <t>Completeness (All)</t>
        </is>
      </c>
      <c r="G38" s="251" t="n">
        <v>0.23</v>
      </c>
      <c r="H38" s="251" t="n">
        <v>0.13</v>
      </c>
      <c r="I38" s="251" t="n">
        <v>0.31</v>
      </c>
      <c r="J38" s="251" t="n">
        <v>0.61</v>
      </c>
      <c r="K38" s="251" t="n">
        <v>0.638157894736842</v>
      </c>
      <c r="L38" s="251" t="n">
        <v>0.82</v>
      </c>
      <c r="M38" s="251" t="n">
        <v>0.805280528052805</v>
      </c>
      <c r="N38" s="251" t="n"/>
      <c r="O38" s="251" t="n"/>
      <c r="P38" s="251" t="n"/>
      <c r="Q38" s="251" t="n"/>
      <c r="R38" s="251" t="n"/>
      <c r="S38" s="251" t="n">
        <v>0.5062054889699495</v>
      </c>
    </row>
    <row r="39">
      <c r="A39" t="n">
        <v>55</v>
      </c>
      <c r="B39" t="inlineStr">
        <is>
          <t>SC3 – S53 - Full Container loaded on vessel (Actual)</t>
        </is>
      </c>
      <c r="C39" t="inlineStr">
        <is>
          <t>medium</t>
        </is>
      </c>
      <c r="D39" t="inlineStr">
        <is>
          <t>Completeness (All)</t>
        </is>
      </c>
      <c r="G39" s="251" t="n">
        <v>0.414</v>
      </c>
      <c r="H39" s="251" t="n">
        <v>0.417</v>
      </c>
      <c r="I39" s="251" t="n">
        <v>0.51</v>
      </c>
      <c r="J39" s="251" t="n">
        <v>0.424</v>
      </c>
      <c r="K39" s="251" t="n">
        <v>0.685185185185185</v>
      </c>
      <c r="L39" s="251" t="n">
        <v>0.5897435897435898</v>
      </c>
      <c r="M39" s="251" t="n">
        <v>0.51219512195122</v>
      </c>
      <c r="N39" s="251" t="n"/>
      <c r="O39" s="251" t="n"/>
      <c r="P39" s="251" t="n"/>
      <c r="Q39" s="251" t="n"/>
      <c r="R39" s="251" t="n"/>
      <c r="S39" s="251" t="n">
        <v>0.5074462709828563</v>
      </c>
    </row>
    <row r="40" hidden="1" s="340">
      <c r="A40" t="n">
        <v>80</v>
      </c>
      <c r="B40" t="inlineStr">
        <is>
          <t>SC3 – S31 - Delivered (Estimated)</t>
        </is>
      </c>
      <c r="C40" t="inlineStr">
        <is>
          <t>high</t>
        </is>
      </c>
      <c r="D40" t="inlineStr">
        <is>
          <t>Timeliness (Critical)</t>
        </is>
      </c>
      <c r="G40" s="251" t="n">
        <v>0.578</v>
      </c>
      <c r="H40" s="251" t="n">
        <v>0.587</v>
      </c>
      <c r="I40" s="251" t="n">
        <v>0.504</v>
      </c>
      <c r="J40" s="251" t="n">
        <v>0.468</v>
      </c>
      <c r="K40" s="251" t="n">
        <v>0.484496124031008</v>
      </c>
      <c r="L40" s="251" t="n">
        <v>0.4519230769230769</v>
      </c>
      <c r="M40" s="251" t="n">
        <v>0.501683501683502</v>
      </c>
      <c r="N40" s="251" t="n"/>
      <c r="O40" s="251" t="n"/>
      <c r="P40" s="251" t="n"/>
      <c r="Q40" s="251" t="n"/>
      <c r="R40" s="251" t="n"/>
      <c r="S40" s="251" t="n">
        <v>0.5107289575196553</v>
      </c>
    </row>
    <row r="41">
      <c r="A41" t="n">
        <v>75</v>
      </c>
      <c r="B41" t="inlineStr">
        <is>
          <t>SC3 – S05 - In delivery (Actual)</t>
        </is>
      </c>
      <c r="C41" t="inlineStr">
        <is>
          <t>medium</t>
        </is>
      </c>
      <c r="D41" t="inlineStr">
        <is>
          <t>Completeness (All)</t>
        </is>
      </c>
      <c r="G41" s="251" t="n">
        <v>0.396</v>
      </c>
      <c r="H41" s="251" t="n">
        <v>0.521</v>
      </c>
      <c r="I41" s="251" t="n">
        <v>0.44</v>
      </c>
      <c r="J41" s="251" t="n">
        <v>0.478</v>
      </c>
      <c r="K41" s="251" t="n">
        <v>0.554263565891473</v>
      </c>
      <c r="L41" s="251" t="n">
        <v>0.5673076923076923</v>
      </c>
      <c r="M41" s="251" t="n">
        <v>0.646464646464647</v>
      </c>
      <c r="N41" s="251" t="n"/>
      <c r="O41" s="251" t="n"/>
      <c r="P41" s="251" t="n"/>
      <c r="Q41" s="251" t="n"/>
      <c r="R41" s="251" t="n"/>
      <c r="S41" s="251" t="n">
        <v>0.5147194149519733</v>
      </c>
    </row>
    <row r="42" hidden="1" s="340">
      <c r="A42" t="n">
        <v>2</v>
      </c>
      <c r="B42" t="inlineStr">
        <is>
          <t>SC4 – S00 - Shipment created (Actual)</t>
        </is>
      </c>
      <c r="C42" t="inlineStr">
        <is>
          <t>high</t>
        </is>
      </c>
      <c r="D42" t="inlineStr">
        <is>
          <t>Timeliness (Critical)</t>
        </is>
      </c>
      <c r="G42" s="251" t="n">
        <v>0.52</v>
      </c>
      <c r="H42" s="251" t="n">
        <v>0.36</v>
      </c>
      <c r="I42" s="251" t="n">
        <v>0.35</v>
      </c>
      <c r="J42" s="251" t="n">
        <v>0.49</v>
      </c>
      <c r="K42" s="251" t="n">
        <v>0.546489563567362</v>
      </c>
      <c r="L42" s="251" t="n">
        <v>0.6</v>
      </c>
      <c r="M42" s="251" t="n">
        <v>0.747349823321555</v>
      </c>
      <c r="N42" s="251" t="n"/>
      <c r="O42" s="251" t="n"/>
      <c r="P42" s="251" t="n"/>
      <c r="Q42" s="251" t="n"/>
      <c r="R42" s="251" t="n"/>
      <c r="S42" s="251" t="n">
        <v>0.5162627695555596</v>
      </c>
    </row>
    <row r="43">
      <c r="A43" t="n">
        <v>1</v>
      </c>
      <c r="B43" t="inlineStr">
        <is>
          <t>SC4 – S00 - Shipment created (Actual)</t>
        </is>
      </c>
      <c r="C43" t="inlineStr">
        <is>
          <t>high</t>
        </is>
      </c>
      <c r="D43" t="inlineStr">
        <is>
          <t>Completeness (Critical)</t>
        </is>
      </c>
      <c r="G43" s="251" t="n">
        <v>0.52</v>
      </c>
      <c r="H43" s="251" t="n">
        <v>0.36</v>
      </c>
      <c r="I43" s="251" t="n">
        <v>0.35</v>
      </c>
      <c r="J43" s="251" t="n">
        <v>0.5</v>
      </c>
      <c r="K43" s="251" t="n">
        <v>0.552182163187856</v>
      </c>
      <c r="L43" s="251" t="n">
        <v>0.61</v>
      </c>
      <c r="M43" s="251" t="n">
        <v>0.770318021201413</v>
      </c>
      <c r="N43" s="251" t="n"/>
      <c r="O43" s="251" t="n"/>
      <c r="P43" s="251" t="n"/>
      <c r="Q43" s="251" t="n"/>
      <c r="R43" s="251" t="n"/>
      <c r="S43" s="251" t="n">
        <v>0.5232143120556099</v>
      </c>
    </row>
    <row r="44" hidden="1" s="340">
      <c r="A44" t="n">
        <v>10</v>
      </c>
      <c r="B44" t="inlineStr">
        <is>
          <t>SC4 – S10 - On hand at origin SVC (Actual)</t>
        </is>
      </c>
      <c r="C44" t="inlineStr">
        <is>
          <t>medium</t>
        </is>
      </c>
      <c r="D44" t="inlineStr">
        <is>
          <t>Timeliness (All)</t>
        </is>
      </c>
      <c r="G44" s="251" t="n">
        <v>0.64</v>
      </c>
      <c r="H44" s="251" t="n">
        <v>0.53</v>
      </c>
      <c r="I44" s="251" t="n">
        <v>0.51</v>
      </c>
      <c r="J44" s="251" t="n">
        <v>0.49</v>
      </c>
      <c r="K44" s="251" t="n">
        <v>0.470873786407767</v>
      </c>
      <c r="L44" s="251" t="n">
        <v>0.53</v>
      </c>
      <c r="M44" s="251" t="n">
        <v>0.566596194503171</v>
      </c>
      <c r="N44" s="251" t="n"/>
      <c r="O44" s="251" t="n"/>
      <c r="P44" s="251" t="n"/>
      <c r="Q44" s="251" t="n"/>
      <c r="R44" s="251" t="n"/>
      <c r="S44" s="251" t="n">
        <v>0.5339242829872768</v>
      </c>
    </row>
    <row r="45" hidden="1" s="340">
      <c r="A45" t="n">
        <v>36</v>
      </c>
      <c r="B45" t="inlineStr">
        <is>
          <t>SC4 – S45 - Handover to broker (Actual)</t>
        </is>
      </c>
      <c r="C45" t="inlineStr">
        <is>
          <t>high</t>
        </is>
      </c>
      <c r="D45" t="inlineStr">
        <is>
          <t>Timeliness (Critical)</t>
        </is>
      </c>
      <c r="G45" s="251" t="n">
        <v>1</v>
      </c>
      <c r="H45" s="251" t="n">
        <v>0.92</v>
      </c>
      <c r="I45" s="251" t="n">
        <v>0.54</v>
      </c>
      <c r="J45" s="251" t="n">
        <v>0.37</v>
      </c>
      <c r="K45" s="251" t="n">
        <v>0.477064220183486</v>
      </c>
      <c r="L45" s="251" t="n">
        <v>0.21</v>
      </c>
      <c r="M45" s="251" t="n">
        <v>0.27979274611399</v>
      </c>
      <c r="N45" s="251" t="n"/>
      <c r="O45" s="251" t="n"/>
      <c r="P45" s="251" t="n"/>
      <c r="Q45" s="251" t="n"/>
      <c r="R45" s="251" t="n"/>
      <c r="S45" s="251" t="n">
        <v>0.5424081380424967</v>
      </c>
    </row>
    <row r="46">
      <c r="A46" t="n">
        <v>69</v>
      </c>
      <c r="B46" t="inlineStr">
        <is>
          <t>SC3 – S13 - On hand at destination SVC (Actual)</t>
        </is>
      </c>
      <c r="C46" t="inlineStr">
        <is>
          <t>medium</t>
        </is>
      </c>
      <c r="D46" t="inlineStr">
        <is>
          <t>Completeness (All)</t>
        </is>
      </c>
      <c r="G46" s="251" t="n">
        <v>0.082</v>
      </c>
      <c r="H46" s="251" t="n">
        <v>0.183</v>
      </c>
      <c r="I46" s="251" t="n">
        <v>0.414</v>
      </c>
      <c r="J46" s="251" t="n">
        <v>0.596</v>
      </c>
      <c r="K46" s="251" t="n">
        <v>0.8032786885245899</v>
      </c>
      <c r="L46" s="251" t="n">
        <v>0.8425925925925926</v>
      </c>
      <c r="M46" s="251" t="n">
        <v>0.901408450704225</v>
      </c>
      <c r="N46" s="251" t="n"/>
      <c r="O46" s="251" t="n"/>
      <c r="P46" s="251" t="n"/>
      <c r="Q46" s="251" t="n"/>
      <c r="R46" s="251" t="n"/>
      <c r="S46" s="251" t="n">
        <v>0.5460399616887724</v>
      </c>
    </row>
    <row r="47">
      <c r="A47" t="n">
        <v>77</v>
      </c>
      <c r="B47" t="inlineStr">
        <is>
          <t>SC3 – S31 - Delivered (Actual)</t>
        </is>
      </c>
      <c r="C47" t="inlineStr">
        <is>
          <t>high</t>
        </is>
      </c>
      <c r="D47" t="inlineStr">
        <is>
          <t>Completeness (Critical)</t>
        </is>
      </c>
      <c r="G47" s="251" t="n">
        <v>0.422</v>
      </c>
      <c r="H47" s="251" t="n">
        <v>0.575</v>
      </c>
      <c r="I47" s="251" t="n">
        <v>0.54</v>
      </c>
      <c r="J47" s="251" t="n">
        <v>0.583</v>
      </c>
      <c r="K47" s="251" t="n">
        <v>0.5658914728682169</v>
      </c>
      <c r="L47" s="251" t="n">
        <v>0.5737179487179487</v>
      </c>
      <c r="M47" s="251" t="n">
        <v>0.606060606060606</v>
      </c>
      <c r="N47" s="251" t="n"/>
      <c r="O47" s="251" t="n"/>
      <c r="P47" s="251" t="n"/>
      <c r="Q47" s="251" t="n"/>
      <c r="R47" s="251" t="n"/>
      <c r="S47" s="251" t="n">
        <v>0.5522385753781103</v>
      </c>
    </row>
    <row r="48">
      <c r="A48" t="n">
        <v>33</v>
      </c>
      <c r="B48" t="inlineStr">
        <is>
          <t>SC4 – S13 - On hand at destination SVC (Actual)</t>
        </is>
      </c>
      <c r="C48" t="inlineStr">
        <is>
          <t>medium</t>
        </is>
      </c>
      <c r="D48" t="inlineStr">
        <is>
          <t>Completeness (All)</t>
        </is>
      </c>
      <c r="G48" s="251" t="n">
        <v>0.28</v>
      </c>
      <c r="H48" s="251" t="n">
        <v>0.14</v>
      </c>
      <c r="I48" s="251" t="n">
        <v>0.34</v>
      </c>
      <c r="J48" s="251" t="n">
        <v>0.66</v>
      </c>
      <c r="K48" s="251" t="n">
        <v>0.700657894736842</v>
      </c>
      <c r="L48" s="251" t="n">
        <v>0.87</v>
      </c>
      <c r="M48" s="251" t="n">
        <v>0.877887788778878</v>
      </c>
      <c r="N48" s="251" t="n"/>
      <c r="O48" s="251" t="n"/>
      <c r="P48" s="251" t="n"/>
      <c r="Q48" s="251" t="n"/>
      <c r="R48" s="251" t="n"/>
      <c r="S48" s="251" t="n">
        <v>0.5526493833593886</v>
      </c>
    </row>
    <row r="49" hidden="1" s="340">
      <c r="A49" t="n">
        <v>52</v>
      </c>
      <c r="B49" t="inlineStr">
        <is>
          <t>SC3 – S10 - On hand at origin SVC (Actual)</t>
        </is>
      </c>
      <c r="C49" t="inlineStr">
        <is>
          <t>medium</t>
        </is>
      </c>
      <c r="D49" t="inlineStr">
        <is>
          <t>Timeliness (All)</t>
        </is>
      </c>
      <c r="G49" s="251" t="n">
        <v>0.651</v>
      </c>
      <c r="H49" s="251" t="n">
        <v>0.548</v>
      </c>
      <c r="I49" s="251" t="n">
        <v>0.58</v>
      </c>
      <c r="J49" s="251" t="n">
        <v>0.49</v>
      </c>
      <c r="K49" s="251" t="n">
        <v>0.5901639344262291</v>
      </c>
      <c r="L49" s="251" t="n">
        <v>0.4814814814814815</v>
      </c>
      <c r="M49" s="251" t="n">
        <v>0.535211267605634</v>
      </c>
      <c r="N49" s="251" t="n"/>
      <c r="O49" s="251" t="n"/>
      <c r="P49" s="251" t="n"/>
      <c r="Q49" s="251" t="n"/>
      <c r="R49" s="251" t="n"/>
      <c r="S49" s="251" t="n">
        <v>0.5536938119304778</v>
      </c>
    </row>
    <row r="50">
      <c r="A50" t="n">
        <v>35</v>
      </c>
      <c r="B50" t="inlineStr">
        <is>
          <t>SC4 – S45 - Handover to broker (Actual)</t>
        </is>
      </c>
      <c r="C50" t="inlineStr">
        <is>
          <t>high</t>
        </is>
      </c>
      <c r="D50" t="inlineStr">
        <is>
          <t>Completeness (Critical)</t>
        </is>
      </c>
      <c r="G50" s="251" t="n">
        <v>1</v>
      </c>
      <c r="H50" s="251" t="n">
        <v>1</v>
      </c>
      <c r="I50" s="251" t="n">
        <v>0.5600000000000001</v>
      </c>
      <c r="J50" s="251" t="n">
        <v>0.42</v>
      </c>
      <c r="K50" s="251" t="n">
        <v>0.477064220183486</v>
      </c>
      <c r="L50" s="251" t="n">
        <v>0.21</v>
      </c>
      <c r="M50" s="251" t="n">
        <v>0.290155440414508</v>
      </c>
      <c r="N50" s="251" t="n"/>
      <c r="O50" s="251" t="n"/>
      <c r="P50" s="251" t="n"/>
      <c r="Q50" s="251" t="n"/>
      <c r="R50" s="251" t="n"/>
      <c r="S50" s="251" t="n">
        <v>0.565317094371142</v>
      </c>
    </row>
    <row r="51">
      <c r="A51" t="n">
        <v>15</v>
      </c>
      <c r="B51" t="inlineStr">
        <is>
          <t>SC4 – S17 - Tendered carrier (Actual)</t>
        </is>
      </c>
      <c r="C51" t="inlineStr">
        <is>
          <t>medium</t>
        </is>
      </c>
      <c r="D51" t="inlineStr">
        <is>
          <t>Completeness (All)</t>
        </is>
      </c>
      <c r="G51" s="251" t="n">
        <v>0.7</v>
      </c>
      <c r="H51" s="251" t="n">
        <v>0.42</v>
      </c>
      <c r="I51" s="251" t="n">
        <v>0.42</v>
      </c>
      <c r="J51" s="251" t="n">
        <v>0.57</v>
      </c>
      <c r="K51" s="251" t="n">
        <v>0.594660194174757</v>
      </c>
      <c r="L51" s="251" t="n">
        <v>0.62</v>
      </c>
      <c r="M51" s="251" t="n">
        <v>0.689217758985201</v>
      </c>
      <c r="N51" s="251" t="n"/>
      <c r="O51" s="251" t="n"/>
      <c r="P51" s="251" t="n"/>
      <c r="Q51" s="251" t="n"/>
      <c r="R51" s="251" t="n"/>
      <c r="S51" s="251" t="n">
        <v>0.5734111361657083</v>
      </c>
    </row>
    <row r="52" hidden="1" s="340">
      <c r="A52" t="n">
        <v>14</v>
      </c>
      <c r="B52" t="inlineStr">
        <is>
          <t>SC4 – S16 - Shipment booked with carrier (Actual)</t>
        </is>
      </c>
      <c r="C52" t="inlineStr">
        <is>
          <t>medium</t>
        </is>
      </c>
      <c r="D52" t="inlineStr">
        <is>
          <t>Timeliness (All)</t>
        </is>
      </c>
      <c r="G52" s="251" t="n">
        <v>0.51</v>
      </c>
      <c r="H52" s="251" t="n">
        <v>0.47</v>
      </c>
      <c r="I52" s="251" t="n">
        <v>0.48</v>
      </c>
      <c r="J52" s="251" t="n">
        <v>0.61</v>
      </c>
      <c r="K52" s="251" t="n">
        <v>0.61100569259962</v>
      </c>
      <c r="L52" s="251" t="n">
        <v>0.67</v>
      </c>
      <c r="M52" s="251" t="n">
        <v>0.673144876325088</v>
      </c>
      <c r="N52" s="251" t="n"/>
      <c r="O52" s="251" t="n"/>
      <c r="P52" s="251" t="n"/>
      <c r="Q52" s="251" t="n"/>
      <c r="R52" s="251" t="n"/>
      <c r="S52" s="251" t="n">
        <v>0.5748786527035297</v>
      </c>
    </row>
    <row r="53" hidden="1" s="340">
      <c r="A53" t="n">
        <v>22</v>
      </c>
      <c r="B53" t="inlineStr">
        <is>
          <t>SC4 – S04 - Vessel/flight departed (Actual)</t>
        </is>
      </c>
      <c r="C53" t="inlineStr">
        <is>
          <t>high</t>
        </is>
      </c>
      <c r="D53" t="inlineStr">
        <is>
          <t>Timeliness (Critical)</t>
        </is>
      </c>
      <c r="G53" s="251" t="n">
        <v>0.83</v>
      </c>
      <c r="H53" s="251" t="n">
        <v>0.55</v>
      </c>
      <c r="I53" s="251" t="n">
        <v>0.52</v>
      </c>
      <c r="J53" s="251" t="n">
        <v>0.54</v>
      </c>
      <c r="K53" s="251" t="n">
        <v>0.49146110056926</v>
      </c>
      <c r="L53" s="251" t="n">
        <v>0.58</v>
      </c>
      <c r="M53" s="251" t="n">
        <v>0.634275618374558</v>
      </c>
      <c r="N53" s="251" t="n"/>
      <c r="O53" s="251" t="n"/>
      <c r="P53" s="251" t="n"/>
      <c r="Q53" s="251" t="n"/>
      <c r="R53" s="251" t="n"/>
      <c r="S53" s="251" t="n">
        <v>0.5922481027062598</v>
      </c>
    </row>
    <row r="54" hidden="1" s="340">
      <c r="A54" t="n">
        <v>82</v>
      </c>
      <c r="B54" t="inlineStr">
        <is>
          <t>SC3 – S55 - Empty Container returned (Actual)</t>
        </is>
      </c>
      <c r="C54" t="inlineStr">
        <is>
          <t>medium</t>
        </is>
      </c>
      <c r="D54" t="inlineStr">
        <is>
          <t>Timeliness (All)</t>
        </is>
      </c>
      <c r="G54" s="251" t="n">
        <v>0.25</v>
      </c>
      <c r="H54" s="251" t="n">
        <v>0.556</v>
      </c>
      <c r="I54" s="251" t="n">
        <v>0.52</v>
      </c>
      <c r="J54" s="251" t="n">
        <v>0.625</v>
      </c>
      <c r="K54" s="251" t="n">
        <v>0.7692307692307691</v>
      </c>
      <c r="L54" s="251" t="n">
        <v>0.7792207792207793</v>
      </c>
      <c r="M54" s="251" t="n">
        <v>0.675</v>
      </c>
      <c r="N54" s="251" t="n"/>
      <c r="O54" s="251" t="n"/>
      <c r="P54" s="251" t="n"/>
      <c r="Q54" s="251" t="n"/>
      <c r="R54" s="251" t="n"/>
      <c r="S54" s="251" t="n">
        <v>0.596350221207364</v>
      </c>
    </row>
    <row r="55">
      <c r="A55" t="n">
        <v>7</v>
      </c>
      <c r="B55" t="inlineStr">
        <is>
          <t>SC4 – S46 - Documents rcvd from shipper (Actual)</t>
        </is>
      </c>
      <c r="C55" t="inlineStr">
        <is>
          <t>medium</t>
        </is>
      </c>
      <c r="D55" t="inlineStr">
        <is>
          <t>Completeness (All)</t>
        </is>
      </c>
      <c r="G55" s="251" t="n">
        <v>0.61</v>
      </c>
      <c r="H55" s="251" t="n">
        <v>0.37</v>
      </c>
      <c r="I55" s="251" t="n">
        <v>0.41</v>
      </c>
      <c r="J55" s="251" t="n">
        <v>0.61</v>
      </c>
      <c r="K55" s="251" t="n">
        <v>0.67741935483871</v>
      </c>
      <c r="L55" s="251" t="n">
        <v>0.73</v>
      </c>
      <c r="M55" s="251" t="n">
        <v>0.821554770318021</v>
      </c>
      <c r="N55" s="251" t="n"/>
      <c r="O55" s="251" t="n"/>
      <c r="P55" s="251" t="n"/>
      <c r="Q55" s="251" t="n"/>
      <c r="R55" s="251" t="n"/>
      <c r="S55" s="251" t="n">
        <v>0.6041391607366758</v>
      </c>
    </row>
    <row r="56">
      <c r="A56" t="n">
        <v>31</v>
      </c>
      <c r="B56" t="inlineStr">
        <is>
          <t>SC4 – S12 - On hand at destination Hub/CC (Actual)</t>
        </is>
      </c>
      <c r="C56" t="inlineStr">
        <is>
          <t>medium</t>
        </is>
      </c>
      <c r="D56" t="inlineStr">
        <is>
          <t>Completeness (All)</t>
        </is>
      </c>
      <c r="G56" s="251" t="n">
        <v>0.28</v>
      </c>
      <c r="H56" s="251" t="n">
        <v>0.34</v>
      </c>
      <c r="I56" s="251" t="n">
        <v>0.49</v>
      </c>
      <c r="J56" s="251" t="n">
        <v>0.73</v>
      </c>
      <c r="K56" s="251" t="n">
        <v>0.697368421052632</v>
      </c>
      <c r="L56" s="251" t="n">
        <v>0.87</v>
      </c>
      <c r="M56" s="251" t="n">
        <v>0.844884488448845</v>
      </c>
      <c r="N56" s="251" t="n"/>
      <c r="O56" s="251" t="n"/>
      <c r="P56" s="251" t="n"/>
      <c r="Q56" s="251" t="n"/>
      <c r="R56" s="251" t="n"/>
      <c r="S56" s="251" t="n">
        <v>0.6074647013573539</v>
      </c>
    </row>
    <row r="57" hidden="1" s="340">
      <c r="A57" t="n">
        <v>54</v>
      </c>
      <c r="B57" t="inlineStr">
        <is>
          <t>SC3 – S50 - Received origin CFS (Actual)</t>
        </is>
      </c>
      <c r="C57" t="inlineStr">
        <is>
          <t>medium</t>
        </is>
      </c>
      <c r="D57" t="inlineStr">
        <is>
          <t>Timeliness (All)</t>
        </is>
      </c>
      <c r="G57" s="251" t="n">
        <v>0.701</v>
      </c>
      <c r="H57" s="251" t="n">
        <v>0.713</v>
      </c>
      <c r="I57" s="251" t="n">
        <v>0.672</v>
      </c>
      <c r="J57" s="251" t="n">
        <v>0.654</v>
      </c>
      <c r="K57" s="251" t="n">
        <v>0.707482993197279</v>
      </c>
      <c r="L57" s="251" t="n">
        <v>0.4933333333333333</v>
      </c>
      <c r="M57" s="251" t="n">
        <v>0.423076923076923</v>
      </c>
      <c r="N57" s="251" t="n"/>
      <c r="O57" s="251" t="n"/>
      <c r="P57" s="251" t="n"/>
      <c r="Q57" s="251" t="n"/>
      <c r="R57" s="251" t="n"/>
      <c r="S57" s="251" t="n">
        <v>0.623413321372505</v>
      </c>
    </row>
    <row r="58">
      <c r="A58" t="n">
        <v>81</v>
      </c>
      <c r="B58" t="inlineStr">
        <is>
          <t>SC3 – S55 - Empty Container returned (Actual)</t>
        </is>
      </c>
      <c r="C58" t="inlineStr">
        <is>
          <t>medium</t>
        </is>
      </c>
      <c r="D58" t="inlineStr">
        <is>
          <t>Completeness (All)</t>
        </is>
      </c>
      <c r="G58" s="251" t="n">
        <v>0.357</v>
      </c>
      <c r="H58" s="251" t="n">
        <v>0.667</v>
      </c>
      <c r="I58" s="251" t="n">
        <v>0.62</v>
      </c>
      <c r="J58" s="251" t="n">
        <v>0.656</v>
      </c>
      <c r="K58" s="251" t="n">
        <v>0.7692307692307691</v>
      </c>
      <c r="L58" s="251" t="n">
        <v>0.7922077922077922</v>
      </c>
      <c r="M58" s="251" t="n">
        <v>0.6875</v>
      </c>
      <c r="N58" s="251" t="n"/>
      <c r="O58" s="251" t="n"/>
      <c r="P58" s="251" t="n"/>
      <c r="Q58" s="251" t="n"/>
      <c r="R58" s="251" t="n"/>
      <c r="S58" s="251" t="n">
        <v>0.6498483659197944</v>
      </c>
    </row>
    <row r="59">
      <c r="A59" t="n">
        <v>11</v>
      </c>
      <c r="B59" t="inlineStr">
        <is>
          <t>SC4 – S11 - On hand at origin Hub/CC (Actual)</t>
        </is>
      </c>
      <c r="C59" t="inlineStr">
        <is>
          <t>medium</t>
        </is>
      </c>
      <c r="D59" t="inlineStr">
        <is>
          <t>Completeness (All)</t>
        </is>
      </c>
      <c r="G59" s="251" t="n">
        <v>0.68</v>
      </c>
      <c r="H59" s="251" t="n">
        <v>0.44</v>
      </c>
      <c r="I59" s="251" t="n">
        <v>0.46</v>
      </c>
      <c r="J59" s="251" t="n">
        <v>0.68</v>
      </c>
      <c r="K59" s="251" t="n">
        <v>0.70873786407767</v>
      </c>
      <c r="L59" s="251" t="n">
        <v>0.82</v>
      </c>
      <c r="M59" s="251" t="n">
        <v>0.887949260042283</v>
      </c>
      <c r="N59" s="251" t="n"/>
      <c r="O59" s="251" t="n"/>
      <c r="P59" s="251" t="n"/>
      <c r="Q59" s="251" t="n"/>
      <c r="R59" s="251" t="n"/>
      <c r="S59" s="251" t="n">
        <v>0.6680981605885646</v>
      </c>
    </row>
    <row r="60">
      <c r="A60" t="n">
        <v>79</v>
      </c>
      <c r="B60" t="inlineStr">
        <is>
          <t>SC3 – S31 - Delivered (Estimated)</t>
        </is>
      </c>
      <c r="C60" t="inlineStr">
        <is>
          <t>high</t>
        </is>
      </c>
      <c r="D60" t="inlineStr">
        <is>
          <t>Completeness (Critical)</t>
        </is>
      </c>
      <c r="G60" s="251" t="n">
        <v>0.722</v>
      </c>
      <c r="H60" s="251" t="n">
        <v>0.764</v>
      </c>
      <c r="I60" s="251" t="n">
        <v>0.694</v>
      </c>
      <c r="J60" s="251" t="n">
        <v>0.709</v>
      </c>
      <c r="K60" s="251" t="n">
        <v>0.670542635658915</v>
      </c>
      <c r="L60" s="251" t="n">
        <v>0.6474358974358975</v>
      </c>
      <c r="M60" s="251" t="n">
        <v>0.656565656565657</v>
      </c>
      <c r="N60" s="251" t="n"/>
      <c r="O60" s="251" t="n"/>
      <c r="P60" s="251" t="n"/>
      <c r="Q60" s="251" t="n"/>
      <c r="R60" s="251" t="n"/>
      <c r="S60" s="251" t="n">
        <v>0.6947920270943528</v>
      </c>
    </row>
    <row r="61" hidden="1" s="340">
      <c r="A61" t="n">
        <v>85</v>
      </c>
      <c r="B61" t="inlineStr">
        <is>
          <t>Milestones received by Bosch do not contain the CIV or DN reference</t>
        </is>
      </c>
      <c r="C61" t="inlineStr">
        <is>
          <t>high</t>
        </is>
      </c>
      <c r="D61" t="inlineStr">
        <is>
          <t>Reference Completeness (SC4)</t>
        </is>
      </c>
      <c r="G61" s="251" t="n">
        <v>0.714</v>
      </c>
      <c r="H61" s="251" t="n">
        <v>0.638</v>
      </c>
      <c r="I61" s="251" t="n">
        <v>0.72</v>
      </c>
      <c r="J61" s="251" t="n">
        <v>0.702</v>
      </c>
      <c r="K61" s="251" t="n">
        <v>0.679</v>
      </c>
      <c r="L61" s="251" t="n">
        <v>0.752</v>
      </c>
      <c r="M61" s="251" t="n">
        <v>0.777</v>
      </c>
      <c r="N61" s="251" t="n"/>
      <c r="O61" s="251" t="n"/>
      <c r="P61" s="251" t="n"/>
      <c r="Q61" s="251" t="n"/>
      <c r="R61" s="251" t="n"/>
      <c r="S61" s="251" t="n">
        <v>0.7117142857142857</v>
      </c>
    </row>
    <row r="62" hidden="1" s="340">
      <c r="A62" t="n">
        <v>40</v>
      </c>
      <c r="B62" t="inlineStr">
        <is>
          <t>SC4 – S31 - Delivered (Estimated)</t>
        </is>
      </c>
      <c r="C62" t="inlineStr">
        <is>
          <t>high</t>
        </is>
      </c>
      <c r="D62" t="inlineStr">
        <is>
          <t>Timeliness (Critical)</t>
        </is>
      </c>
      <c r="G62" s="251" t="n">
        <v>0.8</v>
      </c>
      <c r="H62" s="251" t="n">
        <v>0.82</v>
      </c>
      <c r="I62" s="251" t="n">
        <v>0.7</v>
      </c>
      <c r="J62" s="251" t="n">
        <v>0.67</v>
      </c>
      <c r="K62" s="251" t="n">
        <v>0.688995215311005</v>
      </c>
      <c r="L62" s="251" t="n">
        <v>0.67</v>
      </c>
      <c r="M62" s="251" t="n">
        <v>0.726541554959786</v>
      </c>
      <c r="N62" s="251" t="n"/>
      <c r="O62" s="251" t="n"/>
      <c r="P62" s="251" t="n"/>
      <c r="Q62" s="251" t="n"/>
      <c r="R62" s="251" t="n"/>
      <c r="S62" s="251" t="n">
        <v>0.7250766814672558</v>
      </c>
    </row>
    <row r="63" hidden="1" s="340">
      <c r="A63" t="n">
        <v>60</v>
      </c>
      <c r="B63" t="inlineStr">
        <is>
          <t>SC3 – S04 - Vessel/flight departed (Estimated)</t>
        </is>
      </c>
      <c r="C63" t="inlineStr">
        <is>
          <t>high</t>
        </is>
      </c>
      <c r="D63" t="inlineStr">
        <is>
          <t>Timeliness (Critical)</t>
        </is>
      </c>
      <c r="G63" s="251" t="n">
        <v>0.6879999999999999</v>
      </c>
      <c r="H63" s="251" t="n">
        <v>0.724</v>
      </c>
      <c r="I63" s="251" t="n">
        <v>0.706</v>
      </c>
      <c r="J63" s="251" t="n">
        <v>0.681</v>
      </c>
      <c r="K63" s="251" t="n">
        <v>0.812121212121212</v>
      </c>
      <c r="L63" s="251" t="n">
        <v>0.7076502732240437</v>
      </c>
      <c r="M63" s="251" t="n">
        <v>0.760932944606414</v>
      </c>
      <c r="N63" s="251" t="n"/>
      <c r="O63" s="251" t="n"/>
      <c r="P63" s="251" t="n"/>
      <c r="Q63" s="251" t="n"/>
      <c r="R63" s="251" t="n"/>
      <c r="S63" s="251" t="n">
        <v>0.7256720614216671</v>
      </c>
    </row>
    <row r="64">
      <c r="A64" t="n">
        <v>53</v>
      </c>
      <c r="B64" t="inlineStr">
        <is>
          <t>SC3 – S50 - Received origin CFS (Actual)</t>
        </is>
      </c>
      <c r="C64" t="inlineStr">
        <is>
          <t>medium</t>
        </is>
      </c>
      <c r="D64" t="inlineStr">
        <is>
          <t>Completeness (All)</t>
        </is>
      </c>
      <c r="G64" s="251" t="n">
        <v>0.785</v>
      </c>
      <c r="H64" s="251" t="n">
        <v>0.783</v>
      </c>
      <c r="I64" s="251" t="n">
        <v>0.776</v>
      </c>
      <c r="J64" s="251" t="n">
        <v>0.6929999999999999</v>
      </c>
      <c r="K64" s="251" t="n">
        <v>0.795918367346939</v>
      </c>
      <c r="L64" s="251" t="n">
        <v>0.64</v>
      </c>
      <c r="M64" s="251" t="n">
        <v>0.607692307692308</v>
      </c>
      <c r="N64" s="251" t="n"/>
      <c r="O64" s="251" t="n"/>
      <c r="P64" s="251" t="n"/>
      <c r="Q64" s="251" t="n"/>
      <c r="R64" s="251" t="n"/>
      <c r="S64" s="251" t="n">
        <v>0.7258015250056068</v>
      </c>
    </row>
    <row r="65">
      <c r="A65" t="n">
        <v>13</v>
      </c>
      <c r="B65" t="inlineStr">
        <is>
          <t>SC4 – S16 - Shipment booked with carrier (Actual)</t>
        </is>
      </c>
      <c r="C65" t="inlineStr">
        <is>
          <t>medium</t>
        </is>
      </c>
      <c r="D65" t="inlineStr">
        <is>
          <t>Completeness (All)</t>
        </is>
      </c>
      <c r="G65" s="251" t="n">
        <v>0.71</v>
      </c>
      <c r="H65" s="251" t="n">
        <v>0.61</v>
      </c>
      <c r="I65" s="251" t="n">
        <v>0.61</v>
      </c>
      <c r="J65" s="251" t="n">
        <v>0.75</v>
      </c>
      <c r="K65" s="251" t="n">
        <v>0.768500948766603</v>
      </c>
      <c r="L65" s="251" t="n">
        <v>0.79</v>
      </c>
      <c r="M65" s="251" t="n">
        <v>0.842756183745583</v>
      </c>
      <c r="N65" s="251" t="n"/>
      <c r="O65" s="251" t="n"/>
      <c r="P65" s="251" t="n"/>
      <c r="Q65" s="251" t="n"/>
      <c r="R65" s="251" t="n"/>
      <c r="S65" s="251" t="n">
        <v>0.7258938760731695</v>
      </c>
    </row>
    <row r="66">
      <c r="A66" t="n">
        <v>47</v>
      </c>
      <c r="B66" t="inlineStr">
        <is>
          <t>SC3 – S02 - Collected (Actual)</t>
        </is>
      </c>
      <c r="C66" t="inlineStr">
        <is>
          <t>high</t>
        </is>
      </c>
      <c r="D66" t="inlineStr">
        <is>
          <t>Completeness (Critical)</t>
        </is>
      </c>
      <c r="G66" s="251" t="n">
        <v>0.8129999999999999</v>
      </c>
      <c r="H66" s="251" t="n">
        <v>0.792</v>
      </c>
      <c r="I66" s="251" t="n">
        <v>0.73</v>
      </c>
      <c r="J66" s="251" t="n">
        <v>0.791</v>
      </c>
      <c r="K66" s="251" t="n">
        <v>0.756849315068493</v>
      </c>
      <c r="L66" s="251" t="n">
        <v>0.7861842105263158</v>
      </c>
      <c r="M66" s="251" t="n">
        <v>0.779503105590062</v>
      </c>
      <c r="N66" s="251" t="n"/>
      <c r="O66" s="251" t="n"/>
      <c r="P66" s="251" t="n"/>
      <c r="Q66" s="251" t="n"/>
      <c r="R66" s="251" t="n"/>
      <c r="S66" s="251" t="n">
        <v>0.7783623758835529</v>
      </c>
    </row>
    <row r="67">
      <c r="A67" t="n">
        <v>17</v>
      </c>
      <c r="B67" t="inlineStr">
        <is>
          <t>SC4 – S50 - Received origin CFS (Actual)</t>
        </is>
      </c>
      <c r="C67" t="inlineStr">
        <is>
          <t>medium</t>
        </is>
      </c>
      <c r="D67" t="inlineStr">
        <is>
          <t>Completeness (All)</t>
        </is>
      </c>
      <c r="G67" s="251" t="n">
        <v>0.9</v>
      </c>
      <c r="H67" s="251" t="n">
        <v>0.92</v>
      </c>
      <c r="I67" s="251" t="n">
        <v>0.77</v>
      </c>
      <c r="J67" s="251" t="n">
        <v>0.71</v>
      </c>
      <c r="K67" s="251" t="n">
        <v>0.789237668161435</v>
      </c>
      <c r="L67" s="251" t="n">
        <v>0.67</v>
      </c>
      <c r="M67" s="251" t="n">
        <v>0.8707224334600761</v>
      </c>
      <c r="N67" s="251" t="n"/>
      <c r="O67" s="251" t="n"/>
      <c r="P67" s="251" t="n"/>
      <c r="Q67" s="251" t="n"/>
      <c r="R67" s="251" t="n"/>
      <c r="S67" s="251" t="n">
        <v>0.8042800145173585</v>
      </c>
    </row>
    <row r="68">
      <c r="A68" t="n">
        <v>49</v>
      </c>
      <c r="B68" t="inlineStr">
        <is>
          <t>SC3 – S02 - Collected (Estimated)</t>
        </is>
      </c>
      <c r="C68" t="inlineStr">
        <is>
          <t>high</t>
        </is>
      </c>
      <c r="D68" t="inlineStr">
        <is>
          <t>Completeness (Critical)</t>
        </is>
      </c>
      <c r="G68" s="251" t="n">
        <v>0.8129999999999999</v>
      </c>
      <c r="H68" s="251" t="n">
        <v>0.8090000000000001</v>
      </c>
      <c r="I68" s="251" t="n">
        <v>0.777</v>
      </c>
      <c r="J68" s="251" t="n">
        <v>0.839</v>
      </c>
      <c r="K68" s="251" t="n">
        <v>0.82995951417004</v>
      </c>
      <c r="L68" s="251" t="n">
        <v>0.8488372093023255</v>
      </c>
      <c r="M68" s="251" t="n">
        <v>0.864341085271318</v>
      </c>
      <c r="N68" s="251" t="n"/>
      <c r="O68" s="251" t="n"/>
      <c r="P68" s="251" t="n"/>
      <c r="Q68" s="251" t="n"/>
      <c r="R68" s="251" t="n"/>
      <c r="S68" s="251" t="n">
        <v>0.8258768298205261</v>
      </c>
    </row>
    <row r="69">
      <c r="A69" t="n">
        <v>41</v>
      </c>
      <c r="B69" t="inlineStr">
        <is>
          <t>SC4 – S31 - Delivered (Actual)</t>
        </is>
      </c>
      <c r="C69" t="inlineStr">
        <is>
          <t>high</t>
        </is>
      </c>
      <c r="D69" t="inlineStr">
        <is>
          <t>Completeness (Critical)</t>
        </is>
      </c>
      <c r="G69" s="251" t="n">
        <v>1</v>
      </c>
      <c r="H69" s="251" t="n">
        <v>1</v>
      </c>
      <c r="I69" s="251" t="n">
        <v>0.76</v>
      </c>
      <c r="J69" s="251" t="n">
        <v>0.83</v>
      </c>
      <c r="K69" s="251" t="n">
        <v>0.839712918660287</v>
      </c>
      <c r="L69" s="251" t="n">
        <v>0.66</v>
      </c>
      <c r="M69" s="251" t="n">
        <v>0.715817694369973</v>
      </c>
      <c r="N69" s="251" t="n"/>
      <c r="O69" s="251" t="n"/>
      <c r="P69" s="251" t="n"/>
      <c r="Q69" s="251" t="n"/>
      <c r="R69" s="251" t="n"/>
      <c r="S69" s="251" t="n">
        <v>0.82936151614718</v>
      </c>
    </row>
    <row r="70" hidden="1" s="340">
      <c r="A70" t="n">
        <v>58</v>
      </c>
      <c r="B70" t="inlineStr">
        <is>
          <t>SC3 – S04 - Vessel/flight departed (Actual)</t>
        </is>
      </c>
      <c r="C70" t="inlineStr">
        <is>
          <t>high</t>
        </is>
      </c>
      <c r="D70" t="inlineStr">
        <is>
          <t>Timeliness (Critical)</t>
        </is>
      </c>
      <c r="G70" s="251" t="n">
        <v>0.858</v>
      </c>
      <c r="H70" s="251" t="n">
        <v>0.858</v>
      </c>
      <c r="I70" s="251" t="n">
        <v>0.8169999999999999</v>
      </c>
      <c r="J70" s="251" t="n">
        <v>0.781</v>
      </c>
      <c r="K70" s="251" t="n">
        <v>0.890909090909091</v>
      </c>
      <c r="L70" s="251" t="n">
        <v>0.8306010928961749</v>
      </c>
      <c r="M70" s="251" t="n">
        <v>0.807580174927114</v>
      </c>
      <c r="N70" s="251" t="n"/>
      <c r="O70" s="251" t="n"/>
      <c r="P70" s="251" t="n"/>
      <c r="Q70" s="251" t="n"/>
      <c r="R70" s="251" t="n"/>
      <c r="S70" s="251" t="n">
        <v>0.8347271941046257</v>
      </c>
    </row>
    <row r="71" hidden="1" s="340">
      <c r="A71" t="n">
        <v>64</v>
      </c>
      <c r="B71" t="inlineStr">
        <is>
          <t>SC3 – S07 - Vessel/flight arrived (Estimated)</t>
        </is>
      </c>
      <c r="C71" t="inlineStr">
        <is>
          <t>high</t>
        </is>
      </c>
      <c r="D71" t="inlineStr">
        <is>
          <t>Timeliness (Critical)</t>
        </is>
      </c>
      <c r="G71" s="251" t="n">
        <v>0.834</v>
      </c>
      <c r="H71" s="251" t="n">
        <v>0.864</v>
      </c>
      <c r="I71" s="251" t="n">
        <v>0.83</v>
      </c>
      <c r="J71" s="251" t="n">
        <v>0.826</v>
      </c>
      <c r="K71" s="251" t="n">
        <v>0.890909090909091</v>
      </c>
      <c r="L71" s="251" t="n">
        <v>0.8278688524590164</v>
      </c>
      <c r="M71" s="251" t="n">
        <v>0.7930029154518951</v>
      </c>
      <c r="N71" s="251" t="n"/>
      <c r="O71" s="251" t="n"/>
      <c r="P71" s="251" t="n"/>
      <c r="Q71" s="251" t="n"/>
      <c r="R71" s="251" t="n"/>
      <c r="S71" s="251" t="n">
        <v>0.8379686941171433</v>
      </c>
    </row>
    <row r="72">
      <c r="A72" t="n">
        <v>25</v>
      </c>
      <c r="B72" t="inlineStr">
        <is>
          <t>SC4 – S07 - Vessel/flight arrived (Actual)</t>
        </is>
      </c>
      <c r="C72" t="inlineStr">
        <is>
          <t>high</t>
        </is>
      </c>
      <c r="D72" t="inlineStr">
        <is>
          <t>Completeness (Critical)</t>
        </is>
      </c>
      <c r="G72" s="251" t="n">
        <v>0.83</v>
      </c>
      <c r="H72" s="251" t="n">
        <v>0.83</v>
      </c>
      <c r="I72" s="251" t="n">
        <v>0.8100000000000001</v>
      </c>
      <c r="J72" s="251" t="n">
        <v>0.84</v>
      </c>
      <c r="K72" s="251" t="n">
        <v>0.817836812144213</v>
      </c>
      <c r="L72" s="251" t="n">
        <v>0.88</v>
      </c>
      <c r="M72" s="251" t="n">
        <v>0.862190812720848</v>
      </c>
      <c r="N72" s="251" t="n"/>
      <c r="O72" s="251" t="n"/>
      <c r="P72" s="251" t="n"/>
      <c r="Q72" s="251" t="n"/>
      <c r="R72" s="251" t="n"/>
      <c r="S72" s="251" t="n">
        <v>0.8385753749807229</v>
      </c>
    </row>
    <row r="73">
      <c r="A73" t="n">
        <v>57</v>
      </c>
      <c r="B73" t="inlineStr">
        <is>
          <t>SC3 – S04 - Vessel/flight departed (Actual)</t>
        </is>
      </c>
      <c r="C73" t="inlineStr">
        <is>
          <t>high</t>
        </is>
      </c>
      <c r="D73" t="inlineStr">
        <is>
          <t>Completeness (Critical)</t>
        </is>
      </c>
      <c r="G73" s="251" t="n">
        <v>0.866</v>
      </c>
      <c r="H73" s="251" t="n">
        <v>0.864</v>
      </c>
      <c r="I73" s="251" t="n">
        <v>0.843</v>
      </c>
      <c r="J73" s="251" t="n">
        <v>0.801</v>
      </c>
      <c r="K73" s="251" t="n">
        <v>0.912121212121212</v>
      </c>
      <c r="L73" s="251" t="n">
        <v>0.8497267759562842</v>
      </c>
      <c r="M73" s="251" t="n">
        <v>0.825072886297376</v>
      </c>
      <c r="N73" s="251" t="n"/>
      <c r="O73" s="251" t="n"/>
      <c r="P73" s="251" t="n"/>
      <c r="Q73" s="251" t="n"/>
      <c r="R73" s="251" t="n"/>
      <c r="S73" s="251" t="n">
        <v>0.8515601249106961</v>
      </c>
    </row>
    <row r="74">
      <c r="A74" t="n">
        <v>3</v>
      </c>
      <c r="B74" t="inlineStr">
        <is>
          <t>SC4 – S02 - Collected (Estimated)</t>
        </is>
      </c>
      <c r="C74" t="inlineStr">
        <is>
          <t>high</t>
        </is>
      </c>
      <c r="D74" t="inlineStr">
        <is>
          <t>Completeness (Critical)</t>
        </is>
      </c>
      <c r="G74" s="251" t="n">
        <v>0.79</v>
      </c>
      <c r="H74" s="251" t="n">
        <v>0.83</v>
      </c>
      <c r="I74" s="251" t="n">
        <v>0.85</v>
      </c>
      <c r="J74" s="251" t="n">
        <v>0.87</v>
      </c>
      <c r="K74" s="251" t="n">
        <v>0.846733668341708</v>
      </c>
      <c r="L74" s="251" t="n">
        <v>0.9</v>
      </c>
      <c r="M74" s="251" t="n">
        <v>0.885650224215247</v>
      </c>
      <c r="N74" s="251" t="n"/>
      <c r="O74" s="251" t="n"/>
      <c r="P74" s="251" t="n"/>
      <c r="Q74" s="251" t="n"/>
      <c r="R74" s="251" t="n"/>
      <c r="S74" s="251" t="n">
        <v>0.853197698936708</v>
      </c>
    </row>
    <row r="75">
      <c r="A75" t="n">
        <v>59</v>
      </c>
      <c r="B75" t="inlineStr">
        <is>
          <t>SC3 – S04 - Vessel/flight departed (Estimated)</t>
        </is>
      </c>
      <c r="C75" t="inlineStr">
        <is>
          <t>high</t>
        </is>
      </c>
      <c r="D75" t="inlineStr">
        <is>
          <t>Completeness (Critical)</t>
        </is>
      </c>
      <c r="G75" s="251" t="n">
        <v>0.866</v>
      </c>
      <c r="H75" s="251" t="n">
        <v>0.895</v>
      </c>
      <c r="I75" s="251" t="n">
        <v>0.863</v>
      </c>
      <c r="J75" s="251" t="n">
        <v>0.846</v>
      </c>
      <c r="K75" s="251" t="n">
        <v>0.912121212121212</v>
      </c>
      <c r="L75" s="251" t="n">
        <v>0.8387978142076503</v>
      </c>
      <c r="M75" s="251" t="n">
        <v>0.839650145772595</v>
      </c>
      <c r="N75" s="251" t="n"/>
      <c r="O75" s="251" t="n"/>
      <c r="P75" s="251" t="n"/>
      <c r="Q75" s="251" t="n"/>
      <c r="R75" s="251" t="n"/>
      <c r="S75" s="251" t="n">
        <v>0.8657955960144939</v>
      </c>
    </row>
    <row r="76" hidden="1" s="340">
      <c r="A76" t="n">
        <v>62</v>
      </c>
      <c r="B76" t="inlineStr">
        <is>
          <t>SC3 – S07 - Vessel/flight arrived (Actual)</t>
        </is>
      </c>
      <c r="C76" t="inlineStr">
        <is>
          <t>high</t>
        </is>
      </c>
      <c r="D76" t="inlineStr">
        <is>
          <t>Timeliness (Critical)</t>
        </is>
      </c>
      <c r="G76" s="251" t="n">
        <v>0.885</v>
      </c>
      <c r="H76" s="251" t="n">
        <v>0.889</v>
      </c>
      <c r="I76" s="251" t="n">
        <v>0.85</v>
      </c>
      <c r="J76" s="251" t="n">
        <v>0.849</v>
      </c>
      <c r="K76" s="251" t="n">
        <v>0.93030303030303</v>
      </c>
      <c r="L76" s="251" t="n">
        <v>0.8633879781420765</v>
      </c>
      <c r="M76" s="251" t="n">
        <v>0.877551020408163</v>
      </c>
      <c r="N76" s="251" t="n"/>
      <c r="O76" s="251" t="n"/>
      <c r="P76" s="251" t="n"/>
      <c r="Q76" s="251" t="n"/>
      <c r="R76" s="251" t="n"/>
      <c r="S76" s="251" t="n">
        <v>0.8777488612647526</v>
      </c>
    </row>
    <row r="77">
      <c r="A77" t="n">
        <v>9</v>
      </c>
      <c r="B77" t="inlineStr">
        <is>
          <t>SC4 – S10 - On hand at origin SVC (Actual)</t>
        </is>
      </c>
      <c r="C77" t="inlineStr">
        <is>
          <t>medium</t>
        </is>
      </c>
      <c r="D77" t="inlineStr">
        <is>
          <t>Completeness (All)</t>
        </is>
      </c>
      <c r="G77" s="251" t="n">
        <v>0.96</v>
      </c>
      <c r="H77" s="251" t="n">
        <v>0.91</v>
      </c>
      <c r="I77" s="251" t="n">
        <v>0.83</v>
      </c>
      <c r="J77" s="251" t="n">
        <v>0.88</v>
      </c>
      <c r="K77" s="251" t="n">
        <v>0.813106796116505</v>
      </c>
      <c r="L77" s="251" t="n">
        <v>0.9</v>
      </c>
      <c r="M77" s="251" t="n">
        <v>0.915433403805497</v>
      </c>
      <c r="N77" s="251" t="n"/>
      <c r="O77" s="251" t="n"/>
      <c r="P77" s="251" t="n"/>
      <c r="Q77" s="251" t="n"/>
      <c r="R77" s="251" t="n"/>
      <c r="S77" s="251" t="n">
        <v>0.8869343142745718</v>
      </c>
    </row>
    <row r="78">
      <c r="A78" t="n">
        <v>61</v>
      </c>
      <c r="B78" t="inlineStr">
        <is>
          <t>SC3 – S07 - Vessel/flight arrived (Actual)</t>
        </is>
      </c>
      <c r="C78" t="inlineStr">
        <is>
          <t>high</t>
        </is>
      </c>
      <c r="D78" t="inlineStr">
        <is>
          <t>Completeness (Critical)</t>
        </is>
      </c>
      <c r="G78" s="251" t="n">
        <v>0.905</v>
      </c>
      <c r="H78" s="251" t="n">
        <v>0.901</v>
      </c>
      <c r="I78" s="251" t="n">
        <v>0.863</v>
      </c>
      <c r="J78" s="251" t="n">
        <v>0.86</v>
      </c>
      <c r="K78" s="251" t="n">
        <v>0.933333333333333</v>
      </c>
      <c r="L78" s="251" t="n">
        <v>0.8743169398907104</v>
      </c>
      <c r="M78" s="251" t="n">
        <v>0.883381924198251</v>
      </c>
      <c r="N78" s="251" t="n"/>
      <c r="O78" s="251" t="n"/>
      <c r="P78" s="251" t="n"/>
      <c r="Q78" s="251" t="n"/>
      <c r="R78" s="251" t="n"/>
      <c r="S78" s="251" t="n">
        <v>0.8885760282031849</v>
      </c>
    </row>
    <row r="79">
      <c r="A79" t="n">
        <v>63</v>
      </c>
      <c r="B79" t="inlineStr">
        <is>
          <t>SC3 – S07 - Vessel/flight arrived (Estimated)</t>
        </is>
      </c>
      <c r="C79" t="inlineStr">
        <is>
          <t>high</t>
        </is>
      </c>
      <c r="D79" t="inlineStr">
        <is>
          <t>Completeness (Critical)</t>
        </is>
      </c>
      <c r="G79" s="251" t="n">
        <v>0.881</v>
      </c>
      <c r="H79" s="251" t="n">
        <v>0.913</v>
      </c>
      <c r="I79" s="251" t="n">
        <v>0.879</v>
      </c>
      <c r="J79" s="251" t="n">
        <v>0.866</v>
      </c>
      <c r="K79" s="251" t="n">
        <v>0.936363636363636</v>
      </c>
      <c r="L79" s="251" t="n">
        <v>0.8879781420765027</v>
      </c>
      <c r="M79" s="251" t="n">
        <v>0.883381924198251</v>
      </c>
      <c r="N79" s="251" t="n"/>
      <c r="O79" s="251" t="n"/>
      <c r="P79" s="251" t="n"/>
      <c r="Q79" s="251" t="n"/>
      <c r="R79" s="251" t="n"/>
      <c r="S79" s="251" t="n">
        <v>0.8923891003769129</v>
      </c>
    </row>
    <row r="80">
      <c r="A80" t="n">
        <v>21</v>
      </c>
      <c r="B80" t="inlineStr">
        <is>
          <t>SC4 – S04 - Vessel/flight departed (Actual)</t>
        </is>
      </c>
      <c r="C80" t="inlineStr">
        <is>
          <t>high</t>
        </is>
      </c>
      <c r="D80" t="inlineStr">
        <is>
          <t>Completeness (Critical)</t>
        </is>
      </c>
      <c r="G80" s="251" t="n">
        <v>0.96</v>
      </c>
      <c r="H80" s="251" t="n">
        <v>0.93</v>
      </c>
      <c r="I80" s="251" t="n">
        <v>0.83</v>
      </c>
      <c r="J80" s="251" t="n">
        <v>0.88</v>
      </c>
      <c r="K80" s="251" t="n">
        <v>0.893738140417457</v>
      </c>
      <c r="L80" s="251" t="n">
        <v>0.88</v>
      </c>
      <c r="M80" s="251" t="n">
        <v>0.92756183745583</v>
      </c>
      <c r="N80" s="251" t="n"/>
      <c r="O80" s="251" t="n"/>
      <c r="P80" s="251" t="n"/>
      <c r="Q80" s="251" t="n"/>
      <c r="R80" s="251" t="n"/>
      <c r="S80" s="251" t="n">
        <v>0.9001857111247552</v>
      </c>
    </row>
    <row r="81">
      <c r="A81" t="n">
        <v>5</v>
      </c>
      <c r="B81" t="inlineStr">
        <is>
          <t>SC4 – S02 - Collected (Actual)</t>
        </is>
      </c>
      <c r="C81" t="inlineStr">
        <is>
          <t>high</t>
        </is>
      </c>
      <c r="D81" t="inlineStr">
        <is>
          <t>Completeness (Critical)</t>
        </is>
      </c>
      <c r="G81" s="251" t="n">
        <v>0.92</v>
      </c>
      <c r="H81" s="251" t="n">
        <v>0.95</v>
      </c>
      <c r="I81" s="251" t="n">
        <v>0.88</v>
      </c>
      <c r="J81" s="251" t="n">
        <v>0.9</v>
      </c>
      <c r="K81" s="251" t="n">
        <v>0.889447236180904</v>
      </c>
      <c r="L81" s="251" t="n">
        <v>0.9</v>
      </c>
      <c r="M81" s="251" t="n">
        <v>0.9080717488789239</v>
      </c>
      <c r="N81" s="251" t="n"/>
      <c r="O81" s="251" t="n"/>
      <c r="P81" s="251" t="n"/>
      <c r="Q81" s="251" t="n"/>
      <c r="R81" s="251" t="n"/>
      <c r="S81" s="251" t="n">
        <v>0.9067884264371183</v>
      </c>
    </row>
    <row r="82">
      <c r="A82" t="n">
        <v>51</v>
      </c>
      <c r="B82" t="inlineStr">
        <is>
          <t>SC3 – S10 - On hand at origin SVC (Actual)</t>
        </is>
      </c>
      <c r="C82" t="inlineStr">
        <is>
          <t>medium</t>
        </is>
      </c>
      <c r="D82" t="inlineStr">
        <is>
          <t>Completeness (All)</t>
        </is>
      </c>
      <c r="G82" s="251" t="n">
        <v>0.945</v>
      </c>
      <c r="H82" s="251" t="n">
        <v>0.9330000000000001</v>
      </c>
      <c r="I82" s="251" t="n">
        <v>0.895</v>
      </c>
      <c r="J82" s="251" t="n">
        <v>0.889</v>
      </c>
      <c r="K82" s="251" t="n">
        <v>0.934426229508197</v>
      </c>
      <c r="L82" s="251" t="n">
        <v>0.9027777777777778</v>
      </c>
      <c r="M82" s="251" t="n">
        <v>0.901408450704225</v>
      </c>
      <c r="N82" s="251" t="n"/>
      <c r="O82" s="251" t="n"/>
      <c r="P82" s="251" t="n"/>
      <c r="Q82" s="251" t="n"/>
      <c r="R82" s="251" t="n"/>
      <c r="S82" s="251" t="n">
        <v>0.9143732082843142</v>
      </c>
    </row>
    <row r="83" hidden="1" s="340">
      <c r="A83" t="n">
        <v>44</v>
      </c>
      <c r="B83" t="inlineStr">
        <is>
          <t>SC3 – S60 - Pre-Booking confirmed (Actual)</t>
        </is>
      </c>
      <c r="C83" t="inlineStr">
        <is>
          <t>medium</t>
        </is>
      </c>
      <c r="D83" t="inlineStr">
        <is>
          <t>Timeliness (All)</t>
        </is>
      </c>
      <c r="G83" s="251" t="n">
        <v>0.931</v>
      </c>
      <c r="H83" s="251" t="n">
        <v>0.917</v>
      </c>
      <c r="I83" s="251" t="n">
        <v>0.922</v>
      </c>
      <c r="J83" s="251" t="n">
        <v>0.9389999999999999</v>
      </c>
      <c r="K83" s="251" t="n">
        <v>0.923076923076923</v>
      </c>
      <c r="L83" s="251" t="n">
        <v>0.9210526315789473</v>
      </c>
      <c r="M83" s="251" t="n">
        <v>0.905405405405405</v>
      </c>
      <c r="N83" s="251" t="n"/>
      <c r="O83" s="251" t="n"/>
      <c r="P83" s="251" t="n"/>
      <c r="Q83" s="251" t="n"/>
      <c r="R83" s="251" t="n"/>
      <c r="S83" s="251" t="n">
        <v>0.922647851437325</v>
      </c>
    </row>
    <row r="84">
      <c r="A84" t="n">
        <v>43</v>
      </c>
      <c r="B84" t="inlineStr">
        <is>
          <t>SC3 – S60 - Pre-Booking confirmed (Actual)</t>
        </is>
      </c>
      <c r="C84" t="inlineStr">
        <is>
          <t>medium</t>
        </is>
      </c>
      <c r="D84" t="inlineStr">
        <is>
          <t>Completeness (All)</t>
        </is>
      </c>
      <c r="G84" s="251" t="n">
        <v>0.931</v>
      </c>
      <c r="H84" s="251" t="n">
        <v>0.917</v>
      </c>
      <c r="I84" s="251" t="n">
        <v>0.922</v>
      </c>
      <c r="J84" s="251" t="n">
        <v>0.955</v>
      </c>
      <c r="K84" s="251" t="n">
        <v>0.923076923076923</v>
      </c>
      <c r="L84" s="251" t="n">
        <v>0.9210526315789473</v>
      </c>
      <c r="M84" s="251" t="n">
        <v>0.932432432432432</v>
      </c>
      <c r="N84" s="251" t="n"/>
      <c r="O84" s="251" t="n"/>
      <c r="P84" s="251" t="n"/>
      <c r="Q84" s="251" t="n"/>
      <c r="R84" s="251" t="n"/>
      <c r="S84" s="251" t="n">
        <v>0.9287945695840431</v>
      </c>
    </row>
    <row r="85">
      <c r="A85" t="n">
        <v>23</v>
      </c>
      <c r="B85" t="inlineStr">
        <is>
          <t>SC4 – S07 - Vessel/flight arrived (Estimated)</t>
        </is>
      </c>
      <c r="C85" t="inlineStr">
        <is>
          <t>high</t>
        </is>
      </c>
      <c r="D85" t="inlineStr">
        <is>
          <t>Completeness (Critical)</t>
        </is>
      </c>
      <c r="G85" s="251" t="n">
        <v>1</v>
      </c>
      <c r="H85" s="251" t="n">
        <v>0.96</v>
      </c>
      <c r="I85" s="251" t="n">
        <v>0.93</v>
      </c>
      <c r="J85" s="251" t="n">
        <v>0.9399999999999999</v>
      </c>
      <c r="K85" s="251" t="n">
        <v>0.927893738140417</v>
      </c>
      <c r="L85" s="251" t="n">
        <v>0.96</v>
      </c>
      <c r="M85" s="251" t="n">
        <v>0.975265017667845</v>
      </c>
      <c r="N85" s="251" t="n"/>
      <c r="O85" s="251" t="n"/>
      <c r="P85" s="251" t="n"/>
      <c r="Q85" s="251" t="n"/>
      <c r="R85" s="251" t="n"/>
      <c r="S85" s="251" t="n">
        <v>0.9561655365440375</v>
      </c>
    </row>
    <row r="86">
      <c r="A86" t="n">
        <v>39</v>
      </c>
      <c r="B86" t="inlineStr">
        <is>
          <t>SC4 – S31 - Delivered (Estimated)</t>
        </is>
      </c>
      <c r="C86" t="inlineStr">
        <is>
          <t>high</t>
        </is>
      </c>
      <c r="D86" t="inlineStr">
        <is>
          <t>Completeness (Critical)</t>
        </is>
      </c>
      <c r="G86" s="251" t="n">
        <v>0.96</v>
      </c>
      <c r="H86" s="251" t="n">
        <v>0.99</v>
      </c>
      <c r="I86" s="251" t="n">
        <v>0.97</v>
      </c>
      <c r="J86" s="251" t="n">
        <v>0.98</v>
      </c>
      <c r="K86" s="251" t="n">
        <v>0.956937799043062</v>
      </c>
      <c r="L86" s="251" t="n">
        <v>0.9399999999999999</v>
      </c>
      <c r="M86" s="251" t="n">
        <v>0.951742627345844</v>
      </c>
      <c r="N86" s="251" t="n"/>
      <c r="O86" s="251" t="n"/>
      <c r="P86" s="251" t="n"/>
      <c r="Q86" s="251" t="n"/>
      <c r="R86" s="251" t="n"/>
      <c r="S86" s="251" t="n">
        <v>0.9640972037698438</v>
      </c>
    </row>
    <row r="87">
      <c r="A87" t="n">
        <v>19</v>
      </c>
      <c r="B87" t="inlineStr">
        <is>
          <t>SC4 – S04 - Vessel/flight departed (Estimated)</t>
        </is>
      </c>
      <c r="C87" t="inlineStr">
        <is>
          <t>high</t>
        </is>
      </c>
      <c r="D87" t="inlineStr">
        <is>
          <t>Completeness (Critical)</t>
        </is>
      </c>
      <c r="G87" s="251" t="n">
        <v>0.99</v>
      </c>
      <c r="H87" s="251" t="n">
        <v>0.99</v>
      </c>
      <c r="I87" s="251" t="n">
        <v>0.96</v>
      </c>
      <c r="J87" s="251" t="n">
        <v>0.97</v>
      </c>
      <c r="K87" s="251" t="n">
        <v>0.956356736242884</v>
      </c>
      <c r="L87" s="251" t="n">
        <v>0.97</v>
      </c>
      <c r="M87" s="251" t="n">
        <v>0.957597173144876</v>
      </c>
      <c r="N87" s="251" t="n"/>
      <c r="O87" s="251" t="n"/>
      <c r="P87" s="251" t="n"/>
      <c r="Q87" s="251" t="n"/>
      <c r="R87" s="251" t="n"/>
      <c r="S87" s="251" t="n">
        <v>0.9705648441982514</v>
      </c>
    </row>
    <row r="88" hidden="1" s="340">
      <c r="A88" t="n">
        <v>86</v>
      </c>
      <c r="B88" t="inlineStr">
        <is>
          <t>Milestone containing CIV or DN reference do not have the correct data</t>
        </is>
      </c>
      <c r="C88" t="inlineStr">
        <is>
          <t>medium</t>
        </is>
      </c>
      <c r="D88" t="inlineStr">
        <is>
          <t>Reference Quality (SC4)</t>
        </is>
      </c>
      <c r="G88" s="251" t="n"/>
      <c r="H88" s="251" t="n"/>
      <c r="I88" s="251" t="n"/>
      <c r="J88" s="251" t="n"/>
      <c r="K88" s="251" t="n"/>
      <c r="L88" s="251" t="n"/>
      <c r="M88" s="251" t="n"/>
      <c r="N88" s="251" t="n"/>
      <c r="O88" s="251" t="n"/>
      <c r="P88" s="251" t="n"/>
      <c r="Q88" s="251" t="n"/>
      <c r="R88" s="251" t="n"/>
      <c r="S88" s="251" t="e">
        <v>#DIV/0!</v>
      </c>
    </row>
  </sheetData>
  <autoFilter ref="A1:S88">
    <filterColumn colId="3" hiddenButton="0" showButton="1">
      <filters>
        <filter val="Completeness (All)"/>
        <filter val="Completeness (Critical)"/>
      </filters>
    </filterColumn>
    <sortState ref="A5:S87">
      <sortCondition ref="S1:S88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Y36"/>
  <sheetViews>
    <sheetView topLeftCell="C3" workbookViewId="0">
      <pane xSplit="3" ySplit="12" topLeftCell="J15" activePane="bottomRight" state="frozen"/>
      <selection activeCell="C3" sqref="C3"/>
      <selection pane="topRight" activeCell="F3" sqref="F3"/>
      <selection pane="bottomLeft" activeCell="C15" sqref="C15"/>
      <selection pane="bottomRight" activeCell="E19" sqref="E19"/>
    </sheetView>
  </sheetViews>
  <sheetFormatPr baseColWidth="10" defaultColWidth="8" defaultRowHeight="15"/>
  <cols>
    <col width="8" customWidth="1" style="256" min="1" max="2"/>
    <col width="12.6640625" customWidth="1" style="256" min="3" max="4"/>
    <col width="32.6640625" customWidth="1" style="256" min="5" max="13"/>
    <col width="12.6640625" customWidth="1" style="256" min="14" max="15"/>
    <col width="8" customWidth="1" style="256" min="16" max="18"/>
    <col width="8.1640625" bestFit="1" customWidth="1" style="256" min="19" max="19"/>
    <col width="8" customWidth="1" style="256" min="20" max="16384"/>
  </cols>
  <sheetData>
    <row r="1" ht="18" customHeight="1" s="340">
      <c r="B1" s="255" t="inlineStr">
        <is>
          <t>Please find further information behind cell comments.</t>
        </is>
      </c>
    </row>
    <row r="3">
      <c r="C3" s="404" t="inlineStr">
        <is>
          <t>5 Why Form</t>
        </is>
      </c>
    </row>
    <row r="4"/>
    <row r="5"/>
    <row r="6" ht="23" customHeight="1" s="340">
      <c r="C6" s="257" t="n"/>
      <c r="D6" s="257" t="n"/>
      <c r="E6" s="257" t="n"/>
      <c r="F6" s="258" t="n"/>
      <c r="G6" s="258" t="n"/>
      <c r="H6" s="258" t="n"/>
      <c r="I6" s="258" t="n"/>
      <c r="J6" s="258" t="n"/>
      <c r="K6" s="258" t="n"/>
      <c r="L6" s="258" t="n"/>
      <c r="M6" s="258" t="n"/>
      <c r="N6" s="259" t="n"/>
      <c r="O6" s="259" t="n"/>
    </row>
    <row r="7" ht="16" customFormat="1" customHeight="1" s="260">
      <c r="C7" s="408" t="inlineStr">
        <is>
          <t>8D Title</t>
        </is>
      </c>
      <c r="D7" s="443" t="n"/>
      <c r="E7" s="408" t="n"/>
      <c r="F7" s="444" t="n"/>
      <c r="G7" s="444" t="n"/>
      <c r="H7" s="443" t="n"/>
      <c r="I7" s="262" t="n"/>
      <c r="J7" s="405" t="inlineStr">
        <is>
          <t>Complaint No.</t>
        </is>
      </c>
      <c r="K7" s="408" t="n"/>
      <c r="L7" s="443" t="n"/>
      <c r="M7" s="263" t="n"/>
      <c r="N7" s="403" t="n"/>
      <c r="O7" s="445" t="n"/>
    </row>
    <row r="8" ht="16" customFormat="1" customHeight="1" s="264">
      <c r="C8" s="403" t="n"/>
      <c r="D8" s="445" t="n"/>
      <c r="E8" s="445" t="n"/>
      <c r="F8" s="445" t="n"/>
      <c r="G8" s="403" t="n"/>
      <c r="H8" s="445" t="n"/>
      <c r="I8" s="445" t="n"/>
      <c r="J8" s="403" t="n"/>
      <c r="K8" s="445" t="n"/>
      <c r="L8" s="445" t="n"/>
      <c r="M8" s="445" t="n"/>
      <c r="N8" s="445" t="n"/>
      <c r="O8" s="445" t="n"/>
    </row>
    <row r="9" ht="16" customFormat="1" customHeight="1" s="260">
      <c r="C9" s="408" t="inlineStr">
        <is>
          <t>Bosch Part</t>
        </is>
      </c>
      <c r="D9" s="443" t="n"/>
      <c r="E9" s="408" t="n"/>
      <c r="F9" s="444" t="n"/>
      <c r="G9" s="444" t="n"/>
      <c r="H9" s="443" t="n"/>
      <c r="I9" s="265" t="n"/>
      <c r="J9" s="405" t="inlineStr">
        <is>
          <t>Date</t>
        </is>
      </c>
      <c r="K9" s="409" t="n"/>
      <c r="L9" s="443" t="n"/>
      <c r="M9" s="263" t="n"/>
      <c r="N9" s="403" t="n"/>
      <c r="O9" s="445" t="n"/>
    </row>
    <row r="10" ht="16" customFormat="1" customHeight="1" s="264">
      <c r="C10" s="403" t="n"/>
      <c r="D10" s="445" t="n"/>
      <c r="E10" s="445" t="n"/>
      <c r="F10" s="445" t="n"/>
      <c r="G10" s="403" t="n"/>
      <c r="H10" s="445" t="n"/>
      <c r="I10" s="445" t="n"/>
      <c r="J10" s="403" t="n"/>
      <c r="K10" s="445" t="n"/>
      <c r="L10" s="445" t="n"/>
      <c r="M10" s="445" t="n"/>
      <c r="N10" s="445" t="n"/>
      <c r="O10" s="445" t="n"/>
    </row>
    <row r="11" ht="16" customFormat="1" customHeight="1" s="260">
      <c r="C11" s="403" t="n"/>
      <c r="D11" s="445" t="n"/>
      <c r="E11" s="403" t="n"/>
      <c r="F11" s="445" t="n"/>
      <c r="G11" s="445" t="n"/>
      <c r="H11" s="445" t="n"/>
      <c r="I11" s="265" t="n"/>
      <c r="J11" s="405" t="inlineStr">
        <is>
          <t>Version</t>
        </is>
      </c>
      <c r="K11" s="409" t="n"/>
      <c r="L11" s="443" t="n"/>
      <c r="M11" s="263" t="n"/>
      <c r="N11" s="403" t="n"/>
      <c r="O11" s="445" t="n"/>
    </row>
    <row r="12" ht="16" customFormat="1" customHeight="1" s="266">
      <c r="C12" s="267" t="n"/>
      <c r="D12" s="267" t="n"/>
      <c r="E12" s="267" t="n"/>
      <c r="F12" s="268" t="n"/>
      <c r="G12" s="268" t="n"/>
      <c r="H12" s="268" t="n"/>
      <c r="I12" s="268" t="n"/>
      <c r="M12" s="269" t="n"/>
      <c r="N12" s="267" t="n"/>
      <c r="O12" s="267" t="n"/>
    </row>
    <row r="13" ht="18" customHeight="1" s="340">
      <c r="C13" s="270" t="n"/>
      <c r="D13" s="270" t="n"/>
      <c r="E13" s="270" t="n"/>
      <c r="F13" s="270" t="n"/>
      <c r="G13" s="270" t="n"/>
      <c r="H13" s="270" t="n"/>
      <c r="I13" s="270" t="n"/>
      <c r="J13" s="270" t="n"/>
      <c r="K13" s="270" t="n"/>
      <c r="L13" s="270" t="n"/>
      <c r="M13" s="270" t="n"/>
      <c r="N13" s="270" t="n"/>
      <c r="O13" s="270" t="n"/>
    </row>
    <row r="14" ht="57" customHeight="1" s="340">
      <c r="B14" s="294" t="n"/>
      <c r="C14" s="410" t="n"/>
      <c r="D14" s="429" t="n"/>
      <c r="E14" s="295" t="inlineStr">
        <is>
          <t>The problem with which the 5Why question chain is started</t>
        </is>
      </c>
      <c r="F14" s="296" t="inlineStr">
        <is>
          <t>1st Why?</t>
        </is>
      </c>
      <c r="G14" s="296" t="inlineStr">
        <is>
          <t>2nd Why?</t>
        </is>
      </c>
      <c r="H14" s="296" t="inlineStr">
        <is>
          <t>3rd Why?</t>
        </is>
      </c>
      <c r="I14" s="296" t="inlineStr">
        <is>
          <t>4th Why?</t>
        </is>
      </c>
      <c r="J14" s="296" t="inlineStr">
        <is>
          <t>5th Why?</t>
        </is>
      </c>
      <c r="K14" s="296" t="inlineStr">
        <is>
          <t>….</t>
        </is>
      </c>
      <c r="L14" s="296" t="inlineStr">
        <is>
          <t>…</t>
        </is>
      </c>
      <c r="M14" s="297" t="inlineStr">
        <is>
          <t>Root Causes 
(TRC, MRC)</t>
        </is>
      </c>
      <c r="N14" s="411" t="inlineStr">
        <is>
          <t>Measures (R, D)</t>
        </is>
      </c>
      <c r="O14" s="429" t="n"/>
    </row>
    <row r="15" ht="150" customHeight="1" s="340">
      <c r="B15" s="414" t="inlineStr">
        <is>
          <t>1) Why did it happen?
(Why did the manufacturing process not prevent the incident? )</t>
        </is>
      </c>
      <c r="C15" s="430" t="n"/>
      <c r="D15" s="431" t="n"/>
      <c r="E15" s="302" t="inlineStr">
        <is>
          <t>Milestones are not being sent to Bosch</t>
        </is>
      </c>
      <c r="F15" s="271" t="inlineStr">
        <is>
          <t>Q:why are not being sent?
A:Because are blocked in the system sending the EDI message</t>
        </is>
      </c>
      <c r="G15" s="271" t="inlineStr">
        <is>
          <t>Q:why are they blocked?
A:because messages do not have all info needed to be sent</t>
        </is>
      </c>
      <c r="H15" s="271" t="inlineStr">
        <is>
          <t>Q:why do not have all info?
A:because they are not being inserted in the TMS</t>
        </is>
      </c>
      <c r="I15" s="271" t="inlineStr">
        <is>
          <t>Q:why are they not being inserted?
A:because the operating system allows to leave some fields blank</t>
        </is>
      </c>
      <c r="J15" s="271" t="inlineStr">
        <is>
          <t>Q:why is it possible?
A:because the system is not configured to make them compulsory to trigger the milestones</t>
        </is>
      </c>
      <c r="K15" s="271" t="n"/>
      <c r="L15" s="271" t="n"/>
      <c r="M15" s="412" t="inlineStr">
        <is>
          <t>TRC: EDI milestone trigger lacks validation for mandatory fields; configuration permits blank critical fields.
MRC: EDI requirements/configuration governance is missing (no owner / review gate).</t>
        </is>
      </c>
      <c r="N15" s="412" t="inlineStr">
        <is>
          <t>R: EDI/IT Lead + Operations Process Owner
D: 2026-03-31
Action: Configure mandatory fields &amp; validation rules for milestone triggers; run regression test; deploy to production; communicate update to users.</t>
        </is>
      </c>
      <c r="O15" s="429" t="n"/>
    </row>
    <row r="16" ht="158" customHeight="1" s="340">
      <c r="B16" s="446" t="n"/>
      <c r="D16" s="447" t="n"/>
      <c r="E16" s="198" t="inlineStr">
        <is>
          <t>Milestones are not being sent to Bosch on time</t>
        </is>
      </c>
      <c r="F16" s="271" t="inlineStr">
        <is>
          <t>Q:why are not being sent on time?
A:because the milestones are not all milestones triggered automatically by the system requiring manual timely inputs</t>
        </is>
      </c>
      <c r="G16" s="271" t="inlineStr">
        <is>
          <t>Q:why are they not auto triggered for all?
A:because there is a mix of manual bookings and automated bookings</t>
        </is>
      </c>
      <c r="H16" s="271" t="inlineStr">
        <is>
          <t>Q:why are there manual bookings?
A:manual bookings are expected however the % of manual bookings were higher than planned.</t>
        </is>
      </c>
      <c r="I16" s="271" t="inlineStr">
        <is>
          <t>Q:why are manual bookings higher than planned?
A:the planned forecast during implementation was close to 80% and reality was lower.</t>
        </is>
      </c>
      <c r="J16" s="271" t="n"/>
      <c r="K16" s="299" t="n"/>
      <c r="L16" s="299" t="n"/>
      <c r="M16" s="419" t="n"/>
      <c r="N16" s="419" t="n"/>
      <c r="O16" s="429" t="n"/>
    </row>
    <row r="17" ht="184" customHeight="1" s="340">
      <c r="B17" s="446" t="n"/>
      <c r="D17" s="447" t="n"/>
      <c r="E17" s="301" t="inlineStr">
        <is>
          <t>Milestones received by Bosch do not contain the CIV or DN reference and not the correct data</t>
        </is>
      </c>
      <c r="F17" s="271" t="inlineStr">
        <is>
          <t>Q:why are references incorrect or lack the correct data?
A:These fields are only for SC4 bookings and expected to be manually entered and hence prone to errors.</t>
        </is>
      </c>
      <c r="G17" s="271" t="inlineStr">
        <is>
          <t>Q:why are errors happening in the manual process?
A:because the operators are not following the SOPs to put in the appropriate information in time</t>
        </is>
      </c>
      <c r="H17" s="271" t="inlineStr">
        <is>
          <t>Q: Why are the operators not following SOPs?
A:because they are not prioritizing this effort versus delivering other items such as making deliverings and exiting CMT</t>
        </is>
      </c>
      <c r="I17" s="271" t="inlineStr">
        <is>
          <t>Q:why are they not prioritizing?
A:because the team is whort on capacity</t>
        </is>
      </c>
      <c r="J17" s="271" t="inlineStr">
        <is>
          <t>Q:why are they short in capacity?
A:because expectations was to have lower SC4 bookings in the plan and staffing was not adjusted</t>
        </is>
      </c>
      <c r="K17" s="299" t="n"/>
      <c r="L17" s="299" t="n"/>
      <c r="M17" s="419" t="n"/>
      <c r="N17" s="419" t="n"/>
      <c r="O17" s="429" t="n"/>
      <c r="P17" s="272" t="n"/>
      <c r="R17" s="272" t="n"/>
      <c r="S17" s="272" t="n"/>
      <c r="T17" s="272" t="n"/>
      <c r="U17" s="272" t="n"/>
      <c r="V17" s="272" t="n"/>
      <c r="W17" s="272" t="n"/>
      <c r="X17" s="272" t="n"/>
      <c r="Y17" s="272" t="n"/>
    </row>
    <row r="18" ht="70" customHeight="1" s="340">
      <c r="B18" s="446" t="n"/>
      <c r="D18" s="447" t="n"/>
      <c r="E18" s="198" t="inlineStr">
        <is>
          <t>For "to Port" and "to Door" Shipments, milestone estimates are not received 7 days before of the actual Milestone event</t>
        </is>
      </c>
      <c r="F18" s="271" t="inlineStr">
        <is>
          <t>Q:why are they not received 7 days before?
A:The event is updated either too early or too late before the event missing the 7 days</t>
        </is>
      </c>
      <c r="G18" s="271" t="inlineStr">
        <is>
          <t>Q:why is it too early to too late?
A:the Maersk Liner integration is automated, but the message is not  transmitted to the customer</t>
        </is>
      </c>
      <c r="H18" s="271" t="inlineStr">
        <is>
          <t>Q: Why not transmitted?
A: message is not be triggered from TMS to EDI each time the vessel update is received.</t>
        </is>
      </c>
      <c r="I18" s="271" t="inlineStr">
        <is>
          <t>Q:why is message not triggered?
A:there will be way too many updates and there is logic to prevent too many messages being sent</t>
        </is>
      </c>
      <c r="J18" s="271" t="n"/>
      <c r="K18" s="299" t="n"/>
      <c r="L18" s="299" t="n"/>
      <c r="M18" s="419" t="n"/>
      <c r="N18" s="448" t="n"/>
      <c r="O18" s="429" t="n"/>
      <c r="P18" s="272" t="n"/>
      <c r="R18" s="272" t="n"/>
      <c r="S18" s="272" t="n"/>
      <c r="T18" s="272" t="n"/>
      <c r="U18" s="272" t="n"/>
      <c r="V18" s="272" t="n"/>
      <c r="W18" s="272" t="n"/>
      <c r="X18" s="272" t="n"/>
      <c r="Y18" s="272" t="n"/>
    </row>
    <row r="19" ht="350" customHeight="1" s="340">
      <c r="B19" s="446" t="n"/>
      <c r="D19" s="447" t="n"/>
      <c r="E19" s="198" t="inlineStr">
        <is>
          <t>Milestones sent to Bosch do not follow a plausible date order</t>
        </is>
      </c>
      <c r="F19" s="271" t="inlineStr">
        <is>
          <t>Q: why do milestones not follow a plausible date order?
A: because some milestone timestamps are sent with incorrect or placeholder values that break the expected S02→S04→S07→S31 sequence</t>
        </is>
      </c>
      <c r="G19" s="271" t="inlineStr">
        <is>
          <t>Q: why are timestamps incorrect?
A: because retroactive corrections and system-generated default dates (e.g., 1900 placeholders) are transmitted without plausibility validation</t>
        </is>
      </c>
      <c r="H19" s="271" t="inlineStr">
        <is>
          <t>Q: why are defaults transmitted?
A: because the EDI system does not filter out placeholder dates or validate chronological order before sending</t>
        </is>
      </c>
      <c r="I19" s="271" t="inlineStr">
        <is>
          <t>Q: why is there no chronological validation?
A: because the IFTSTA message builder was not configured with sequence-aware validation rules</t>
        </is>
      </c>
      <c r="J19" s="271" t="inlineStr">
        <is>
          <t>Q: why was it not configured?
A: because plausibility was assumed to be the responsibility of the source operating system, not the EDI layer</t>
        </is>
      </c>
      <c r="K19" s="271" t="inlineStr">
        <is>
          <t>Q: why was this assumption made?
A: because the boundary of data quality responsibility between ops systems and EDI was not clearly defined</t>
        </is>
      </c>
      <c r="L19" s="271" t="n"/>
      <c r="M19" s="412" t="inlineStr">
        <is>
          <t>TRC: EDI system lacks chronological sequence validation; transmits placeholder dates and retroactive corrections without plausibility checks.
MRC: Data quality responsibility boundary between source systems and EDI layer was not defined.</t>
        </is>
      </c>
      <c r="N19" s="449" t="inlineStr">
        <is>
          <t>R: EDI/IT Lead + Data Quality Team
D: 2026-04-30
Action: Implement pre-transmission plausibility check (S02&lt;S04&lt;S07&lt;S31); reject/flag milestones with 1900 placeholder dates; add sequence validation to IFTSTA builder; weekly plausibility KPI report.</t>
        </is>
      </c>
      <c r="O19" s="429" t="n"/>
      <c r="P19" s="272" t="n"/>
      <c r="R19" s="272" t="n"/>
      <c r="S19" s="272" t="n"/>
      <c r="T19" s="272" t="n"/>
      <c r="U19" s="272" t="n"/>
      <c r="V19" s="272" t="n"/>
      <c r="W19" s="272" t="n"/>
      <c r="X19" s="272" t="n"/>
      <c r="Y19" s="272" t="n"/>
    </row>
    <row r="20" ht="80" customHeight="1" s="340">
      <c r="B20" s="437" t="n"/>
      <c r="C20" s="438" t="n"/>
      <c r="D20" s="439" t="n"/>
      <c r="E20" s="198" t="inlineStr">
        <is>
          <t>Critical milestones are not being sent to Bosch</t>
        </is>
      </c>
      <c r="F20" s="271" t="inlineStr">
        <is>
          <t>Q:why wasn't noticed?
A:because there are no dashboard or checks</t>
        </is>
      </c>
      <c r="G20" s="271" t="inlineStr">
        <is>
          <t>Q:why there are no checks?
A:because they were not implemented</t>
        </is>
      </c>
      <c r="H20" s="271" t="inlineStr">
        <is>
          <t>Q:why were they not implemented?
A:because are not part of the process of onboarding a client</t>
        </is>
      </c>
      <c r="I20" s="271" t="inlineStr">
        <is>
          <t>Q:why are not part of the process?
A:because there wasn't build a system to programatically extract data from the EDI system</t>
        </is>
      </c>
      <c r="J20" s="271" t="inlineStr">
        <is>
          <t>Q:why wasn't built?
A:because it wasn't prioritised</t>
        </is>
      </c>
      <c r="K20" s="271" t="inlineStr">
        <is>
          <t>Q: why wasn't it prioritised?
A: because there was no monitoring KPI showing customer impact/cost of missing milestones</t>
        </is>
      </c>
      <c r="L20" s="271" t="inlineStr">
        <is>
          <t>Q: why was there no KPI?
A: because EDI performance governance and reporting ownership were not defined</t>
        </is>
      </c>
      <c r="M20" s="412" t="inlineStr">
        <is>
          <t>TRC: No monitoring/alerting for missing milestone transmissions.
MRC: Monitoring and reporting were not included in the customer onboarding scope/prioritisation.</t>
        </is>
      </c>
      <c r="N20" s="412" t="inlineStr">
        <is>
          <t>R: Ops Excellence + IT/BI
D: 2026-03-31
Action: Build dashboard + daily exception report for missing/failed EDI messages; set alert thresholds; assign owner to review exceptions.</t>
        </is>
      </c>
      <c r="O20" s="429" t="n"/>
      <c r="P20" s="272" t="n"/>
      <c r="R20" s="272" t="n"/>
      <c r="S20" s="272" t="n"/>
      <c r="T20" s="272" t="n"/>
      <c r="U20" s="272" t="n"/>
      <c r="V20" s="272" t="n"/>
      <c r="W20" s="272" t="n"/>
      <c r="X20" s="272" t="n"/>
      <c r="Y20" s="272" t="n"/>
    </row>
    <row r="21">
      <c r="P21" s="272" t="n"/>
      <c r="R21" s="272" t="n"/>
      <c r="S21" s="272" t="n"/>
      <c r="T21" s="272" t="n"/>
      <c r="U21" s="272" t="n"/>
      <c r="V21" s="272" t="n"/>
      <c r="W21" s="272" t="n"/>
      <c r="X21" s="272" t="n"/>
      <c r="Y21" s="272" t="n"/>
    </row>
    <row r="22">
      <c r="P22" s="272" t="n"/>
      <c r="R22" s="272" t="n"/>
      <c r="S22" s="272" t="n"/>
      <c r="T22" s="272" t="n"/>
      <c r="U22" s="272" t="n"/>
      <c r="V22" s="272" t="n"/>
      <c r="W22" s="272" t="n"/>
      <c r="X22" s="272" t="n"/>
      <c r="Y22" s="272" t="n"/>
    </row>
    <row r="23">
      <c r="P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</row>
    <row r="24">
      <c r="P24" s="272" t="n"/>
      <c r="Q24" s="272" t="n"/>
      <c r="R24" s="272" t="n"/>
      <c r="S24" s="272" t="n"/>
      <c r="T24" s="272" t="n"/>
      <c r="U24" s="272" t="n"/>
      <c r="V24" s="272" t="n"/>
      <c r="W24" s="272" t="n"/>
      <c r="X24" s="272" t="n"/>
      <c r="Y24" s="272" t="n"/>
    </row>
    <row r="25">
      <c r="P25" s="272" t="n"/>
      <c r="Q25" s="272" t="n"/>
      <c r="R25" s="272" t="n"/>
      <c r="S25" s="272" t="n"/>
      <c r="T25" s="272" t="n"/>
      <c r="U25" s="272" t="n"/>
      <c r="V25" s="272" t="n"/>
      <c r="W25" s="272" t="n"/>
      <c r="X25" s="272" t="n"/>
      <c r="Y25" s="272" t="n"/>
    </row>
    <row r="30">
      <c r="P30" s="272" t="n"/>
      <c r="Q30" s="272" t="n"/>
      <c r="R30" s="272" t="n"/>
      <c r="S30" s="272" t="n"/>
      <c r="T30" s="272" t="n"/>
      <c r="U30" s="272" t="n"/>
      <c r="V30" s="272" t="n"/>
      <c r="W30" s="272" t="n"/>
      <c r="X30" s="272" t="n"/>
      <c r="Y30" s="272" t="n"/>
    </row>
    <row r="31">
      <c r="P31" s="272" t="n"/>
      <c r="Q31" s="272" t="n"/>
      <c r="R31" s="272" t="n"/>
      <c r="S31" s="272" t="n"/>
      <c r="T31" s="272" t="n"/>
      <c r="U31" s="272" t="n"/>
      <c r="V31" s="272" t="n"/>
      <c r="W31" s="272" t="n"/>
      <c r="X31" s="272" t="n"/>
      <c r="Y31" s="272" t="n"/>
    </row>
    <row r="32">
      <c r="P32" s="272" t="n"/>
      <c r="Q32" s="272" t="n"/>
      <c r="R32" s="272" t="n"/>
      <c r="S32" s="272" t="n"/>
      <c r="T32" s="272" t="n"/>
      <c r="U32" s="272" t="n"/>
      <c r="V32" s="272" t="n"/>
      <c r="W32" s="272" t="n"/>
      <c r="X32" s="272" t="n"/>
      <c r="Y32" s="272" t="n"/>
    </row>
    <row r="33">
      <c r="P33" s="272" t="n"/>
      <c r="Q33" s="272" t="n"/>
      <c r="R33" s="272" t="n"/>
      <c r="S33" s="272" t="n"/>
      <c r="T33" s="272" t="n"/>
      <c r="U33" s="272" t="n"/>
      <c r="V33" s="272" t="n"/>
      <c r="W33" s="272" t="n"/>
      <c r="X33" s="272" t="n"/>
      <c r="Y33" s="272" t="n"/>
    </row>
    <row r="34">
      <c r="P34" s="272" t="n"/>
      <c r="Q34" s="272" t="n"/>
      <c r="R34" s="272" t="n"/>
      <c r="S34" s="272" t="n"/>
      <c r="T34" s="272" t="n"/>
      <c r="U34" s="272" t="n"/>
      <c r="V34" s="272" t="n"/>
      <c r="W34" s="272" t="n"/>
      <c r="X34" s="272" t="n"/>
      <c r="Y34" s="272" t="n"/>
    </row>
    <row r="35">
      <c r="P35" s="272" t="n"/>
      <c r="Q35" s="272" t="n"/>
      <c r="R35" s="272" t="n"/>
      <c r="S35" s="272" t="n"/>
      <c r="T35" s="272" t="n"/>
      <c r="U35" s="272" t="n"/>
      <c r="V35" s="272" t="n"/>
      <c r="W35" s="272" t="n"/>
      <c r="X35" s="272" t="n"/>
      <c r="Y35" s="272" t="n"/>
    </row>
    <row r="36">
      <c r="P36" s="272" t="n"/>
      <c r="Q36" s="272" t="n"/>
      <c r="R36" s="272" t="n"/>
      <c r="S36" s="272" t="n"/>
      <c r="T36" s="272" t="n"/>
      <c r="U36" s="272" t="n"/>
      <c r="V36" s="272" t="n"/>
      <c r="W36" s="272" t="n"/>
      <c r="X36" s="272" t="n"/>
      <c r="Y36" s="272" t="n"/>
    </row>
  </sheetData>
  <mergeCells count="28">
    <mergeCell ref="G10:I10"/>
    <mergeCell ref="B15:D20"/>
    <mergeCell ref="N11:O11"/>
    <mergeCell ref="C8:F8"/>
    <mergeCell ref="N20:O20"/>
    <mergeCell ref="N7:O7"/>
    <mergeCell ref="N16:O16"/>
    <mergeCell ref="K9:L9"/>
    <mergeCell ref="C14:D14"/>
    <mergeCell ref="E7:H7"/>
    <mergeCell ref="K11:L11"/>
    <mergeCell ref="N18:O18"/>
    <mergeCell ref="C3:O5"/>
    <mergeCell ref="C9:D9"/>
    <mergeCell ref="N14:O14"/>
    <mergeCell ref="N17:O17"/>
    <mergeCell ref="C11:D11"/>
    <mergeCell ref="N19:O19"/>
    <mergeCell ref="J8:O8"/>
    <mergeCell ref="C10:F10"/>
    <mergeCell ref="N9:O9"/>
    <mergeCell ref="K7:L7"/>
    <mergeCell ref="E9:H9"/>
    <mergeCell ref="C7:D7"/>
    <mergeCell ref="N15:O15"/>
    <mergeCell ref="J10:O10"/>
    <mergeCell ref="G8:I8"/>
    <mergeCell ref="E11:H1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Wout Palsma</dc:creator>
  <dcterms:created xmlns:dcterms="http://purl.org/dc/terms/" xmlns:xsi="http://www.w3.org/2001/XMLSchema-instance" xsi:type="dcterms:W3CDTF">2026-01-15T13:44:53Z</dcterms:created>
  <dcterms:modified xmlns:dcterms="http://purl.org/dc/terms/" xmlns:xsi="http://www.w3.org/2001/XMLSchema-instance" xsi:type="dcterms:W3CDTF">2026-03-11T06:11:14Z</dcterms:modified>
  <cp:lastModifiedBy>Harsh Puri</cp:lastModifiedBy>
</cp:coreProperties>
</file>

<file path=docProps/custom.xml><?xml version="1.0" encoding="utf-8"?>
<Properties xmlns="http://schemas.openxmlformats.org/officeDocument/2006/custom-properties">
  <property name="MSIP_Label_71bba39d-4745-4e9d-97db-0c1927b54242_Enabled" fmtid="{D5CDD505-2E9C-101B-9397-08002B2CF9AE}" pid="2">
    <vt:lpwstr xmlns:vt="http://schemas.openxmlformats.org/officeDocument/2006/docPropsVTypes">true</vt:lpwstr>
  </property>
  <property name="MSIP_Label_71bba39d-4745-4e9d-97db-0c1927b54242_SetDate" fmtid="{D5CDD505-2E9C-101B-9397-08002B2CF9AE}" pid="3">
    <vt:lpwstr xmlns:vt="http://schemas.openxmlformats.org/officeDocument/2006/docPropsVTypes">2026-01-15T13:46:32Z</vt:lpwstr>
  </property>
  <property name="MSIP_Label_71bba39d-4745-4e9d-97db-0c1927b54242_Method" fmtid="{D5CDD505-2E9C-101B-9397-08002B2CF9AE}" pid="4">
    <vt:lpwstr xmlns:vt="http://schemas.openxmlformats.org/officeDocument/2006/docPropsVTypes">Privileged</vt:lpwstr>
  </property>
  <property name="MSIP_Label_71bba39d-4745-4e9d-97db-0c1927b54242_Name" fmtid="{D5CDD505-2E9C-101B-9397-08002B2CF9AE}" pid="5">
    <vt:lpwstr xmlns:vt="http://schemas.openxmlformats.org/officeDocument/2006/docPropsVTypes">Internal</vt:lpwstr>
  </property>
  <property name="MSIP_Label_71bba39d-4745-4e9d-97db-0c1927b54242_SiteId" fmtid="{D5CDD505-2E9C-101B-9397-08002B2CF9AE}" pid="6">
    <vt:lpwstr xmlns:vt="http://schemas.openxmlformats.org/officeDocument/2006/docPropsVTypes">05d75c05-fa1a-42e7-9cf1-eb416c396f2d</vt:lpwstr>
  </property>
  <property name="MSIP_Label_71bba39d-4745-4e9d-97db-0c1927b54242_ActionId" fmtid="{D5CDD505-2E9C-101B-9397-08002B2CF9AE}" pid="7">
    <vt:lpwstr xmlns:vt="http://schemas.openxmlformats.org/officeDocument/2006/docPropsVTypes">0e81c859-efb7-4b77-bc73-b628a915c21e</vt:lpwstr>
  </property>
  <property name="MSIP_Label_71bba39d-4745-4e9d-97db-0c1927b54242_ContentBits" fmtid="{D5CDD505-2E9C-101B-9397-08002B2CF9AE}" pid="8">
    <vt:lpwstr xmlns:vt="http://schemas.openxmlformats.org/officeDocument/2006/docPropsVTypes">2</vt:lpwstr>
  </property>
  <property name="MSIP_Label_71bba39d-4745-4e9d-97db-0c1927b54242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0x010100687E488A3548C340BD50A8EAE8DED499</vt:lpwstr>
  </property>
  <property name="MediaServiceImageTags" fmtid="{D5CDD505-2E9C-101B-9397-08002B2CF9AE}" pid="11">
    <vt:lpwstr xmlns:vt="http://schemas.openxmlformats.org/officeDocument/2006/docPropsVTypes"/>
  </property>
</Properties>
</file>