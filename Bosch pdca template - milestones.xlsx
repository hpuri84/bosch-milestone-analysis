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sh.puri/Documents/work-maersk/Prototype Playground/Bosch Milestone Analysis/"/>
    </mc:Choice>
  </mc:AlternateContent>
  <xr:revisionPtr revIDLastSave="0" documentId="8_{DF032943-2141-1446-93CD-516D956FE468}" xr6:coauthVersionLast="47" xr6:coauthVersionMax="47" xr10:uidLastSave="{00000000-0000-0000-0000-000000000000}"/>
  <bookViews>
    <workbookView xWindow="0" yWindow="600" windowWidth="28800" windowHeight="16400" xr2:uid="{05C426EF-5583-4C26-9A71-E2CF96AD6094}"/>
  </bookViews>
  <sheets>
    <sheet name="PDCA Main Page" sheetId="1" r:id="rId1"/>
    <sheet name="SC4 Data" sheetId="9" r:id="rId2"/>
    <sheet name="SC3 Data" sheetId="10" r:id="rId3"/>
    <sheet name="Mapping Prob-Root" sheetId="21" r:id="rId4"/>
    <sheet name="Rootcauses" sheetId="23" r:id="rId5"/>
    <sheet name="Measures" sheetId="24" r:id="rId6"/>
    <sheet name="Current State" sheetId="3" r:id="rId7"/>
    <sheet name="Pareto Analysis" sheetId="4" r:id="rId8"/>
    <sheet name="Regional actions" sheetId="5" r:id="rId9"/>
    <sheet name="Targets" sheetId="7" r:id="rId10"/>
    <sheet name="ETA accuracy Port" sheetId="15" r:id="rId11"/>
    <sheet name="POD estimate Accuracy" sheetId="16" r:id="rId12"/>
    <sheet name="Evidence - Reference" sheetId="17" r:id="rId13"/>
    <sheet name="Evidence - Sync &amp; Plausibility" sheetId="18" r:id="rId14"/>
    <sheet name="SC4 Trend" sheetId="11" r:id="rId15"/>
    <sheet name="SC3 Trend" sheetId="12" r:id="rId16"/>
    <sheet name="SC3 vs SC4" sheetId="13" r:id="rId17"/>
    <sheet name="Sheet1" sheetId="19" r:id="rId18"/>
    <sheet name="5Why" sheetId="22" r:id="rId19"/>
  </sheets>
  <externalReferences>
    <externalReference r:id="rId20"/>
    <externalReference r:id="rId21"/>
    <externalReference r:id="rId22"/>
    <externalReference r:id="rId23"/>
    <externalReference r:id="rId24"/>
  </externalReferences>
  <definedNames>
    <definedName name="___mds_first_cell___">[1]EB!#REF!</definedName>
    <definedName name="___mds_view_data___">#REF!</definedName>
    <definedName name="_xlnm._FilterDatabase" localSheetId="3" hidden="1">'Mapping Prob-Root'!$B$1:$L$83</definedName>
    <definedName name="_xlnm._FilterDatabase" localSheetId="5" hidden="1">Measures!$I$5:$I$104</definedName>
    <definedName name="_xlnm._FilterDatabase" localSheetId="0" hidden="1">'PDCA Main Page'!$A$17:$S$115</definedName>
    <definedName name="_xlnm._FilterDatabase" localSheetId="2" hidden="1">'SC3 Data'!$A$4:$AF$4</definedName>
    <definedName name="_xlnm._FilterDatabase" localSheetId="1" hidden="1">'SC4 Data'!$A$4:$AF$4</definedName>
    <definedName name="_xlnm._FilterDatabase" localSheetId="17" hidden="1">Sheet1!$A$1:$S$88</definedName>
    <definedName name="_Mon2">#REF!</definedName>
    <definedName name="_Mon3">#REF!</definedName>
    <definedName name="_Mon4">#REF!</definedName>
    <definedName name="A">#REF!</definedName>
    <definedName name="Abteilung">#REF!</definedName>
    <definedName name="BEST_2003_NN">'[2]2003_IST'!$F$2:$F$4064</definedName>
    <definedName name="BEST_2004_NNN">'[2]2004_IST'!$E$2:$E$10116</definedName>
    <definedName name="BLATTA">#REF!</definedName>
    <definedName name="Bosch_Material">'[3]8D Form'!$R$17</definedName>
    <definedName name="Bosch_product">'[3]8D Form'!$R$16</definedName>
    <definedName name="complaint_name">'[3]8D Form'!$F$17</definedName>
    <definedName name="Entity">#REF!</definedName>
    <definedName name="Feb04_TTNR">[4]TTNR_Checks!$C$2:$C$2454</definedName>
    <definedName name="Ges_2003_TTNR">[4]TTNR_Checks!$A$2:$A$4058</definedName>
    <definedName name="Gesamtprojekt_Status">#REF!</definedName>
    <definedName name="KZ_AUB">[4]TTNR_Checks!$E$2:$E$3002</definedName>
    <definedName name="KZ_TTNR_2003">#REF!</definedName>
    <definedName name="KZ_TTNR_2004">#REF!</definedName>
    <definedName name="laufendes_jahr">#REF!</definedName>
    <definedName name="less">[5]Master!$V$36</definedName>
    <definedName name="M_1">#REF!</definedName>
    <definedName name="M_2">#REF!</definedName>
    <definedName name="M_2a">#REF!</definedName>
    <definedName name="M_2b">#REF!</definedName>
    <definedName name="M_2c">#REF!</definedName>
    <definedName name="M_2d">#REF!</definedName>
    <definedName name="M_3">#REF!</definedName>
    <definedName name="Mon">#REF!</definedName>
    <definedName name="more">[5]Master!$V$34</definedName>
    <definedName name="partial">[5]Master!$V$35</definedName>
    <definedName name="PB">#REF!</definedName>
    <definedName name="Period">#REF!</definedName>
    <definedName name="Pfad">#REF!</definedName>
    <definedName name="PIVOT">#REF!</definedName>
    <definedName name="_xlnm.Print_Area" localSheetId="0">'PDCA Main Page'!$A$1:$V$162</definedName>
    <definedName name="Produktbereich">#REF!</definedName>
    <definedName name="Projekt">#REF!</definedName>
    <definedName name="qq">#REF!</definedName>
    <definedName name="Rechtseinheit">#REF!</definedName>
    <definedName name="Reference_No.">'[3]8D Form'!$K$12</definedName>
    <definedName name="SAPBEXdnldView" hidden="1">"43LW7EU5QZKLQPLJR0JY233HQ"</definedName>
    <definedName name="SAPBEXrevision" hidden="1">3</definedName>
    <definedName name="SAPBEXsysID" hidden="1">"PBJ"</definedName>
    <definedName name="SAPBEXwbID" hidden="1">"3YISBM3Y9HSPQJIGQOUTFG7R2"</definedName>
    <definedName name="www">[1]EB!#REF!</definedName>
    <definedName name="x_x__MailAutoSig" localSheetId="8">'Regional actions'!$F$4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6" i="1" l="1"/>
  <c r="D156" i="1"/>
  <c r="B156" i="1"/>
  <c r="J13" i="21" l="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O84" i="21" s="1"/>
  <c r="B100" i="1" s="1"/>
  <c r="J85" i="21"/>
  <c r="J86" i="21"/>
  <c r="J87" i="21"/>
  <c r="J88" i="21"/>
  <c r="J89" i="21"/>
  <c r="O89" i="21" s="1"/>
  <c r="J2" i="21"/>
  <c r="J3" i="21"/>
  <c r="J4" i="21"/>
  <c r="J5" i="21"/>
  <c r="J6" i="21"/>
  <c r="J7" i="21"/>
  <c r="J8" i="21"/>
  <c r="J9" i="21"/>
  <c r="J10" i="21"/>
  <c r="J11" i="21"/>
  <c r="J12" i="21"/>
  <c r="G9" i="24" a="1"/>
  <c r="G9" i="24" s="1"/>
  <c r="G8" i="24" a="1"/>
  <c r="G8" i="24" s="1"/>
  <c r="G7" i="24" a="1"/>
  <c r="G7" i="24" s="1"/>
  <c r="G6" i="24" a="1"/>
  <c r="G6" i="24" s="1"/>
  <c r="G4" i="24" a="1"/>
  <c r="G4" i="24" s="1"/>
  <c r="N106" i="1"/>
  <c r="O106" i="1" s="1"/>
  <c r="P106" i="1" s="1"/>
  <c r="N104" i="1"/>
  <c r="O104" i="1" s="1"/>
  <c r="P104" i="1" s="1"/>
  <c r="AG27" i="9"/>
  <c r="AH27" i="9"/>
  <c r="AJ27" i="9" s="1"/>
  <c r="L8" i="1" s="1"/>
  <c r="AI27" i="9"/>
  <c r="AK27" i="9" s="1"/>
  <c r="L9" i="1" s="1"/>
  <c r="AG28" i="9"/>
  <c r="AH28" i="9"/>
  <c r="AJ28" i="9" s="1"/>
  <c r="L10" i="1" s="1"/>
  <c r="AI28" i="9"/>
  <c r="AK28" i="9" s="1"/>
  <c r="L11" i="1" s="1"/>
  <c r="AB27" i="9"/>
  <c r="AC27" i="9"/>
  <c r="AE27" i="9" s="1"/>
  <c r="K8" i="1" s="1"/>
  <c r="AD27" i="9"/>
  <c r="AB28" i="9"/>
  <c r="AE28" i="9" s="1"/>
  <c r="K10" i="1" s="1"/>
  <c r="AC28" i="9"/>
  <c r="AD28" i="9"/>
  <c r="AF28" i="9"/>
  <c r="K11" i="1" s="1"/>
  <c r="Y28" i="9"/>
  <c r="AA28" i="9" s="1"/>
  <c r="J11" i="1" s="1"/>
  <c r="Y27" i="9"/>
  <c r="AA27" i="9" s="1"/>
  <c r="J9" i="1" s="1"/>
  <c r="X28" i="9"/>
  <c r="W28" i="9"/>
  <c r="Z28" i="9" s="1"/>
  <c r="J10" i="1" s="1"/>
  <c r="Z27" i="9"/>
  <c r="J8" i="1" s="1"/>
  <c r="X27" i="9"/>
  <c r="W27" i="9"/>
  <c r="D155" i="1"/>
  <c r="M3" i="21"/>
  <c r="M4" i="21"/>
  <c r="N4" i="21"/>
  <c r="M5" i="21"/>
  <c r="N5" i="21"/>
  <c r="M6" i="21"/>
  <c r="N6" i="21"/>
  <c r="M7" i="21"/>
  <c r="N7" i="21"/>
  <c r="M8" i="21"/>
  <c r="N8" i="21"/>
  <c r="M9" i="21"/>
  <c r="N9" i="21"/>
  <c r="M10" i="21"/>
  <c r="N10" i="21"/>
  <c r="M11" i="21"/>
  <c r="N11" i="21"/>
  <c r="M12" i="21"/>
  <c r="N12" i="21"/>
  <c r="M13" i="21"/>
  <c r="N13" i="21"/>
  <c r="M14" i="21"/>
  <c r="N14" i="21"/>
  <c r="M15" i="21"/>
  <c r="N15" i="21"/>
  <c r="M16" i="21"/>
  <c r="N16" i="21"/>
  <c r="M17" i="21"/>
  <c r="N17" i="21"/>
  <c r="M18" i="21"/>
  <c r="N18" i="21"/>
  <c r="M19" i="21"/>
  <c r="N19" i="21"/>
  <c r="M20" i="21"/>
  <c r="N20" i="21"/>
  <c r="M21" i="21"/>
  <c r="N21" i="21"/>
  <c r="M22" i="21"/>
  <c r="N22" i="21"/>
  <c r="M23" i="21"/>
  <c r="N23" i="21"/>
  <c r="M24" i="21"/>
  <c r="N24" i="21"/>
  <c r="M25" i="21"/>
  <c r="N25" i="21"/>
  <c r="M26" i="21"/>
  <c r="N26" i="21"/>
  <c r="M27" i="21"/>
  <c r="N27" i="21"/>
  <c r="M28" i="21"/>
  <c r="N28" i="21"/>
  <c r="M29" i="21"/>
  <c r="N29" i="21"/>
  <c r="M30" i="21"/>
  <c r="N30" i="21"/>
  <c r="M31" i="21"/>
  <c r="N31" i="21"/>
  <c r="M32" i="21"/>
  <c r="N32" i="21"/>
  <c r="M33" i="21"/>
  <c r="N33" i="21"/>
  <c r="M34" i="21"/>
  <c r="N34" i="21"/>
  <c r="M35" i="21"/>
  <c r="N35" i="21"/>
  <c r="M36" i="21"/>
  <c r="N36" i="21"/>
  <c r="M37" i="21"/>
  <c r="N37" i="21"/>
  <c r="M38" i="21"/>
  <c r="N38" i="21"/>
  <c r="M39" i="21"/>
  <c r="N39" i="21"/>
  <c r="M40" i="21"/>
  <c r="N40" i="21"/>
  <c r="M41" i="21"/>
  <c r="N41" i="21"/>
  <c r="M42" i="21"/>
  <c r="N42" i="21"/>
  <c r="M43" i="21"/>
  <c r="N43" i="21"/>
  <c r="M44" i="21"/>
  <c r="N44" i="21"/>
  <c r="M45" i="21"/>
  <c r="N45" i="21"/>
  <c r="M46" i="21"/>
  <c r="N46" i="21"/>
  <c r="M47" i="21"/>
  <c r="N47" i="21"/>
  <c r="M48" i="21"/>
  <c r="N48" i="21"/>
  <c r="M49" i="21"/>
  <c r="N49" i="21"/>
  <c r="M50" i="21"/>
  <c r="N50" i="21"/>
  <c r="M51" i="21"/>
  <c r="N51" i="21"/>
  <c r="M52" i="21"/>
  <c r="N52" i="21"/>
  <c r="M53" i="21"/>
  <c r="N53" i="21"/>
  <c r="M54" i="21"/>
  <c r="N54" i="21"/>
  <c r="M55" i="21"/>
  <c r="N55" i="21"/>
  <c r="M56" i="21"/>
  <c r="N56" i="21"/>
  <c r="M57" i="21"/>
  <c r="N57" i="21"/>
  <c r="M58" i="21"/>
  <c r="N58" i="21"/>
  <c r="M59" i="21"/>
  <c r="N59" i="21"/>
  <c r="M60" i="21"/>
  <c r="N60" i="21"/>
  <c r="M61" i="21"/>
  <c r="N61" i="21"/>
  <c r="M62" i="21"/>
  <c r="N62" i="21"/>
  <c r="M63" i="21"/>
  <c r="N63" i="21"/>
  <c r="M64" i="21"/>
  <c r="N64" i="21"/>
  <c r="M65" i="21"/>
  <c r="N65" i="21"/>
  <c r="M66" i="21"/>
  <c r="N66" i="21"/>
  <c r="M67" i="21"/>
  <c r="N67" i="21"/>
  <c r="M68" i="21"/>
  <c r="N68" i="21"/>
  <c r="M69" i="21"/>
  <c r="N69" i="21"/>
  <c r="M70" i="21"/>
  <c r="N70" i="21"/>
  <c r="M71" i="21"/>
  <c r="N71" i="21"/>
  <c r="M72" i="21"/>
  <c r="N72" i="21"/>
  <c r="M73" i="21"/>
  <c r="N73" i="21"/>
  <c r="M74" i="21"/>
  <c r="N74" i="21"/>
  <c r="M75" i="21"/>
  <c r="N75" i="21"/>
  <c r="M76" i="21"/>
  <c r="N76" i="21"/>
  <c r="M77" i="21"/>
  <c r="N77" i="21"/>
  <c r="M78" i="21"/>
  <c r="N78" i="21"/>
  <c r="M79" i="21"/>
  <c r="N79" i="21"/>
  <c r="M80" i="21"/>
  <c r="N80" i="21"/>
  <c r="M81" i="21"/>
  <c r="N81" i="21"/>
  <c r="M82" i="21"/>
  <c r="N82" i="21"/>
  <c r="M83" i="21"/>
  <c r="N83" i="21"/>
  <c r="M84" i="21"/>
  <c r="N84" i="21"/>
  <c r="M85" i="21"/>
  <c r="N85" i="21"/>
  <c r="M86" i="21"/>
  <c r="N86" i="21"/>
  <c r="M87" i="21"/>
  <c r="N87" i="21"/>
  <c r="M88" i="21"/>
  <c r="N88" i="21"/>
  <c r="M89" i="21"/>
  <c r="N89" i="21"/>
  <c r="M2" i="21"/>
  <c r="G18" i="24" s="1" a="1"/>
  <c r="G18" i="24" s="1"/>
  <c r="A155" i="1"/>
  <c r="B155" i="1"/>
  <c r="L89" i="21"/>
  <c r="L88" i="21"/>
  <c r="O88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2" i="21"/>
  <c r="A154" i="1"/>
  <c r="B154" i="1"/>
  <c r="D154" i="1"/>
  <c r="A147" i="1"/>
  <c r="B147" i="1"/>
  <c r="D147" i="1"/>
  <c r="A148" i="1"/>
  <c r="B148" i="1"/>
  <c r="D148" i="1"/>
  <c r="A149" i="1"/>
  <c r="B149" i="1"/>
  <c r="D149" i="1"/>
  <c r="A150" i="1"/>
  <c r="B150" i="1"/>
  <c r="D150" i="1"/>
  <c r="A151" i="1"/>
  <c r="B151" i="1"/>
  <c r="D151" i="1"/>
  <c r="A152" i="1"/>
  <c r="B152" i="1"/>
  <c r="D152" i="1"/>
  <c r="A153" i="1"/>
  <c r="B153" i="1"/>
  <c r="D153" i="1"/>
  <c r="A140" i="1"/>
  <c r="B140" i="1"/>
  <c r="D140" i="1"/>
  <c r="A141" i="1"/>
  <c r="B141" i="1"/>
  <c r="D141" i="1"/>
  <c r="A142" i="1"/>
  <c r="B142" i="1"/>
  <c r="D142" i="1"/>
  <c r="A143" i="1"/>
  <c r="B143" i="1"/>
  <c r="D143" i="1"/>
  <c r="A144" i="1"/>
  <c r="B144" i="1"/>
  <c r="D144" i="1"/>
  <c r="A145" i="1"/>
  <c r="B145" i="1"/>
  <c r="D145" i="1"/>
  <c r="A146" i="1"/>
  <c r="B146" i="1"/>
  <c r="D146" i="1"/>
  <c r="A139" i="1"/>
  <c r="E139" i="1"/>
  <c r="D139" i="1"/>
  <c r="B139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8" i="1"/>
  <c r="N102" i="1"/>
  <c r="O102" i="1" s="1"/>
  <c r="N100" i="1"/>
  <c r="O100" i="1" s="1"/>
  <c r="P100" i="1" s="1"/>
  <c r="Q100" i="1" s="1"/>
  <c r="R100" i="1" s="1"/>
  <c r="O85" i="21"/>
  <c r="B101" i="1" s="1"/>
  <c r="O86" i="21"/>
  <c r="B102" i="1" s="1"/>
  <c r="O87" i="21"/>
  <c r="B103" i="1" s="1"/>
  <c r="G83" i="21" a="1"/>
  <c r="G83" i="21" s="1"/>
  <c r="G82" i="21" a="1"/>
  <c r="G82" i="21" s="1"/>
  <c r="G81" i="21" a="1"/>
  <c r="G81" i="21" s="1"/>
  <c r="G80" i="21" a="1"/>
  <c r="G80" i="21" s="1"/>
  <c r="G79" i="21" a="1"/>
  <c r="G79" i="21" s="1"/>
  <c r="G78" i="21" a="1"/>
  <c r="G78" i="21" s="1"/>
  <c r="G77" i="21" a="1"/>
  <c r="G77" i="21" s="1"/>
  <c r="G76" i="21" a="1"/>
  <c r="G76" i="21" s="1"/>
  <c r="G75" i="21" a="1"/>
  <c r="G75" i="21" s="1"/>
  <c r="G74" i="21" a="1"/>
  <c r="G74" i="21" s="1"/>
  <c r="G73" i="21" a="1"/>
  <c r="G73" i="21" s="1"/>
  <c r="G72" i="21" a="1"/>
  <c r="G72" i="21" s="1"/>
  <c r="G71" i="21" a="1"/>
  <c r="G71" i="21" s="1"/>
  <c r="G70" i="21" a="1"/>
  <c r="G70" i="21" s="1"/>
  <c r="G69" i="21" a="1"/>
  <c r="G69" i="21" s="1"/>
  <c r="G68" i="21" a="1"/>
  <c r="G68" i="21" s="1"/>
  <c r="G67" i="21" a="1"/>
  <c r="G67" i="21" s="1"/>
  <c r="G66" i="21" a="1"/>
  <c r="G66" i="21" s="1"/>
  <c r="G65" i="21" a="1"/>
  <c r="G65" i="21" s="1"/>
  <c r="G64" i="21" a="1"/>
  <c r="G64" i="21" s="1"/>
  <c r="G63" i="21" a="1"/>
  <c r="G63" i="21" s="1"/>
  <c r="G62" i="21" a="1"/>
  <c r="G62" i="21" s="1"/>
  <c r="G61" i="21" a="1"/>
  <c r="G61" i="21" s="1"/>
  <c r="G60" i="21" a="1"/>
  <c r="G60" i="21" s="1"/>
  <c r="G59" i="21" a="1"/>
  <c r="G59" i="21" s="1"/>
  <c r="G58" i="21" a="1"/>
  <c r="G58" i="21" s="1"/>
  <c r="G57" i="21" a="1"/>
  <c r="G57" i="21" s="1"/>
  <c r="G56" i="21" a="1"/>
  <c r="G56" i="21" s="1"/>
  <c r="G55" i="21" a="1"/>
  <c r="G55" i="21" s="1"/>
  <c r="G54" i="21" a="1"/>
  <c r="G54" i="21" s="1"/>
  <c r="G53" i="21" a="1"/>
  <c r="G53" i="21" s="1"/>
  <c r="G52" i="21" a="1"/>
  <c r="G52" i="21" s="1"/>
  <c r="G51" i="21" a="1"/>
  <c r="G51" i="21" s="1"/>
  <c r="G50" i="21" a="1"/>
  <c r="G50" i="21" s="1"/>
  <c r="G49" i="21" a="1"/>
  <c r="G49" i="21" s="1"/>
  <c r="G48" i="21" a="1"/>
  <c r="G48" i="21" s="1"/>
  <c r="G47" i="21" a="1"/>
  <c r="G47" i="21" s="1"/>
  <c r="G46" i="21" a="1"/>
  <c r="G46" i="21" s="1"/>
  <c r="G45" i="21" a="1"/>
  <c r="G45" i="21" s="1"/>
  <c r="G44" i="21" a="1"/>
  <c r="G44" i="21" s="1"/>
  <c r="G43" i="21" a="1"/>
  <c r="G43" i="21" s="1"/>
  <c r="G42" i="21" a="1"/>
  <c r="G42" i="21" s="1"/>
  <c r="G41" i="21" a="1"/>
  <c r="G41" i="21" s="1"/>
  <c r="G40" i="21" a="1"/>
  <c r="G40" i="21" s="1"/>
  <c r="G39" i="21" a="1"/>
  <c r="G39" i="21" s="1"/>
  <c r="G38" i="21" a="1"/>
  <c r="G38" i="21" s="1"/>
  <c r="G37" i="21" a="1"/>
  <c r="G37" i="21" s="1"/>
  <c r="G36" i="21" a="1"/>
  <c r="G36" i="21" s="1"/>
  <c r="G35" i="21" a="1"/>
  <c r="G35" i="21" s="1"/>
  <c r="G34" i="21" a="1"/>
  <c r="G34" i="21" s="1"/>
  <c r="G33" i="21" a="1"/>
  <c r="G33" i="21" s="1"/>
  <c r="G32" i="21" a="1"/>
  <c r="G32" i="21" s="1"/>
  <c r="G31" i="21" a="1"/>
  <c r="G31" i="21" s="1"/>
  <c r="G30" i="21" a="1"/>
  <c r="G30" i="21" s="1"/>
  <c r="G29" i="21" a="1"/>
  <c r="G29" i="21" s="1"/>
  <c r="G28" i="21" a="1"/>
  <c r="G28" i="21" s="1"/>
  <c r="G27" i="21" a="1"/>
  <c r="G27" i="21" s="1"/>
  <c r="G26" i="21" a="1"/>
  <c r="G26" i="21" s="1"/>
  <c r="G25" i="21" a="1"/>
  <c r="G25" i="21" s="1"/>
  <c r="G24" i="21" a="1"/>
  <c r="G24" i="21" s="1"/>
  <c r="G23" i="21" a="1"/>
  <c r="G23" i="21" s="1"/>
  <c r="G22" i="21" a="1"/>
  <c r="G22" i="21" s="1"/>
  <c r="G21" i="21" a="1"/>
  <c r="G21" i="21" s="1"/>
  <c r="G20" i="21" a="1"/>
  <c r="G20" i="21" s="1"/>
  <c r="G19" i="21" a="1"/>
  <c r="G19" i="21" s="1"/>
  <c r="G18" i="21" a="1"/>
  <c r="G18" i="21" s="1"/>
  <c r="G17" i="21" a="1"/>
  <c r="G17" i="21" s="1"/>
  <c r="G16" i="21" a="1"/>
  <c r="G16" i="21" s="1"/>
  <c r="G15" i="21" a="1"/>
  <c r="G15" i="21" s="1"/>
  <c r="G14" i="21" a="1"/>
  <c r="G14" i="21" s="1"/>
  <c r="G13" i="21" a="1"/>
  <c r="G13" i="21" s="1"/>
  <c r="G12" i="21" a="1"/>
  <c r="G12" i="21" s="1"/>
  <c r="G11" i="21" a="1"/>
  <c r="G11" i="21" s="1"/>
  <c r="G10" i="21" a="1"/>
  <c r="G10" i="21" s="1"/>
  <c r="G9" i="21" a="1"/>
  <c r="G9" i="21" s="1"/>
  <c r="G8" i="21" a="1"/>
  <c r="G8" i="21" s="1"/>
  <c r="G7" i="21" a="1"/>
  <c r="G7" i="21" s="1"/>
  <c r="G6" i="21" a="1"/>
  <c r="G6" i="21" s="1"/>
  <c r="G5" i="21" a="1"/>
  <c r="G5" i="21" s="1"/>
  <c r="G4" i="21" a="1"/>
  <c r="G4" i="21" s="1"/>
  <c r="G3" i="21" a="1"/>
  <c r="G3" i="21" s="1"/>
  <c r="G2" i="21" a="1"/>
  <c r="G2" i="21" s="1"/>
  <c r="E83" i="21" a="1"/>
  <c r="E83" i="21" s="1"/>
  <c r="E82" i="21" a="1"/>
  <c r="E82" i="21" s="1"/>
  <c r="E81" i="21" a="1"/>
  <c r="E81" i="21" s="1"/>
  <c r="E80" i="21" a="1"/>
  <c r="E80" i="21" s="1"/>
  <c r="E79" i="21" a="1"/>
  <c r="E79" i="21" s="1"/>
  <c r="E78" i="21" a="1"/>
  <c r="E78" i="21" s="1"/>
  <c r="E77" i="21" a="1"/>
  <c r="E77" i="21" s="1"/>
  <c r="E76" i="21" a="1"/>
  <c r="E76" i="21" s="1"/>
  <c r="E75" i="21" a="1"/>
  <c r="E75" i="21" s="1"/>
  <c r="E74" i="21" a="1"/>
  <c r="E74" i="21" s="1"/>
  <c r="E73" i="21" a="1"/>
  <c r="E73" i="21" s="1"/>
  <c r="E72" i="21" a="1"/>
  <c r="E72" i="21" s="1"/>
  <c r="E71" i="21" a="1"/>
  <c r="E71" i="21" s="1"/>
  <c r="E70" i="21" a="1"/>
  <c r="E70" i="21" s="1"/>
  <c r="E69" i="21" a="1"/>
  <c r="E69" i="21" s="1"/>
  <c r="E68" i="21" a="1"/>
  <c r="E68" i="21" s="1"/>
  <c r="E67" i="21" a="1"/>
  <c r="E67" i="21" s="1"/>
  <c r="E66" i="21" a="1"/>
  <c r="E66" i="21" s="1"/>
  <c r="E65" i="21" a="1"/>
  <c r="E65" i="21" s="1"/>
  <c r="E64" i="21" a="1"/>
  <c r="E64" i="21" s="1"/>
  <c r="E63" i="21" a="1"/>
  <c r="E63" i="21" s="1"/>
  <c r="E62" i="21" a="1"/>
  <c r="E62" i="21" s="1"/>
  <c r="E61" i="21" a="1"/>
  <c r="E61" i="21" s="1"/>
  <c r="E60" i="21" a="1"/>
  <c r="E60" i="21" s="1"/>
  <c r="E59" i="21" a="1"/>
  <c r="E59" i="21" s="1"/>
  <c r="E58" i="21" a="1"/>
  <c r="E58" i="21" s="1"/>
  <c r="E57" i="21" a="1"/>
  <c r="E57" i="21" s="1"/>
  <c r="E56" i="21" a="1"/>
  <c r="E56" i="21" s="1"/>
  <c r="E55" i="21" a="1"/>
  <c r="E55" i="21" s="1"/>
  <c r="E54" i="21" a="1"/>
  <c r="E54" i="21" s="1"/>
  <c r="E53" i="21" a="1"/>
  <c r="E53" i="21" s="1"/>
  <c r="E52" i="21" a="1"/>
  <c r="E52" i="21" s="1"/>
  <c r="E51" i="21" a="1"/>
  <c r="E51" i="21" s="1"/>
  <c r="E50" i="21" a="1"/>
  <c r="E50" i="21" s="1"/>
  <c r="E49" i="21" a="1"/>
  <c r="E49" i="21" s="1"/>
  <c r="E48" i="21" a="1"/>
  <c r="E48" i="21" s="1"/>
  <c r="E47" i="21" a="1"/>
  <c r="E47" i="21" s="1"/>
  <c r="E46" i="21" a="1"/>
  <c r="E46" i="21" s="1"/>
  <c r="E45" i="21" a="1"/>
  <c r="E45" i="21" s="1"/>
  <c r="E44" i="21" a="1"/>
  <c r="E44" i="21" s="1"/>
  <c r="E43" i="21" a="1"/>
  <c r="E43" i="21" s="1"/>
  <c r="E42" i="21" a="1"/>
  <c r="E42" i="21" s="1"/>
  <c r="E41" i="21" a="1"/>
  <c r="E41" i="21" s="1"/>
  <c r="E40" i="21" a="1"/>
  <c r="E40" i="21" s="1"/>
  <c r="E39" i="21" a="1"/>
  <c r="E39" i="21" s="1"/>
  <c r="E38" i="21" a="1"/>
  <c r="E38" i="21" s="1"/>
  <c r="E37" i="21" a="1"/>
  <c r="E37" i="21" s="1"/>
  <c r="E36" i="21" a="1"/>
  <c r="E36" i="21" s="1"/>
  <c r="E35" i="21" a="1"/>
  <c r="E35" i="21" s="1"/>
  <c r="E34" i="21" a="1"/>
  <c r="E34" i="21" s="1"/>
  <c r="E33" i="21" a="1"/>
  <c r="E33" i="21" s="1"/>
  <c r="E32" i="21" a="1"/>
  <c r="E32" i="21" s="1"/>
  <c r="E31" i="21" a="1"/>
  <c r="E31" i="21" s="1"/>
  <c r="E30" i="21" a="1"/>
  <c r="E30" i="21" s="1"/>
  <c r="E29" i="21" a="1"/>
  <c r="E29" i="21" s="1"/>
  <c r="E28" i="21" a="1"/>
  <c r="E28" i="21" s="1"/>
  <c r="E27" i="21" a="1"/>
  <c r="E27" i="21" s="1"/>
  <c r="E26" i="21" a="1"/>
  <c r="E26" i="21" s="1"/>
  <c r="E25" i="21" a="1"/>
  <c r="E25" i="21" s="1"/>
  <c r="E24" i="21" a="1"/>
  <c r="E24" i="21" s="1"/>
  <c r="E23" i="21" a="1"/>
  <c r="E23" i="21" s="1"/>
  <c r="E22" i="21" a="1"/>
  <c r="E22" i="21" s="1"/>
  <c r="E21" i="21" a="1"/>
  <c r="E21" i="21" s="1"/>
  <c r="E20" i="21" a="1"/>
  <c r="E20" i="21" s="1"/>
  <c r="E19" i="21" a="1"/>
  <c r="E19" i="21" s="1"/>
  <c r="E18" i="21" a="1"/>
  <c r="E18" i="21" s="1"/>
  <c r="E17" i="21" a="1"/>
  <c r="E17" i="21" s="1"/>
  <c r="E16" i="21" a="1"/>
  <c r="E16" i="21" s="1"/>
  <c r="E15" i="21" a="1"/>
  <c r="E15" i="21" s="1"/>
  <c r="E14" i="21" a="1"/>
  <c r="E14" i="21" s="1"/>
  <c r="E13" i="21" a="1"/>
  <c r="E13" i="21" s="1"/>
  <c r="E12" i="21" a="1"/>
  <c r="E12" i="21" s="1"/>
  <c r="E11" i="21" a="1"/>
  <c r="E11" i="21" s="1"/>
  <c r="E10" i="21" a="1"/>
  <c r="E10" i="21" s="1"/>
  <c r="E9" i="21" a="1"/>
  <c r="E9" i="21" s="1"/>
  <c r="E8" i="21" a="1"/>
  <c r="E8" i="21" s="1"/>
  <c r="E7" i="21" a="1"/>
  <c r="E7" i="21" s="1"/>
  <c r="E6" i="21" a="1"/>
  <c r="E6" i="21" s="1"/>
  <c r="E5" i="21" a="1"/>
  <c r="E5" i="21" s="1"/>
  <c r="E4" i="21" a="1"/>
  <c r="E4" i="21" s="1"/>
  <c r="E3" i="21" a="1"/>
  <c r="E3" i="21" s="1"/>
  <c r="E2" i="21" a="1"/>
  <c r="E2" i="21" s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AF24" i="10"/>
  <c r="AF23" i="10"/>
  <c r="AF22" i="10"/>
  <c r="AF21" i="10"/>
  <c r="AF20" i="10"/>
  <c r="AF19" i="10"/>
  <c r="AF18" i="10"/>
  <c r="AF17" i="10"/>
  <c r="AF16" i="10"/>
  <c r="AF15" i="10"/>
  <c r="AF14" i="10"/>
  <c r="AF13" i="10"/>
  <c r="AF12" i="10"/>
  <c r="AF11" i="10"/>
  <c r="AF10" i="10"/>
  <c r="AF9" i="10"/>
  <c r="AF8" i="10"/>
  <c r="AF7" i="10"/>
  <c r="AF6" i="10"/>
  <c r="AF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E6" i="10"/>
  <c r="AE5" i="10"/>
  <c r="G12" i="24" l="1" a="1"/>
  <c r="G12" i="24" s="1"/>
  <c r="G5" i="24" a="1"/>
  <c r="G5" i="24" s="1"/>
  <c r="G13" i="24" a="1"/>
  <c r="G13" i="24" s="1"/>
  <c r="G14" i="24" a="1"/>
  <c r="G14" i="24" s="1"/>
  <c r="C150" i="1" s="1"/>
  <c r="G15" i="24" a="1"/>
  <c r="G15" i="24" s="1"/>
  <c r="C151" i="1" s="1"/>
  <c r="G16" i="24" a="1"/>
  <c r="G16" i="24" s="1"/>
  <c r="C152" i="1" s="1"/>
  <c r="G19" i="24" a="1"/>
  <c r="G19" i="24" s="1"/>
  <c r="C155" i="1" s="1"/>
  <c r="G10" i="24" a="1"/>
  <c r="G10" i="24" s="1"/>
  <c r="G20" i="24" a="1"/>
  <c r="G20" i="24" s="1"/>
  <c r="C156" i="1" s="1"/>
  <c r="G3" i="24" a="1"/>
  <c r="G3" i="24" s="1"/>
  <c r="G11" i="24" a="1"/>
  <c r="G11" i="24" s="1"/>
  <c r="G17" i="24" a="1"/>
  <c r="G17" i="24" s="1"/>
  <c r="C153" i="1" s="1"/>
  <c r="Q106" i="1"/>
  <c r="R106" i="1" s="1"/>
  <c r="S106" i="1"/>
  <c r="Q104" i="1"/>
  <c r="R104" i="1" s="1"/>
  <c r="S104" i="1"/>
  <c r="AF27" i="9"/>
  <c r="K9" i="1" s="1"/>
  <c r="C142" i="1"/>
  <c r="C141" i="1"/>
  <c r="C148" i="1"/>
  <c r="C140" i="1"/>
  <c r="C149" i="1"/>
  <c r="C139" i="1"/>
  <c r="C147" i="1"/>
  <c r="C154" i="1"/>
  <c r="C146" i="1"/>
  <c r="C145" i="1"/>
  <c r="C143" i="1"/>
  <c r="C144" i="1"/>
  <c r="P102" i="1"/>
  <c r="Q102" i="1" s="1"/>
  <c r="R102" i="1" s="1"/>
  <c r="S100" i="1"/>
  <c r="I42" i="21"/>
  <c r="O42" i="21" s="1"/>
  <c r="B58" i="1" s="1"/>
  <c r="I50" i="21"/>
  <c r="O50" i="21" s="1"/>
  <c r="B66" i="1" s="1"/>
  <c r="I58" i="21"/>
  <c r="O58" i="21" s="1"/>
  <c r="B74" i="1" s="1"/>
  <c r="I66" i="21"/>
  <c r="O66" i="21" s="1"/>
  <c r="B82" i="1" s="1"/>
  <c r="I10" i="21"/>
  <c r="O10" i="21" s="1"/>
  <c r="B26" i="1" s="1"/>
  <c r="I74" i="21"/>
  <c r="O74" i="21" s="1"/>
  <c r="B90" i="1" s="1"/>
  <c r="I18" i="21"/>
  <c r="O18" i="21" s="1"/>
  <c r="B34" i="1" s="1"/>
  <c r="I82" i="21"/>
  <c r="O82" i="21" s="1"/>
  <c r="B98" i="1" s="1"/>
  <c r="I26" i="21"/>
  <c r="O26" i="21" s="1"/>
  <c r="B42" i="1" s="1"/>
  <c r="I34" i="21"/>
  <c r="O34" i="21" s="1"/>
  <c r="B50" i="1" s="1"/>
  <c r="I8" i="21"/>
  <c r="O8" i="21" s="1"/>
  <c r="B24" i="1" s="1"/>
  <c r="I16" i="21"/>
  <c r="O16" i="21" s="1"/>
  <c r="B32" i="1" s="1"/>
  <c r="I24" i="21"/>
  <c r="O24" i="21" s="1"/>
  <c r="B40" i="1" s="1"/>
  <c r="I32" i="21"/>
  <c r="O32" i="21" s="1"/>
  <c r="B48" i="1" s="1"/>
  <c r="I40" i="21"/>
  <c r="O40" i="21" s="1"/>
  <c r="B56" i="1" s="1"/>
  <c r="I48" i="21"/>
  <c r="O48" i="21" s="1"/>
  <c r="B64" i="1" s="1"/>
  <c r="I56" i="21"/>
  <c r="O56" i="21" s="1"/>
  <c r="B72" i="1" s="1"/>
  <c r="I64" i="21"/>
  <c r="O64" i="21" s="1"/>
  <c r="B80" i="1" s="1"/>
  <c r="I72" i="21"/>
  <c r="O72" i="21" s="1"/>
  <c r="B88" i="1" s="1"/>
  <c r="I80" i="21"/>
  <c r="O80" i="21" s="1"/>
  <c r="B96" i="1" s="1"/>
  <c r="I2" i="21"/>
  <c r="O2" i="21" s="1"/>
  <c r="B18" i="1" s="1"/>
  <c r="I9" i="21"/>
  <c r="O9" i="21" s="1"/>
  <c r="B25" i="1" s="1"/>
  <c r="I17" i="21"/>
  <c r="O17" i="21" s="1"/>
  <c r="B33" i="1" s="1"/>
  <c r="I25" i="21"/>
  <c r="O25" i="21" s="1"/>
  <c r="B41" i="1" s="1"/>
  <c r="I33" i="21"/>
  <c r="O33" i="21" s="1"/>
  <c r="B49" i="1" s="1"/>
  <c r="I41" i="21"/>
  <c r="O41" i="21" s="1"/>
  <c r="B57" i="1" s="1"/>
  <c r="I49" i="21"/>
  <c r="O49" i="21" s="1"/>
  <c r="B65" i="1" s="1"/>
  <c r="I57" i="21"/>
  <c r="O57" i="21" s="1"/>
  <c r="B73" i="1" s="1"/>
  <c r="I65" i="21"/>
  <c r="O65" i="21" s="1"/>
  <c r="B81" i="1" s="1"/>
  <c r="I73" i="21"/>
  <c r="O73" i="21" s="1"/>
  <c r="B89" i="1" s="1"/>
  <c r="I81" i="21"/>
  <c r="O81" i="21" s="1"/>
  <c r="B97" i="1" s="1"/>
  <c r="I3" i="21"/>
  <c r="O3" i="21" s="1"/>
  <c r="B19" i="1" s="1"/>
  <c r="I11" i="21"/>
  <c r="O11" i="21" s="1"/>
  <c r="B27" i="1" s="1"/>
  <c r="I19" i="21"/>
  <c r="O19" i="21" s="1"/>
  <c r="B35" i="1" s="1"/>
  <c r="I27" i="21"/>
  <c r="O27" i="21" s="1"/>
  <c r="B43" i="1" s="1"/>
  <c r="I35" i="21"/>
  <c r="O35" i="21" s="1"/>
  <c r="B51" i="1" s="1"/>
  <c r="I43" i="21"/>
  <c r="O43" i="21" s="1"/>
  <c r="B59" i="1" s="1"/>
  <c r="I51" i="21"/>
  <c r="O51" i="21" s="1"/>
  <c r="B67" i="1" s="1"/>
  <c r="I59" i="21"/>
  <c r="O59" i="21" s="1"/>
  <c r="B75" i="1" s="1"/>
  <c r="I67" i="21"/>
  <c r="O67" i="21" s="1"/>
  <c r="B83" i="1" s="1"/>
  <c r="I75" i="21"/>
  <c r="O75" i="21" s="1"/>
  <c r="B91" i="1" s="1"/>
  <c r="I83" i="21"/>
  <c r="O83" i="21" s="1"/>
  <c r="B99" i="1" s="1"/>
  <c r="I4" i="21"/>
  <c r="O4" i="21" s="1"/>
  <c r="B20" i="1" s="1"/>
  <c r="I12" i="21"/>
  <c r="O12" i="21" s="1"/>
  <c r="B28" i="1" s="1"/>
  <c r="I20" i="21"/>
  <c r="O20" i="21" s="1"/>
  <c r="B36" i="1" s="1"/>
  <c r="I28" i="21"/>
  <c r="O28" i="21" s="1"/>
  <c r="B44" i="1" s="1"/>
  <c r="I36" i="21"/>
  <c r="O36" i="21" s="1"/>
  <c r="B52" i="1" s="1"/>
  <c r="I44" i="21"/>
  <c r="O44" i="21" s="1"/>
  <c r="B60" i="1" s="1"/>
  <c r="I52" i="21"/>
  <c r="O52" i="21" s="1"/>
  <c r="B68" i="1" s="1"/>
  <c r="I60" i="21"/>
  <c r="O60" i="21" s="1"/>
  <c r="B76" i="1" s="1"/>
  <c r="I68" i="21"/>
  <c r="O68" i="21" s="1"/>
  <c r="B84" i="1" s="1"/>
  <c r="I76" i="21"/>
  <c r="O76" i="21" s="1"/>
  <c r="B92" i="1" s="1"/>
  <c r="I5" i="21"/>
  <c r="O5" i="21" s="1"/>
  <c r="B21" i="1" s="1"/>
  <c r="I13" i="21"/>
  <c r="O13" i="21" s="1"/>
  <c r="B29" i="1" s="1"/>
  <c r="I21" i="21"/>
  <c r="O21" i="21" s="1"/>
  <c r="B37" i="1" s="1"/>
  <c r="I29" i="21"/>
  <c r="O29" i="21" s="1"/>
  <c r="B45" i="1" s="1"/>
  <c r="I37" i="21"/>
  <c r="O37" i="21" s="1"/>
  <c r="B53" i="1" s="1"/>
  <c r="I45" i="21"/>
  <c r="O45" i="21" s="1"/>
  <c r="B61" i="1" s="1"/>
  <c r="I53" i="21"/>
  <c r="O53" i="21" s="1"/>
  <c r="B69" i="1" s="1"/>
  <c r="I61" i="21"/>
  <c r="O61" i="21" s="1"/>
  <c r="B77" i="1" s="1"/>
  <c r="I69" i="21"/>
  <c r="O69" i="21" s="1"/>
  <c r="B85" i="1" s="1"/>
  <c r="I77" i="21"/>
  <c r="O77" i="21" s="1"/>
  <c r="B93" i="1" s="1"/>
  <c r="I6" i="21"/>
  <c r="O6" i="21" s="1"/>
  <c r="B22" i="1" s="1"/>
  <c r="I14" i="21"/>
  <c r="O14" i="21" s="1"/>
  <c r="B30" i="1" s="1"/>
  <c r="I22" i="21"/>
  <c r="O22" i="21" s="1"/>
  <c r="B38" i="1" s="1"/>
  <c r="I30" i="21"/>
  <c r="O30" i="21" s="1"/>
  <c r="B46" i="1" s="1"/>
  <c r="I38" i="21"/>
  <c r="O38" i="21" s="1"/>
  <c r="B54" i="1" s="1"/>
  <c r="I46" i="21"/>
  <c r="O46" i="21" s="1"/>
  <c r="B62" i="1" s="1"/>
  <c r="I54" i="21"/>
  <c r="O54" i="21" s="1"/>
  <c r="B70" i="1" s="1"/>
  <c r="I62" i="21"/>
  <c r="O62" i="21" s="1"/>
  <c r="B78" i="1" s="1"/>
  <c r="I70" i="21"/>
  <c r="O70" i="21" s="1"/>
  <c r="B86" i="1" s="1"/>
  <c r="I78" i="21"/>
  <c r="O78" i="21" s="1"/>
  <c r="B94" i="1" s="1"/>
  <c r="I7" i="21"/>
  <c r="O7" i="21" s="1"/>
  <c r="B23" i="1" s="1"/>
  <c r="I15" i="21"/>
  <c r="O15" i="21" s="1"/>
  <c r="B31" i="1" s="1"/>
  <c r="I23" i="21"/>
  <c r="O23" i="21" s="1"/>
  <c r="B39" i="1" s="1"/>
  <c r="I31" i="21"/>
  <c r="O31" i="21" s="1"/>
  <c r="B47" i="1" s="1"/>
  <c r="I39" i="21"/>
  <c r="O39" i="21" s="1"/>
  <c r="B55" i="1" s="1"/>
  <c r="I47" i="21"/>
  <c r="O47" i="21" s="1"/>
  <c r="B63" i="1" s="1"/>
  <c r="I55" i="21"/>
  <c r="O55" i="21" s="1"/>
  <c r="B71" i="1" s="1"/>
  <c r="I63" i="21"/>
  <c r="O63" i="21" s="1"/>
  <c r="B79" i="1" s="1"/>
  <c r="I71" i="21"/>
  <c r="O71" i="21" s="1"/>
  <c r="B87" i="1" s="1"/>
  <c r="I79" i="21"/>
  <c r="O79" i="21" s="1"/>
  <c r="B95" i="1" s="1"/>
  <c r="L99" i="1"/>
  <c r="K99" i="1"/>
  <c r="J99" i="1"/>
  <c r="I99" i="1"/>
  <c r="H99" i="1"/>
  <c r="G99" i="1"/>
  <c r="L98" i="1"/>
  <c r="K98" i="1"/>
  <c r="J98" i="1"/>
  <c r="I98" i="1"/>
  <c r="H98" i="1"/>
  <c r="G98" i="1"/>
  <c r="L97" i="1"/>
  <c r="K97" i="1"/>
  <c r="J97" i="1"/>
  <c r="I97" i="1"/>
  <c r="H97" i="1"/>
  <c r="G97" i="1"/>
  <c r="L96" i="1"/>
  <c r="K96" i="1"/>
  <c r="J96" i="1"/>
  <c r="I96" i="1"/>
  <c r="H96" i="1"/>
  <c r="G96" i="1"/>
  <c r="L95" i="1"/>
  <c r="K95" i="1"/>
  <c r="J95" i="1"/>
  <c r="I95" i="1"/>
  <c r="H95" i="1"/>
  <c r="G95" i="1"/>
  <c r="L94" i="1"/>
  <c r="K94" i="1"/>
  <c r="J94" i="1"/>
  <c r="I94" i="1"/>
  <c r="H94" i="1"/>
  <c r="G94" i="1"/>
  <c r="L93" i="1"/>
  <c r="K93" i="1"/>
  <c r="J93" i="1"/>
  <c r="I93" i="1"/>
  <c r="H93" i="1"/>
  <c r="G93" i="1"/>
  <c r="L92" i="1"/>
  <c r="K92" i="1"/>
  <c r="J92" i="1"/>
  <c r="I92" i="1"/>
  <c r="H92" i="1"/>
  <c r="G92" i="1"/>
  <c r="L91" i="1"/>
  <c r="K91" i="1"/>
  <c r="J91" i="1"/>
  <c r="I91" i="1"/>
  <c r="H91" i="1"/>
  <c r="G91" i="1"/>
  <c r="L90" i="1"/>
  <c r="K90" i="1"/>
  <c r="J90" i="1"/>
  <c r="I90" i="1"/>
  <c r="H90" i="1"/>
  <c r="G90" i="1"/>
  <c r="L89" i="1"/>
  <c r="K89" i="1"/>
  <c r="J89" i="1"/>
  <c r="I89" i="1"/>
  <c r="H89" i="1"/>
  <c r="G89" i="1"/>
  <c r="L88" i="1"/>
  <c r="K88" i="1"/>
  <c r="J88" i="1"/>
  <c r="I88" i="1"/>
  <c r="H88" i="1"/>
  <c r="G88" i="1"/>
  <c r="L87" i="1"/>
  <c r="K87" i="1"/>
  <c r="J87" i="1"/>
  <c r="I87" i="1"/>
  <c r="H87" i="1"/>
  <c r="G87" i="1"/>
  <c r="L86" i="1"/>
  <c r="K86" i="1"/>
  <c r="J86" i="1"/>
  <c r="I86" i="1"/>
  <c r="H86" i="1"/>
  <c r="G86" i="1"/>
  <c r="L85" i="1"/>
  <c r="K85" i="1"/>
  <c r="J85" i="1"/>
  <c r="I85" i="1"/>
  <c r="H85" i="1"/>
  <c r="G85" i="1"/>
  <c r="L84" i="1"/>
  <c r="K84" i="1"/>
  <c r="J84" i="1"/>
  <c r="I84" i="1"/>
  <c r="H84" i="1"/>
  <c r="G84" i="1"/>
  <c r="L83" i="1"/>
  <c r="K83" i="1"/>
  <c r="J83" i="1"/>
  <c r="I83" i="1"/>
  <c r="H83" i="1"/>
  <c r="G83" i="1"/>
  <c r="L82" i="1"/>
  <c r="K82" i="1"/>
  <c r="J82" i="1"/>
  <c r="I82" i="1"/>
  <c r="H82" i="1"/>
  <c r="G82" i="1"/>
  <c r="L81" i="1"/>
  <c r="K81" i="1"/>
  <c r="J81" i="1"/>
  <c r="I81" i="1"/>
  <c r="H81" i="1"/>
  <c r="G81" i="1"/>
  <c r="L80" i="1"/>
  <c r="K80" i="1"/>
  <c r="J80" i="1"/>
  <c r="I80" i="1"/>
  <c r="H80" i="1"/>
  <c r="G80" i="1"/>
  <c r="L79" i="1"/>
  <c r="K79" i="1"/>
  <c r="J79" i="1"/>
  <c r="I79" i="1"/>
  <c r="H79" i="1"/>
  <c r="G79" i="1"/>
  <c r="L78" i="1"/>
  <c r="K78" i="1"/>
  <c r="J78" i="1"/>
  <c r="I78" i="1"/>
  <c r="H78" i="1"/>
  <c r="G78" i="1"/>
  <c r="L77" i="1"/>
  <c r="K77" i="1"/>
  <c r="J77" i="1"/>
  <c r="I77" i="1"/>
  <c r="H77" i="1"/>
  <c r="G77" i="1"/>
  <c r="L76" i="1"/>
  <c r="K76" i="1"/>
  <c r="J76" i="1"/>
  <c r="I76" i="1"/>
  <c r="H76" i="1"/>
  <c r="G76" i="1"/>
  <c r="L75" i="1"/>
  <c r="N75" i="1" s="1"/>
  <c r="O75" i="1" s="1"/>
  <c r="P75" i="1" s="1"/>
  <c r="Q75" i="1" s="1"/>
  <c r="R75" i="1" s="1"/>
  <c r="K75" i="1"/>
  <c r="J75" i="1"/>
  <c r="I75" i="1"/>
  <c r="H75" i="1"/>
  <c r="G75" i="1"/>
  <c r="L74" i="1"/>
  <c r="K74" i="1"/>
  <c r="J74" i="1"/>
  <c r="I74" i="1"/>
  <c r="H74" i="1"/>
  <c r="G74" i="1"/>
  <c r="L73" i="1"/>
  <c r="K73" i="1"/>
  <c r="J73" i="1"/>
  <c r="I73" i="1"/>
  <c r="H73" i="1"/>
  <c r="G73" i="1"/>
  <c r="L72" i="1"/>
  <c r="K72" i="1"/>
  <c r="J72" i="1"/>
  <c r="I72" i="1"/>
  <c r="H72" i="1"/>
  <c r="G72" i="1"/>
  <c r="L71" i="1"/>
  <c r="K71" i="1"/>
  <c r="J71" i="1"/>
  <c r="I71" i="1"/>
  <c r="H71" i="1"/>
  <c r="G71" i="1"/>
  <c r="L70" i="1"/>
  <c r="K70" i="1"/>
  <c r="N70" i="1" s="1"/>
  <c r="O70" i="1" s="1"/>
  <c r="P70" i="1" s="1"/>
  <c r="Q70" i="1" s="1"/>
  <c r="R70" i="1" s="1"/>
  <c r="J70" i="1"/>
  <c r="I70" i="1"/>
  <c r="H70" i="1"/>
  <c r="G70" i="1"/>
  <c r="L69" i="1"/>
  <c r="K69" i="1"/>
  <c r="J69" i="1"/>
  <c r="I69" i="1"/>
  <c r="H69" i="1"/>
  <c r="G69" i="1"/>
  <c r="L68" i="1"/>
  <c r="K68" i="1"/>
  <c r="J68" i="1"/>
  <c r="I68" i="1"/>
  <c r="H68" i="1"/>
  <c r="G68" i="1"/>
  <c r="L67" i="1"/>
  <c r="K67" i="1"/>
  <c r="J67" i="1"/>
  <c r="I67" i="1"/>
  <c r="H67" i="1"/>
  <c r="G67" i="1"/>
  <c r="L66" i="1"/>
  <c r="K66" i="1"/>
  <c r="J66" i="1"/>
  <c r="I66" i="1"/>
  <c r="H66" i="1"/>
  <c r="G66" i="1"/>
  <c r="L65" i="1"/>
  <c r="K65" i="1"/>
  <c r="J65" i="1"/>
  <c r="I65" i="1"/>
  <c r="H65" i="1"/>
  <c r="G65" i="1"/>
  <c r="L64" i="1"/>
  <c r="K64" i="1"/>
  <c r="J64" i="1"/>
  <c r="I64" i="1"/>
  <c r="H64" i="1"/>
  <c r="G64" i="1"/>
  <c r="L63" i="1"/>
  <c r="K63" i="1"/>
  <c r="J63" i="1"/>
  <c r="I63" i="1"/>
  <c r="H63" i="1"/>
  <c r="G63" i="1"/>
  <c r="L62" i="1"/>
  <c r="K62" i="1"/>
  <c r="J62" i="1"/>
  <c r="I62" i="1"/>
  <c r="H62" i="1"/>
  <c r="G62" i="1"/>
  <c r="L61" i="1"/>
  <c r="K61" i="1"/>
  <c r="J61" i="1"/>
  <c r="I61" i="1"/>
  <c r="H61" i="1"/>
  <c r="G61" i="1"/>
  <c r="L60" i="1"/>
  <c r="K60" i="1"/>
  <c r="J60" i="1"/>
  <c r="I60" i="1"/>
  <c r="H60" i="1"/>
  <c r="G60" i="1"/>
  <c r="L59" i="1"/>
  <c r="K59" i="1"/>
  <c r="J59" i="1"/>
  <c r="I59" i="1"/>
  <c r="H59" i="1"/>
  <c r="G59" i="1"/>
  <c r="L58" i="1"/>
  <c r="K58" i="1"/>
  <c r="J58" i="1"/>
  <c r="I58" i="1"/>
  <c r="H58" i="1"/>
  <c r="G58" i="1"/>
  <c r="L57" i="1"/>
  <c r="K57" i="1"/>
  <c r="J57" i="1"/>
  <c r="I57" i="1"/>
  <c r="H57" i="1"/>
  <c r="G57" i="1"/>
  <c r="L56" i="1"/>
  <c r="K56" i="1"/>
  <c r="J56" i="1"/>
  <c r="I56" i="1"/>
  <c r="H56" i="1"/>
  <c r="G56" i="1"/>
  <c r="L55" i="1"/>
  <c r="K55" i="1"/>
  <c r="J55" i="1"/>
  <c r="I55" i="1"/>
  <c r="H55" i="1"/>
  <c r="G55" i="1"/>
  <c r="L54" i="1"/>
  <c r="K54" i="1"/>
  <c r="J54" i="1"/>
  <c r="I54" i="1"/>
  <c r="H54" i="1"/>
  <c r="G54" i="1"/>
  <c r="L53" i="1"/>
  <c r="K53" i="1"/>
  <c r="J53" i="1"/>
  <c r="I53" i="1"/>
  <c r="H53" i="1"/>
  <c r="G53" i="1"/>
  <c r="L52" i="1"/>
  <c r="K52" i="1"/>
  <c r="J52" i="1"/>
  <c r="I52" i="1"/>
  <c r="H52" i="1"/>
  <c r="G52" i="1"/>
  <c r="L51" i="1"/>
  <c r="K51" i="1"/>
  <c r="J51" i="1"/>
  <c r="I51" i="1"/>
  <c r="H51" i="1"/>
  <c r="G51" i="1"/>
  <c r="L50" i="1"/>
  <c r="K50" i="1"/>
  <c r="J50" i="1"/>
  <c r="I50" i="1"/>
  <c r="H50" i="1"/>
  <c r="G50" i="1"/>
  <c r="L49" i="1"/>
  <c r="K49" i="1"/>
  <c r="J49" i="1"/>
  <c r="I49" i="1"/>
  <c r="H49" i="1"/>
  <c r="G49" i="1"/>
  <c r="L48" i="1"/>
  <c r="K48" i="1"/>
  <c r="J48" i="1"/>
  <c r="I48" i="1"/>
  <c r="H48" i="1"/>
  <c r="G48" i="1"/>
  <c r="L47" i="1"/>
  <c r="K47" i="1"/>
  <c r="J47" i="1"/>
  <c r="I47" i="1"/>
  <c r="H47" i="1"/>
  <c r="G47" i="1"/>
  <c r="L46" i="1"/>
  <c r="K46" i="1"/>
  <c r="J46" i="1"/>
  <c r="I46" i="1"/>
  <c r="H46" i="1"/>
  <c r="G46" i="1"/>
  <c r="L45" i="1"/>
  <c r="K45" i="1"/>
  <c r="J45" i="1"/>
  <c r="I45" i="1"/>
  <c r="H45" i="1"/>
  <c r="G45" i="1"/>
  <c r="L44" i="1"/>
  <c r="K44" i="1"/>
  <c r="J44" i="1"/>
  <c r="I44" i="1"/>
  <c r="H44" i="1"/>
  <c r="G44" i="1"/>
  <c r="L43" i="1"/>
  <c r="K43" i="1"/>
  <c r="J43" i="1"/>
  <c r="I43" i="1"/>
  <c r="H43" i="1"/>
  <c r="G43" i="1"/>
  <c r="L42" i="1"/>
  <c r="K42" i="1"/>
  <c r="J42" i="1"/>
  <c r="I42" i="1"/>
  <c r="H42" i="1"/>
  <c r="G42" i="1"/>
  <c r="L41" i="1"/>
  <c r="K41" i="1"/>
  <c r="J41" i="1"/>
  <c r="I41" i="1"/>
  <c r="H41" i="1"/>
  <c r="G41" i="1"/>
  <c r="L40" i="1"/>
  <c r="K40" i="1"/>
  <c r="J40" i="1"/>
  <c r="I40" i="1"/>
  <c r="H40" i="1"/>
  <c r="G40" i="1"/>
  <c r="L39" i="1"/>
  <c r="K39" i="1"/>
  <c r="J39" i="1"/>
  <c r="I39" i="1"/>
  <c r="H39" i="1"/>
  <c r="G39" i="1"/>
  <c r="L38" i="1"/>
  <c r="K38" i="1"/>
  <c r="J38" i="1"/>
  <c r="I38" i="1"/>
  <c r="H38" i="1"/>
  <c r="G38" i="1"/>
  <c r="L37" i="1"/>
  <c r="K37" i="1"/>
  <c r="J37" i="1"/>
  <c r="I37" i="1"/>
  <c r="H37" i="1"/>
  <c r="G37" i="1"/>
  <c r="L36" i="1"/>
  <c r="K36" i="1"/>
  <c r="J36" i="1"/>
  <c r="I36" i="1"/>
  <c r="H36" i="1"/>
  <c r="G36" i="1"/>
  <c r="L35" i="1"/>
  <c r="K35" i="1"/>
  <c r="J35" i="1"/>
  <c r="I35" i="1"/>
  <c r="H35" i="1"/>
  <c r="G35" i="1"/>
  <c r="L34" i="1"/>
  <c r="K34" i="1"/>
  <c r="J34" i="1"/>
  <c r="I34" i="1"/>
  <c r="H34" i="1"/>
  <c r="G34" i="1"/>
  <c r="L33" i="1"/>
  <c r="K33" i="1"/>
  <c r="J33" i="1"/>
  <c r="I33" i="1"/>
  <c r="H33" i="1"/>
  <c r="G33" i="1"/>
  <c r="L32" i="1"/>
  <c r="K32" i="1"/>
  <c r="J32" i="1"/>
  <c r="I32" i="1"/>
  <c r="H32" i="1"/>
  <c r="G32" i="1"/>
  <c r="L31" i="1"/>
  <c r="K31" i="1"/>
  <c r="J31" i="1"/>
  <c r="I31" i="1"/>
  <c r="H31" i="1"/>
  <c r="G31" i="1"/>
  <c r="L30" i="1"/>
  <c r="K30" i="1"/>
  <c r="J30" i="1"/>
  <c r="I30" i="1"/>
  <c r="H30" i="1"/>
  <c r="G30" i="1"/>
  <c r="L29" i="1"/>
  <c r="K29" i="1"/>
  <c r="J29" i="1"/>
  <c r="I29" i="1"/>
  <c r="H29" i="1"/>
  <c r="G29" i="1"/>
  <c r="L28" i="1"/>
  <c r="K28" i="1"/>
  <c r="J28" i="1"/>
  <c r="I28" i="1"/>
  <c r="H28" i="1"/>
  <c r="G28" i="1"/>
  <c r="L27" i="1"/>
  <c r="K27" i="1"/>
  <c r="J27" i="1"/>
  <c r="I27" i="1"/>
  <c r="H27" i="1"/>
  <c r="G27" i="1"/>
  <c r="L26" i="1"/>
  <c r="K26" i="1"/>
  <c r="J26" i="1"/>
  <c r="I26" i="1"/>
  <c r="H26" i="1"/>
  <c r="G26" i="1"/>
  <c r="L25" i="1"/>
  <c r="K25" i="1"/>
  <c r="J25" i="1"/>
  <c r="I25" i="1"/>
  <c r="H25" i="1"/>
  <c r="G25" i="1"/>
  <c r="L24" i="1"/>
  <c r="K24" i="1"/>
  <c r="J24" i="1"/>
  <c r="I24" i="1"/>
  <c r="H24" i="1"/>
  <c r="G24" i="1"/>
  <c r="L23" i="1"/>
  <c r="K23" i="1"/>
  <c r="J23" i="1"/>
  <c r="I23" i="1"/>
  <c r="H23" i="1"/>
  <c r="G23" i="1"/>
  <c r="L22" i="1"/>
  <c r="K22" i="1"/>
  <c r="J22" i="1"/>
  <c r="I22" i="1"/>
  <c r="H22" i="1"/>
  <c r="G22" i="1"/>
  <c r="L21" i="1"/>
  <c r="K21" i="1"/>
  <c r="J21" i="1"/>
  <c r="I21" i="1"/>
  <c r="H21" i="1"/>
  <c r="G21" i="1"/>
  <c r="L20" i="1"/>
  <c r="K20" i="1"/>
  <c r="J20" i="1"/>
  <c r="I20" i="1"/>
  <c r="H20" i="1"/>
  <c r="G20" i="1"/>
  <c r="L19" i="1"/>
  <c r="K19" i="1"/>
  <c r="J19" i="1"/>
  <c r="I19" i="1"/>
  <c r="H19" i="1"/>
  <c r="J18" i="1"/>
  <c r="I18" i="1"/>
  <c r="H18" i="1"/>
  <c r="G19" i="1"/>
  <c r="L18" i="1"/>
  <c r="K18" i="1"/>
  <c r="G18" i="1"/>
  <c r="O9" i="15"/>
  <c r="N54" i="1" l="1"/>
  <c r="O54" i="1" s="1"/>
  <c r="P54" i="1" s="1"/>
  <c r="Q54" i="1" s="1"/>
  <c r="R54" i="1" s="1"/>
  <c r="N68" i="1"/>
  <c r="O68" i="1" s="1"/>
  <c r="P68" i="1" s="1"/>
  <c r="Q68" i="1" s="1"/>
  <c r="R68" i="1" s="1"/>
  <c r="N36" i="1"/>
  <c r="O36" i="1" s="1"/>
  <c r="P36" i="1" s="1"/>
  <c r="Q36" i="1" s="1"/>
  <c r="R36" i="1" s="1"/>
  <c r="N83" i="1"/>
  <c r="O83" i="1" s="1"/>
  <c r="P83" i="1" s="1"/>
  <c r="Q83" i="1" s="1"/>
  <c r="R83" i="1" s="1"/>
  <c r="N21" i="1"/>
  <c r="O21" i="1" s="1"/>
  <c r="P21" i="1" s="1"/>
  <c r="Q21" i="1" s="1"/>
  <c r="R21" i="1" s="1"/>
  <c r="N69" i="1"/>
  <c r="O69" i="1" s="1"/>
  <c r="P69" i="1" s="1"/>
  <c r="Q69" i="1" s="1"/>
  <c r="R69" i="1" s="1"/>
  <c r="S102" i="1"/>
  <c r="N53" i="1"/>
  <c r="O53" i="1" s="1"/>
  <c r="P53" i="1" s="1"/>
  <c r="Q53" i="1" s="1"/>
  <c r="R53" i="1" s="1"/>
  <c r="N84" i="1"/>
  <c r="O84" i="1" s="1"/>
  <c r="P84" i="1" s="1"/>
  <c r="Q84" i="1" s="1"/>
  <c r="R84" i="1" s="1"/>
  <c r="N19" i="1"/>
  <c r="O19" i="1" s="1"/>
  <c r="P19" i="1" s="1"/>
  <c r="Q19" i="1" s="1"/>
  <c r="R19" i="1" s="1"/>
  <c r="N23" i="1"/>
  <c r="O23" i="1" s="1"/>
  <c r="P23" i="1" s="1"/>
  <c r="Q23" i="1" s="1"/>
  <c r="R23" i="1" s="1"/>
  <c r="N27" i="1"/>
  <c r="O27" i="1" s="1"/>
  <c r="P27" i="1" s="1"/>
  <c r="Q27" i="1" s="1"/>
  <c r="R27" i="1" s="1"/>
  <c r="N31" i="1"/>
  <c r="O31" i="1" s="1"/>
  <c r="P31" i="1" s="1"/>
  <c r="Q31" i="1" s="1"/>
  <c r="R31" i="1" s="1"/>
  <c r="N35" i="1"/>
  <c r="O35" i="1" s="1"/>
  <c r="P35" i="1" s="1"/>
  <c r="Q35" i="1" s="1"/>
  <c r="R35" i="1" s="1"/>
  <c r="N39" i="1"/>
  <c r="O39" i="1" s="1"/>
  <c r="P39" i="1" s="1"/>
  <c r="Q39" i="1" s="1"/>
  <c r="R39" i="1" s="1"/>
  <c r="N43" i="1"/>
  <c r="O43" i="1" s="1"/>
  <c r="P43" i="1" s="1"/>
  <c r="Q43" i="1" s="1"/>
  <c r="R43" i="1" s="1"/>
  <c r="N47" i="1"/>
  <c r="O47" i="1" s="1"/>
  <c r="P47" i="1" s="1"/>
  <c r="Q47" i="1" s="1"/>
  <c r="R47" i="1" s="1"/>
  <c r="N51" i="1"/>
  <c r="O51" i="1" s="1"/>
  <c r="P51" i="1" s="1"/>
  <c r="Q51" i="1" s="1"/>
  <c r="R51" i="1" s="1"/>
  <c r="N55" i="1"/>
  <c r="O55" i="1" s="1"/>
  <c r="P55" i="1" s="1"/>
  <c r="Q55" i="1" s="1"/>
  <c r="R55" i="1" s="1"/>
  <c r="S55" i="1" s="1"/>
  <c r="N59" i="1"/>
  <c r="O59" i="1" s="1"/>
  <c r="P59" i="1" s="1"/>
  <c r="Q59" i="1" s="1"/>
  <c r="R59" i="1" s="1"/>
  <c r="N63" i="1"/>
  <c r="O63" i="1" s="1"/>
  <c r="P63" i="1" s="1"/>
  <c r="Q63" i="1" s="1"/>
  <c r="R63" i="1" s="1"/>
  <c r="N71" i="1"/>
  <c r="O71" i="1" s="1"/>
  <c r="P71" i="1" s="1"/>
  <c r="Q71" i="1" s="1"/>
  <c r="R71" i="1" s="1"/>
  <c r="N79" i="1"/>
  <c r="O79" i="1" s="1"/>
  <c r="P79" i="1" s="1"/>
  <c r="Q79" i="1" s="1"/>
  <c r="R79" i="1" s="1"/>
  <c r="N87" i="1"/>
  <c r="O87" i="1" s="1"/>
  <c r="P87" i="1" s="1"/>
  <c r="Q87" i="1" s="1"/>
  <c r="R87" i="1" s="1"/>
  <c r="N91" i="1"/>
  <c r="O91" i="1" s="1"/>
  <c r="P91" i="1" s="1"/>
  <c r="Q91" i="1" s="1"/>
  <c r="R91" i="1" s="1"/>
  <c r="N95" i="1"/>
  <c r="O95" i="1" s="1"/>
  <c r="P95" i="1" s="1"/>
  <c r="Q95" i="1" s="1"/>
  <c r="R95" i="1" s="1"/>
  <c r="N99" i="1"/>
  <c r="O99" i="1" s="1"/>
  <c r="P99" i="1" s="1"/>
  <c r="Q99" i="1" s="1"/>
  <c r="R99" i="1" s="1"/>
  <c r="N30" i="1"/>
  <c r="O30" i="1" s="1"/>
  <c r="P30" i="1" s="1"/>
  <c r="Q30" i="1" s="1"/>
  <c r="R30" i="1" s="1"/>
  <c r="N38" i="1"/>
  <c r="O38" i="1" s="1"/>
  <c r="P38" i="1" s="1"/>
  <c r="Q38" i="1" s="1"/>
  <c r="R38" i="1" s="1"/>
  <c r="N46" i="1"/>
  <c r="O46" i="1" s="1"/>
  <c r="P46" i="1" s="1"/>
  <c r="Q46" i="1" s="1"/>
  <c r="R46" i="1" s="1"/>
  <c r="N62" i="1"/>
  <c r="O62" i="1" s="1"/>
  <c r="P62" i="1" s="1"/>
  <c r="Q62" i="1" s="1"/>
  <c r="R62" i="1" s="1"/>
  <c r="N86" i="1"/>
  <c r="O86" i="1" s="1"/>
  <c r="P86" i="1" s="1"/>
  <c r="Q86" i="1" s="1"/>
  <c r="R86" i="1" s="1"/>
  <c r="N41" i="1"/>
  <c r="O41" i="1" s="1"/>
  <c r="P41" i="1" s="1"/>
  <c r="Q41" i="1" s="1"/>
  <c r="R41" i="1" s="1"/>
  <c r="N77" i="1"/>
  <c r="O77" i="1" s="1"/>
  <c r="P77" i="1" s="1"/>
  <c r="Q77" i="1" s="1"/>
  <c r="R77" i="1" s="1"/>
  <c r="N29" i="1"/>
  <c r="O29" i="1" s="1"/>
  <c r="P29" i="1" s="1"/>
  <c r="Q29" i="1" s="1"/>
  <c r="R29" i="1" s="1"/>
  <c r="N45" i="1"/>
  <c r="O45" i="1" s="1"/>
  <c r="P45" i="1" s="1"/>
  <c r="Q45" i="1" s="1"/>
  <c r="R45" i="1" s="1"/>
  <c r="N61" i="1"/>
  <c r="O61" i="1" s="1"/>
  <c r="P61" i="1" s="1"/>
  <c r="Q61" i="1" s="1"/>
  <c r="R61" i="1" s="1"/>
  <c r="N85" i="1"/>
  <c r="O85" i="1" s="1"/>
  <c r="P85" i="1" s="1"/>
  <c r="Q85" i="1" s="1"/>
  <c r="R85" i="1" s="1"/>
  <c r="N24" i="1"/>
  <c r="O24" i="1" s="1"/>
  <c r="P24" i="1" s="1"/>
  <c r="Q24" i="1" s="1"/>
  <c r="R24" i="1" s="1"/>
  <c r="N40" i="1"/>
  <c r="O40" i="1" s="1"/>
  <c r="P40" i="1" s="1"/>
  <c r="Q40" i="1" s="1"/>
  <c r="R40" i="1" s="1"/>
  <c r="S40" i="1" s="1"/>
  <c r="N44" i="1"/>
  <c r="O44" i="1" s="1"/>
  <c r="P44" i="1" s="1"/>
  <c r="Q44" i="1" s="1"/>
  <c r="R44" i="1" s="1"/>
  <c r="N52" i="1"/>
  <c r="O52" i="1" s="1"/>
  <c r="P52" i="1" s="1"/>
  <c r="Q52" i="1" s="1"/>
  <c r="R52" i="1" s="1"/>
  <c r="N60" i="1"/>
  <c r="O60" i="1" s="1"/>
  <c r="P60" i="1" s="1"/>
  <c r="Q60" i="1" s="1"/>
  <c r="R60" i="1" s="1"/>
  <c r="N76" i="1"/>
  <c r="O76" i="1" s="1"/>
  <c r="P76" i="1" s="1"/>
  <c r="Q76" i="1" s="1"/>
  <c r="R76" i="1" s="1"/>
  <c r="N92" i="1"/>
  <c r="O92" i="1" s="1"/>
  <c r="P92" i="1" s="1"/>
  <c r="Q92" i="1" s="1"/>
  <c r="R92" i="1" s="1"/>
  <c r="N22" i="1"/>
  <c r="O22" i="1" s="1"/>
  <c r="P22" i="1" s="1"/>
  <c r="Q22" i="1" s="1"/>
  <c r="R22" i="1" s="1"/>
  <c r="N78" i="1"/>
  <c r="O78" i="1" s="1"/>
  <c r="P78" i="1" s="1"/>
  <c r="Q78" i="1" s="1"/>
  <c r="R78" i="1" s="1"/>
  <c r="N94" i="1"/>
  <c r="O94" i="1" s="1"/>
  <c r="P94" i="1" s="1"/>
  <c r="Q94" i="1" s="1"/>
  <c r="R94" i="1" s="1"/>
  <c r="N93" i="1"/>
  <c r="O93" i="1" s="1"/>
  <c r="P93" i="1" s="1"/>
  <c r="Q93" i="1" s="1"/>
  <c r="R93" i="1" s="1"/>
  <c r="N20" i="1"/>
  <c r="O20" i="1" s="1"/>
  <c r="P20" i="1" s="1"/>
  <c r="Q20" i="1" s="1"/>
  <c r="R20" i="1" s="1"/>
  <c r="N28" i="1"/>
  <c r="O28" i="1" s="1"/>
  <c r="P28" i="1" s="1"/>
  <c r="Q28" i="1" s="1"/>
  <c r="R28" i="1" s="1"/>
  <c r="N32" i="1"/>
  <c r="O32" i="1" s="1"/>
  <c r="P32" i="1" s="1"/>
  <c r="Q32" i="1" s="1"/>
  <c r="R32" i="1" s="1"/>
  <c r="S75" i="1"/>
  <c r="S36" i="1"/>
  <c r="N25" i="1"/>
  <c r="O25" i="1" s="1"/>
  <c r="P25" i="1" s="1"/>
  <c r="Q25" i="1" s="1"/>
  <c r="R25" i="1" s="1"/>
  <c r="N33" i="1"/>
  <c r="O33" i="1" s="1"/>
  <c r="P33" i="1" s="1"/>
  <c r="Q33" i="1" s="1"/>
  <c r="R33" i="1" s="1"/>
  <c r="N65" i="1"/>
  <c r="O65" i="1" s="1"/>
  <c r="P65" i="1" s="1"/>
  <c r="Q65" i="1" s="1"/>
  <c r="R65" i="1" s="1"/>
  <c r="N97" i="1"/>
  <c r="O97" i="1" s="1"/>
  <c r="P97" i="1" s="1"/>
  <c r="Q97" i="1" s="1"/>
  <c r="R97" i="1" s="1"/>
  <c r="N26" i="1"/>
  <c r="O26" i="1" s="1"/>
  <c r="P26" i="1" s="1"/>
  <c r="Q26" i="1" s="1"/>
  <c r="R26" i="1" s="1"/>
  <c r="N50" i="1"/>
  <c r="O50" i="1" s="1"/>
  <c r="P50" i="1" s="1"/>
  <c r="Q50" i="1" s="1"/>
  <c r="R50" i="1" s="1"/>
  <c r="N58" i="1"/>
  <c r="O58" i="1" s="1"/>
  <c r="P58" i="1" s="1"/>
  <c r="Q58" i="1" s="1"/>
  <c r="R58" i="1" s="1"/>
  <c r="N66" i="1"/>
  <c r="O66" i="1" s="1"/>
  <c r="P66" i="1" s="1"/>
  <c r="Q66" i="1" s="1"/>
  <c r="R66" i="1" s="1"/>
  <c r="N82" i="1"/>
  <c r="O82" i="1" s="1"/>
  <c r="P82" i="1" s="1"/>
  <c r="Q82" i="1" s="1"/>
  <c r="R82" i="1" s="1"/>
  <c r="N89" i="1"/>
  <c r="O89" i="1" s="1"/>
  <c r="P89" i="1" s="1"/>
  <c r="Q89" i="1" s="1"/>
  <c r="R89" i="1" s="1"/>
  <c r="N48" i="1"/>
  <c r="O48" i="1" s="1"/>
  <c r="P48" i="1" s="1"/>
  <c r="Q48" i="1" s="1"/>
  <c r="R48" i="1" s="1"/>
  <c r="N56" i="1"/>
  <c r="O56" i="1" s="1"/>
  <c r="P56" i="1" s="1"/>
  <c r="Q56" i="1" s="1"/>
  <c r="R56" i="1" s="1"/>
  <c r="N64" i="1"/>
  <c r="O64" i="1" s="1"/>
  <c r="P64" i="1" s="1"/>
  <c r="Q64" i="1" s="1"/>
  <c r="R64" i="1" s="1"/>
  <c r="N72" i="1"/>
  <c r="O72" i="1" s="1"/>
  <c r="P72" i="1" s="1"/>
  <c r="Q72" i="1" s="1"/>
  <c r="R72" i="1" s="1"/>
  <c r="N80" i="1"/>
  <c r="O80" i="1" s="1"/>
  <c r="P80" i="1" s="1"/>
  <c r="Q80" i="1" s="1"/>
  <c r="R80" i="1" s="1"/>
  <c r="N88" i="1"/>
  <c r="O88" i="1" s="1"/>
  <c r="P88" i="1" s="1"/>
  <c r="Q88" i="1" s="1"/>
  <c r="R88" i="1" s="1"/>
  <c r="N96" i="1"/>
  <c r="O96" i="1" s="1"/>
  <c r="P96" i="1" s="1"/>
  <c r="Q96" i="1" s="1"/>
  <c r="R96" i="1" s="1"/>
  <c r="N34" i="1"/>
  <c r="O34" i="1" s="1"/>
  <c r="P34" i="1" s="1"/>
  <c r="Q34" i="1" s="1"/>
  <c r="R34" i="1" s="1"/>
  <c r="N74" i="1"/>
  <c r="O74" i="1" s="1"/>
  <c r="P74" i="1" s="1"/>
  <c r="Q74" i="1" s="1"/>
  <c r="R74" i="1" s="1"/>
  <c r="N37" i="1"/>
  <c r="O37" i="1" s="1"/>
  <c r="P37" i="1" s="1"/>
  <c r="Q37" i="1" s="1"/>
  <c r="R37" i="1" s="1"/>
  <c r="S37" i="1" s="1"/>
  <c r="N49" i="1"/>
  <c r="O49" i="1" s="1"/>
  <c r="P49" i="1" s="1"/>
  <c r="Q49" i="1" s="1"/>
  <c r="R49" i="1" s="1"/>
  <c r="N57" i="1"/>
  <c r="O57" i="1" s="1"/>
  <c r="P57" i="1" s="1"/>
  <c r="Q57" i="1" s="1"/>
  <c r="R57" i="1" s="1"/>
  <c r="N73" i="1"/>
  <c r="O73" i="1" s="1"/>
  <c r="P73" i="1" s="1"/>
  <c r="Q73" i="1" s="1"/>
  <c r="R73" i="1" s="1"/>
  <c r="N81" i="1"/>
  <c r="O81" i="1" s="1"/>
  <c r="P81" i="1" s="1"/>
  <c r="Q81" i="1" s="1"/>
  <c r="R81" i="1" s="1"/>
  <c r="S54" i="1"/>
  <c r="N42" i="1"/>
  <c r="O42" i="1" s="1"/>
  <c r="P42" i="1" s="1"/>
  <c r="Q42" i="1" s="1"/>
  <c r="R42" i="1" s="1"/>
  <c r="N90" i="1"/>
  <c r="O90" i="1" s="1"/>
  <c r="P90" i="1" s="1"/>
  <c r="Q90" i="1" s="1"/>
  <c r="R90" i="1" s="1"/>
  <c r="N98" i="1"/>
  <c r="O98" i="1" s="1"/>
  <c r="P98" i="1" s="1"/>
  <c r="Q98" i="1" s="1"/>
  <c r="R98" i="1" s="1"/>
  <c r="S67" i="1"/>
  <c r="S68" i="1"/>
  <c r="S70" i="1"/>
  <c r="S69" i="1" l="1"/>
  <c r="S87" i="1"/>
  <c r="S83" i="1"/>
  <c r="S78" i="1"/>
  <c r="S53" i="1"/>
  <c r="S43" i="1"/>
  <c r="S21" i="1"/>
  <c r="S79" i="1"/>
  <c r="S93" i="1"/>
  <c r="S95" i="1"/>
  <c r="S71" i="1"/>
  <c r="S59" i="1"/>
  <c r="S27" i="1"/>
  <c r="S45" i="1"/>
  <c r="S23" i="1"/>
  <c r="S99" i="1"/>
  <c r="S19" i="1"/>
  <c r="S38" i="1"/>
  <c r="S28" i="1"/>
  <c r="S30" i="1"/>
  <c r="S32" i="1"/>
  <c r="S94" i="1"/>
  <c r="S31" i="1"/>
  <c r="S61" i="1"/>
  <c r="S91" i="1"/>
  <c r="S46" i="1"/>
  <c r="S39" i="1"/>
  <c r="S92" i="1"/>
  <c r="S85" i="1"/>
  <c r="S51" i="1"/>
  <c r="S84" i="1"/>
  <c r="S77" i="1"/>
  <c r="S20" i="1"/>
  <c r="S63" i="1"/>
  <c r="S76" i="1"/>
  <c r="S22" i="1"/>
  <c r="S35" i="1"/>
  <c r="S47" i="1"/>
  <c r="S86" i="1"/>
  <c r="S44" i="1"/>
  <c r="S41" i="1"/>
  <c r="S29" i="1"/>
  <c r="S52" i="1"/>
  <c r="S60" i="1"/>
  <c r="S62" i="1"/>
  <c r="S24" i="1"/>
  <c r="S34" i="1"/>
  <c r="S66" i="1"/>
  <c r="S50" i="1"/>
  <c r="S80" i="1"/>
  <c r="S58" i="1"/>
  <c r="S72" i="1"/>
  <c r="S64" i="1"/>
  <c r="S33" i="1"/>
  <c r="S90" i="1"/>
  <c r="S56" i="1"/>
  <c r="S82" i="1"/>
  <c r="S25" i="1"/>
  <c r="S74" i="1"/>
  <c r="S88" i="1"/>
  <c r="S48" i="1"/>
  <c r="S81" i="1"/>
  <c r="S98" i="1"/>
  <c r="S73" i="1"/>
  <c r="S49" i="1"/>
  <c r="S26" i="1"/>
  <c r="S89" i="1"/>
  <c r="S97" i="1"/>
  <c r="S96" i="1"/>
  <c r="S57" i="1"/>
  <c r="S65" i="1"/>
  <c r="S42" i="1"/>
  <c r="N18" i="1"/>
  <c r="O18" i="1" s="1"/>
  <c r="P18" i="1" s="1"/>
  <c r="Q18" i="1" s="1"/>
  <c r="R18" i="1" s="1"/>
  <c r="S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Tuerksen Utku (CP/PUQ3)</author>
    <author>Dudek Jaroslaw (GS/PSD32)</author>
    <author>Grund Martin (CP/TSC-EU)</author>
  </authors>
  <commentList>
    <comment ref="C17" authorId="0" shapeId="0" xr:uid="{334FCEB2-615E-E34A-A323-25E9AF1EDFDB}">
      <text>
        <r>
          <rPr>
            <sz val="10"/>
            <color rgb="FF000000"/>
            <rFont val="Arial"/>
            <family val="2"/>
            <charset val="1"/>
          </rPr>
          <t xml:space="preserve">- low (minor business impact, e. g.: loss of BI tool)
</t>
        </r>
        <r>
          <rPr>
            <sz val="10"/>
            <color rgb="FF000000"/>
            <rFont val="Arial"/>
            <family val="2"/>
            <charset val="1"/>
          </rPr>
          <t xml:space="preserve">- medium (medium business impact, e. g.: loss of engineering software, loss of Skype)
</t>
        </r>
        <r>
          <rPr>
            <sz val="10"/>
            <color rgb="FF000000"/>
            <rFont val="Arial"/>
            <family val="2"/>
            <charset val="1"/>
          </rPr>
          <t xml:space="preserve">- high (major business impact, e. g.: loss of ERP system)
</t>
        </r>
        <r>
          <rPr>
            <sz val="10"/>
            <color rgb="FF000000"/>
            <rFont val="Arial"/>
            <family val="2"/>
            <charset val="1"/>
          </rPr>
          <t>- unknown</t>
        </r>
      </text>
    </comment>
    <comment ref="D137" authorId="1" shapeId="0" xr:uid="{B78DA90A-0BCD-4590-BFAF-7073AD0F1780}">
      <text>
        <r>
          <rPr>
            <b/>
            <sz val="9"/>
            <color rgb="FF000000"/>
            <rFont val="Segoe UI"/>
            <family val="2"/>
            <charset val="1"/>
          </rPr>
          <t>Dudek Jaroslaw (GS/PSD32):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MRC</t>
        </r>
        <r>
          <rPr>
            <sz val="9"/>
            <color rgb="FF000000"/>
            <rFont val="Segoe UI"/>
            <family val="2"/>
            <charset val="1"/>
          </rPr>
          <t xml:space="preserve"> Managerial Root Caus
</t>
        </r>
        <r>
          <rPr>
            <b/>
            <sz val="9"/>
            <color rgb="FF000000"/>
            <rFont val="Segoe UI"/>
            <family val="2"/>
            <charset val="1"/>
          </rPr>
          <t>TRC</t>
        </r>
        <r>
          <rPr>
            <sz val="9"/>
            <color rgb="FF000000"/>
            <rFont val="Segoe UI"/>
            <family val="2"/>
            <charset val="1"/>
          </rPr>
          <t xml:space="preserve"> Technical Root Cause
</t>
        </r>
        <r>
          <rPr>
            <b/>
            <sz val="9"/>
            <color rgb="FF000000"/>
            <rFont val="Segoe UI"/>
            <family val="2"/>
            <charset val="1"/>
          </rPr>
          <t xml:space="preserve">Bug-Fix
</t>
        </r>
        <r>
          <rPr>
            <b/>
            <sz val="9"/>
            <color rgb="FF000000"/>
            <rFont val="Segoe UI"/>
            <family val="2"/>
            <charset val="1"/>
          </rPr>
          <t>Others</t>
        </r>
      </text>
    </comment>
    <comment ref="S137" authorId="2" shapeId="0" xr:uid="{31B60DF0-B4B3-4540-B387-9516258195BA}">
      <text>
        <r>
          <rPr>
            <b/>
            <sz val="9"/>
            <color rgb="FF000000"/>
            <rFont val="Segoe UI"/>
            <family val="2"/>
            <charset val="1"/>
          </rPr>
          <t xml:space="preserve">Estimated impact of measure on overall performance. 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Dudek Jaroslaw (GS/PSD32)</author>
  </authors>
  <commentList>
    <comment ref="C1" authorId="0" shapeId="0" xr:uid="{B26D7FCF-4E18-A740-B169-AF4D9824DFC7}">
      <text>
        <r>
          <rPr>
            <b/>
            <sz val="9"/>
            <color rgb="FF000000"/>
            <rFont val="Segoe UI"/>
            <family val="2"/>
            <charset val="1"/>
          </rPr>
          <t>Dudek Jaroslaw (GS/PSD32):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MRC</t>
        </r>
        <r>
          <rPr>
            <sz val="9"/>
            <color rgb="FF000000"/>
            <rFont val="Segoe UI"/>
            <family val="2"/>
            <charset val="1"/>
          </rPr>
          <t xml:space="preserve"> Managerial Root Caus
</t>
        </r>
        <r>
          <rPr>
            <b/>
            <sz val="9"/>
            <color rgb="FF000000"/>
            <rFont val="Segoe UI"/>
            <family val="2"/>
            <charset val="1"/>
          </rPr>
          <t>TRC</t>
        </r>
        <r>
          <rPr>
            <sz val="9"/>
            <color rgb="FF000000"/>
            <rFont val="Segoe UI"/>
            <family val="2"/>
            <charset val="1"/>
          </rPr>
          <t xml:space="preserve"> Technical Root Cause
</t>
        </r>
        <r>
          <rPr>
            <b/>
            <sz val="9"/>
            <color rgb="FF000000"/>
            <rFont val="Segoe UI"/>
            <family val="2"/>
            <charset val="1"/>
          </rPr>
          <t xml:space="preserve">Bug-Fix
</t>
        </r>
        <r>
          <rPr>
            <b/>
            <sz val="9"/>
            <color rgb="FF000000"/>
            <rFont val="Segoe UI"/>
            <family val="2"/>
            <charset val="1"/>
          </rPr>
          <t>Others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waf2abt</author>
  </authors>
  <commentList>
    <comment ref="E14" authorId="0" shapeId="0" xr:uid="{340378A7-4436-5042-9A23-B1B1F701AC82}">
      <text>
        <r>
          <rPr>
            <b/>
            <sz val="9"/>
            <color rgb="FF000000"/>
            <rFont val="Tahoma"/>
            <family val="2"/>
          </rPr>
          <t xml:space="preserve">waf2abt:
</t>
        </r>
        <r>
          <rPr>
            <sz val="16"/>
            <color rgb="FF000000"/>
            <rFont val="Tahoma"/>
            <family val="2"/>
          </rPr>
          <t>e.g. the direct cause from Ishikawa analysis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<sst xmlns="http://schemas.openxmlformats.org/spreadsheetml/2006/main" count="2136" uniqueCount="721">
  <si>
    <t>PDCA Chart
05.02.2026</t>
  </si>
  <si>
    <t>Problem</t>
  </si>
  <si>
    <t>Missing milestones &amp; timeliness</t>
  </si>
  <si>
    <t>Scope</t>
  </si>
  <si>
    <t>SF</t>
  </si>
  <si>
    <t>Lane</t>
  </si>
  <si>
    <t>Nov '25</t>
  </si>
  <si>
    <t>Dec '25</t>
  </si>
  <si>
    <t>Jan '26</t>
  </si>
  <si>
    <t>YTD</t>
  </si>
  <si>
    <t>Responsible</t>
  </si>
  <si>
    <t>Completeness (Critical)</t>
  </si>
  <si>
    <t>Timeliness (Critical)</t>
  </si>
  <si>
    <t>Maersk MOF execution</t>
  </si>
  <si>
    <t>Completeness (All)</t>
  </si>
  <si>
    <t>N/A</t>
  </si>
  <si>
    <t>Timeliness (All)</t>
  </si>
  <si>
    <t>ETA accuracy 2P</t>
  </si>
  <si>
    <t>Target</t>
  </si>
  <si>
    <t>Nr</t>
  </si>
  <si>
    <t>Main Problems</t>
  </si>
  <si>
    <t>Product
Impact</t>
  </si>
  <si>
    <t>Category</t>
  </si>
  <si>
    <t>W01</t>
  </si>
  <si>
    <t>W03</t>
  </si>
  <si>
    <t>W05</t>
  </si>
  <si>
    <t>W07</t>
  </si>
  <si>
    <t>W09</t>
  </si>
  <si>
    <t>W11</t>
  </si>
  <si>
    <t>high</t>
  </si>
  <si>
    <t>ETA accuracy 2D</t>
  </si>
  <si>
    <t>Plausability</t>
  </si>
  <si>
    <t>For "to Port" Shipments, milestone estimates are not received 7 days before of the actual Milestone event</t>
  </si>
  <si>
    <t>medium</t>
  </si>
  <si>
    <t>For "to Door" Shipments, milestone estimates are not received 7 days before of the actual Milestone event</t>
  </si>
  <si>
    <t>Milestones received by Bosch do not contain the CIV or DN reference</t>
  </si>
  <si>
    <t>Reference Completeness (SC4)</t>
  </si>
  <si>
    <t>6</t>
  </si>
  <si>
    <t>Milestone containing CIV or DN reference do not have the correct data</t>
  </si>
  <si>
    <t>Reference Quality (SC4)</t>
  </si>
  <si>
    <t>Milestones sent to Bosch do not follow a plausible date order</t>
  </si>
  <si>
    <t>Completeness</t>
  </si>
  <si>
    <t>Timeliness</t>
  </si>
  <si>
    <t>Nr.</t>
  </si>
  <si>
    <t>Measures</t>
  </si>
  <si>
    <t>Link to main problems</t>
  </si>
  <si>
    <t>Impact
(%)</t>
  </si>
  <si>
    <t>Status</t>
  </si>
  <si>
    <t>Action</t>
  </si>
  <si>
    <t>Review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</si>
  <si>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</si>
  <si>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</si>
  <si>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</si>
  <si>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</si>
  <si>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</si>
  <si>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</si>
  <si>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</si>
  <si>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</si>
  <si>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</si>
  <si>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</si>
  <si>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TS to review and address the data fields completition across Maersk systems (CW1, ALP, Seeburger) causing failures in the EDI delivery of critical milestones to Bosch system</t>
  </si>
  <si>
    <t>Maersk ( Akhil)</t>
  </si>
  <si>
    <t>r</t>
  </si>
  <si>
    <t>s</t>
  </si>
  <si>
    <t>8-12%</t>
  </si>
  <si>
    <t>P</t>
  </si>
  <si>
    <t>Immediate</t>
  </si>
  <si>
    <t>10-15%</t>
  </si>
  <si>
    <t>Optmise automation flow of ETD / ETA Milestones in operation system (CW1)</t>
  </si>
  <si>
    <t>Maersk (Timmy)</t>
  </si>
  <si>
    <t>85-90%</t>
  </si>
  <si>
    <t>Ramp up SC3 Volume from 40% to 80%</t>
  </si>
  <si>
    <t>Bosch</t>
  </si>
  <si>
    <t>4-8%</t>
  </si>
  <si>
    <t>10-14%</t>
  </si>
  <si>
    <t>Reference Quality</t>
  </si>
  <si>
    <t>10-12%</t>
  </si>
  <si>
    <t>Optimise automation flow of ETD / ETA Milestones in operation system (CW1)</t>
  </si>
  <si>
    <t>Implement Mandatory Field Validation in CW1 , causing EDI faliure</t>
  </si>
  <si>
    <t>5-8%</t>
  </si>
  <si>
    <t>Review Feasibility of Compliance AI Tool Matching Invoice &amp; Delivery Note Numbers</t>
  </si>
  <si>
    <t>Maersk (Harsh)</t>
  </si>
  <si>
    <t>5-7%</t>
  </si>
  <si>
    <t>Review the legacy system shipments flow for the branch in Japan</t>
  </si>
  <si>
    <t>Maersk ( Josh)</t>
  </si>
  <si>
    <t>2-4%</t>
  </si>
  <si>
    <t xml:space="preserve">Review the legacy system shipments flow for the branch in Japan </t>
  </si>
  <si>
    <t>Add Plausibility Measures into the Control Tower Dashboard</t>
  </si>
  <si>
    <t>MAersk ( Jacob)</t>
  </si>
  <si>
    <t>Implement date sequence field validation in CW1 for Milestone</t>
  </si>
  <si>
    <t>Retrigger missing Milestones for delivered Shipments</t>
  </si>
  <si>
    <t>Maersk ( Alberto)</t>
  </si>
  <si>
    <t>Dedicated Ops owner is 3 most afftected Regions (GCA + NEC + CSE) to focus on completness of Manual milestones S02, S31, S00</t>
  </si>
  <si>
    <t>Maersk (Ops)</t>
  </si>
  <si>
    <t>Dedicated Ops owner is 3 most afftected Regions (GCA + NEC + CSE) to focus on Timeliness of Manual milestones S02, S31, S00</t>
  </si>
  <si>
    <t>4-6%</t>
  </si>
  <si>
    <t>Status:</t>
  </si>
  <si>
    <t>Measure:</t>
  </si>
  <si>
    <r>
      <t xml:space="preserve">P </t>
    </r>
    <r>
      <rPr>
        <sz val="10"/>
        <color indexed="8"/>
        <rFont val="Bosch Office Sans"/>
        <family val="2"/>
      </rPr>
      <t xml:space="preserve">       </t>
    </r>
    <r>
      <rPr>
        <sz val="26"/>
        <color indexed="8"/>
        <rFont val="PDCA"/>
      </rPr>
      <t xml:space="preserve">C </t>
    </r>
    <r>
      <rPr>
        <sz val="10"/>
        <color indexed="8"/>
        <rFont val="Bosch Office Sans"/>
        <family val="2"/>
      </rPr>
      <t>Activity finished</t>
    </r>
  </si>
  <si>
    <t>P = Responsibility and due date defined</t>
  </si>
  <si>
    <t>D</t>
  </si>
  <si>
    <t xml:space="preserve"> D = Activity finished</t>
  </si>
  <si>
    <t>r = Planned beginning</t>
  </si>
  <si>
    <t>s = Planned end</t>
  </si>
  <si>
    <t>C</t>
  </si>
  <si>
    <t>C = Intermediate result achieved</t>
  </si>
  <si>
    <t>A</t>
  </si>
  <si>
    <t>A = Effectiveness proven</t>
  </si>
  <si>
    <t>p</t>
  </si>
  <si>
    <t>p = Actual beginning</t>
  </si>
  <si>
    <t>q</t>
  </si>
  <si>
    <t>q = Actual end</t>
  </si>
  <si>
    <t>Timeline</t>
  </si>
  <si>
    <t>measurements &amp; solution</t>
  </si>
  <si>
    <t>What is it for them</t>
  </si>
  <si>
    <t>SC4 - Weekly Milestone Data</t>
  </si>
  <si>
    <t>Critical Milestones: S00, S02, S04, S07, S31, S45</t>
  </si>
  <si>
    <t>Week 1</t>
  </si>
  <si>
    <t>Week 2</t>
  </si>
  <si>
    <t>Week 3</t>
  </si>
  <si>
    <t>Week 4</t>
  </si>
  <si>
    <t>Week 5</t>
  </si>
  <si>
    <t>Week 6</t>
  </si>
  <si>
    <t>Milestone</t>
  </si>
  <si>
    <t>Type</t>
  </si>
  <si>
    <t>Required</t>
  </si>
  <si>
    <t>Available</t>
  </si>
  <si>
    <t>In Time</t>
  </si>
  <si>
    <t>S00 - Shipment created</t>
  </si>
  <si>
    <t>Actual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</si>
  <si>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</si>
  <si>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</si>
  <si>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</si>
  <si>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</si>
  <si>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</si>
  <si>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</si>
  <si>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</si>
  <si>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</si>
  <si>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</si>
  <si>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</si>
  <si>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</si>
  <si>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</si>
  <si>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</si>
  <si>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</si>
  <si>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</si>
  <si>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</si>
  <si>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</si>
  <si>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SC3 - Weekly Milestone Data</t>
  </si>
  <si>
    <t>Critical Milestones: S02, S04, S07, S31, S45</t>
  </si>
  <si>
    <t>S60 - Pre-Booking confirmed</t>
  </si>
  <si>
    <t>S52 - Empty Container picked up</t>
  </si>
  <si>
    <t>S53 - Full Container loaded on vessel</t>
  </si>
  <si>
    <t>S54 - Full Container discharge from vessel</t>
  </si>
  <si>
    <t>S55 - Empty Container returned</t>
  </si>
  <si>
    <t>MAERSK Milestone Performance - Current State Analysis</t>
  </si>
  <si>
    <t>Overall Performance Summary</t>
  </si>
  <si>
    <t>Metric</t>
  </si>
  <si>
    <t>Current</t>
  </si>
  <si>
    <t>Gap</t>
  </si>
  <si>
    <t>Total Status Codes Required</t>
  </si>
  <si>
    <t>Overall Completion Rate</t>
  </si>
  <si>
    <t>Overall Timeliness Rate</t>
  </si>
  <si>
    <t>Milestone Performance Details</t>
  </si>
  <si>
    <t>Completion %</t>
  </si>
  <si>
    <t>Timeliness %</t>
  </si>
  <si>
    <t>Completion Gap</t>
  </si>
  <si>
    <t>Timeliness Gap</t>
  </si>
  <si>
    <t>Total Impact</t>
  </si>
  <si>
    <t>Cumulative %</t>
  </si>
  <si>
    <t>S61 - Pre-Booking declined</t>
  </si>
  <si>
    <t>Pareto Analysis - 80/20 Impact</t>
  </si>
  <si>
    <t>Key Insight: Top 11 milestones (48% of total) contribute 80% of the performance impact</t>
  </si>
  <si>
    <t>Rank</t>
  </si>
  <si>
    <t>Cumulative Impact</t>
  </si>
  <si>
    <t>Critical</t>
  </si>
  <si>
    <t>Container Level</t>
  </si>
  <si>
    <t>Region</t>
  </si>
  <si>
    <t>Action Item</t>
  </si>
  <si>
    <t>Metrics</t>
  </si>
  <si>
    <t>Priority</t>
  </si>
  <si>
    <t>Owner</t>
  </si>
  <si>
    <t>Name</t>
  </si>
  <si>
    <t>ETA</t>
  </si>
  <si>
    <t>EUR</t>
  </si>
  <si>
    <t>Check and confirm resourcing and FTE capacity to reach target by end April for the 3 areas: NEC, EME and CSE</t>
  </si>
  <si>
    <t>Missing Milestones</t>
  </si>
  <si>
    <t>P0</t>
  </si>
  <si>
    <t>Area and Region LCL Ops leader</t>
  </si>
  <si>
    <t>Christine Kühl</t>
  </si>
  <si>
    <t>Completed, all areas confirmed capacity needs and approvals needed.</t>
  </si>
  <si>
    <t>APA</t>
  </si>
  <si>
    <t>Check and confirm resourcing and FTE capacity to reach target by end April for the 3 areas: GCA, SEA, MEK</t>
  </si>
  <si>
    <t>Jos Raaymakers</t>
  </si>
  <si>
    <t>SEA confirmed capacity.  GCA to confirm back by 06-Feb.</t>
  </si>
  <si>
    <t>Improve reporting quality of milestone completeness (with filters) to enable operations to be proactive.</t>
  </si>
  <si>
    <t>Central reporting team</t>
  </si>
  <si>
    <t>Daily reporting to be enhanced for ops to be more proactive. Call on Monday to be followed by report refining.</t>
  </si>
  <si>
    <t>GCA</t>
  </si>
  <si>
    <t>Conduct root cause analysis for 1195 missing milestones</t>
  </si>
  <si>
    <t>Regional Ops Lead</t>
  </si>
  <si>
    <t>In Progress</t>
  </si>
  <si>
    <t>Implement mandatory field validation at booking for 1446 milestones</t>
  </si>
  <si>
    <t>Missing Mandatory</t>
  </si>
  <si>
    <t>Not Started</t>
  </si>
  <si>
    <t>CSE</t>
  </si>
  <si>
    <t>Reverse declining trend (661→701) milestones missing - Stop the bleeding</t>
  </si>
  <si>
    <t>Fix 1521 missing mandatory information fields</t>
  </si>
  <si>
    <t>NEC</t>
  </si>
  <si>
    <t>Continue improvement trend (892→753) - Accelerate</t>
  </si>
  <si>
    <t>Address 2676 mandatory info gaps (highest volume)</t>
  </si>
  <si>
    <t>Data Quality Team</t>
  </si>
  <si>
    <t>EME</t>
  </si>
  <si>
    <t>Sustain improvement</t>
  </si>
  <si>
    <t>P1</t>
  </si>
  <si>
    <t>Focus on Mandatory Fields missing (198)</t>
  </si>
  <si>
    <t>SEA</t>
  </si>
  <si>
    <t>Reduce 275 missing milestones through standardization</t>
  </si>
  <si>
    <t>Focus on Mandatory Fields (303)</t>
  </si>
  <si>
    <t>MEK</t>
  </si>
  <si>
    <t>Maintain strong performance (121 missing) - Monitor</t>
  </si>
  <si>
    <t>P2</t>
  </si>
  <si>
    <t>NEA</t>
  </si>
  <si>
    <t>Slight improvement opportunity (151→&lt;100)</t>
  </si>
  <si>
    <t>Metrics name</t>
  </si>
  <si>
    <t>2025.11 </t>
  </si>
  <si>
    <t>2025.12</t>
  </si>
  <si>
    <t>2026.04 Target</t>
  </si>
  <si>
    <t>Week 1-3</t>
  </si>
  <si>
    <t>(Maersk proposal)</t>
  </si>
  <si>
    <t>(Bosch proposal)</t>
  </si>
  <si>
    <t>Comments</t>
  </si>
  <si>
    <t xml:space="preserve">Milestone Completeness ( S02,S04,S07,S31) </t>
  </si>
  <si>
    <t>✅ ACHIEVABLE : 
- Fix top 3 Missing fields in CW1 (Process/Tech)
- Path toward 80% SC3 booking (Bosch)
- Sustainable fix by stricter validation in Workflows (Process/Tech)</t>
  </si>
  <si>
    <t xml:space="preserve">Milestone Timeliness ( S02,S04,S07,S31) </t>
  </si>
  <si>
    <t>??</t>
  </si>
  <si>
    <t>⚠️ STRETCH and EDI DEPENDENT: 
-  85% ONLY achievable at 80% SC3 (Bosch)
- With Dedicated Control tower and proactive update we can hit Close to 60% (Operations)</t>
  </si>
  <si>
    <t xml:space="preserve">Milestone Completeness ( All) </t>
  </si>
  <si>
    <t>Not Measured</t>
  </si>
  <si>
    <t>✅ ACHIEVABLE
-  Fix top 3 Missing fields in CW1 yields 18,6 % increase
- Can be achieved with due diligance from CT on proactively updating missing fields (Operations)</t>
  </si>
  <si>
    <t xml:space="preserve">Milestone Timeliness (All) </t>
  </si>
  <si>
    <t>⚠️ EDI DEPENDENT 
- The timeliness metrics can't be met with current EDI ratio, SC3 booking needs to be at ~75% to hit 80 % timeliness or ~80% to achieve 85% timeliness</t>
  </si>
  <si>
    <t>SC4 Refrence Completeness</t>
  </si>
  <si>
    <r>
      <t xml:space="preserve">-DN OR CIV Number at 91 % for Field present. But filtering out for Junk value it stands at 80 %; 
- Conversion of SC4 --&gt; SC3 will drastically improve accuracy
</t>
    </r>
    <r>
      <rPr>
        <b/>
        <sz val="10"/>
        <color rgb="FFFF0000"/>
        <rFont val="Calibri"/>
        <family val="2"/>
        <scheme val="minor"/>
      </rPr>
      <t>Data to be verifiied on wrong refrence by end of next week - Shared by Bosch on Wednesday EOD</t>
    </r>
  </si>
  <si>
    <t>ETA accuracy/reliability 2P shipments</t>
  </si>
  <si>
    <t xml:space="preserve">Data to be analyzed by next week </t>
  </si>
  <si>
    <t>ETA accuracy/reliability 2D shipments</t>
  </si>
  <si>
    <t>Port Shipment ETA Accuracy — January 2026 ARR</t>
  </si>
  <si>
    <t>1235 Housebills with ARR in January 2026 | Dual-view: ≥7 Day Lead Time vs Any Lead Time</t>
  </si>
  <si>
    <t>VIEW 1: ETA Published ≥7 Days Before ARR</t>
  </si>
  <si>
    <t>VIEW 2: Latest ETA (Any Lead Time)</t>
  </si>
  <si>
    <t>Total Jan HBs</t>
  </si>
  <si>
    <t>With ≥7d ETA</t>
  </si>
  <si>
    <t>ETA &lt;7d only</t>
  </si>
  <si>
    <t>No ETA</t>
  </si>
  <si>
    <t>With ETA</t>
  </si>
  <si>
    <t>Missing ETA</t>
  </si>
  <si>
    <t>Median Dev</t>
  </si>
  <si>
    <t>1.2h</t>
  </si>
  <si>
    <t>Of the 65 with ≥7d ETA:</t>
  </si>
  <si>
    <t>Of the 1175 with any ETA:</t>
  </si>
  <si>
    <t>Within ±48h</t>
  </si>
  <si>
    <t>29.2%</t>
  </si>
  <si>
    <t>92.9%</t>
  </si>
  <si>
    <t>Late (ARR after ETA)</t>
  </si>
  <si>
    <t>60.0%</t>
  </si>
  <si>
    <t>6.6%</t>
  </si>
  <si>
    <t>Early (ARR before ETA)</t>
  </si>
  <si>
    <t>10.8%</t>
  </si>
  <si>
    <t>0.6%</t>
  </si>
  <si>
    <t>≥7d Accuracy (of matched): 19/65 = 29.2%</t>
  </si>
  <si>
    <t>Any-lead Accuracy (of matched): 1091/1175 = 92.9%</t>
  </si>
  <si>
    <t>≥7d Accuracy (overall): 19/1235 = 1.5%</t>
  </si>
  <si>
    <t>Any-lead Accuracy (overall): 1091/1235 = 88.3%</t>
  </si>
  <si>
    <t>Median deviation: 50.2h | Mean: 75.8h</t>
  </si>
  <si>
    <t>Count</t>
  </si>
  <si>
    <t>Late</t>
  </si>
  <si>
    <t>Early</t>
  </si>
  <si>
    <t>ETA &lt;7d (no qualifying)</t>
  </si>
  <si>
    <t>Door Shipment POD Accuracy — Dual View Analysis</t>
  </si>
  <si>
    <t>2642 Housebills with actual POD | POD_ estimate accuracy at ≥7 Day vs Any Lead Time</t>
  </si>
  <si>
    <t>VIEW 1: POD_ Published ≥7 Days Before POD</t>
  </si>
  <si>
    <t>VIEW 2: Latest POD_ (Any Lead Time)</t>
  </si>
  <si>
    <t>Total HBs</t>
  </si>
  <si>
    <t>With ≥7d POD_</t>
  </si>
  <si>
    <t>POD_ &lt;7d only</t>
  </si>
  <si>
    <t>No POD_</t>
  </si>
  <si>
    <t>With POD_</t>
  </si>
  <si>
    <t>Missing POD_</t>
  </si>
  <si>
    <t>1.7h</t>
  </si>
  <si>
    <t>Of the 2520 with ≥7d POD_:</t>
  </si>
  <si>
    <t>Of the 2570 with any POD_:</t>
  </si>
  <si>
    <t>33.3%</t>
  </si>
  <si>
    <t>59.1%</t>
  </si>
  <si>
    <t>64.2%</t>
  </si>
  <si>
    <t>39.0%</t>
  </si>
  <si>
    <t>2.5%</t>
  </si>
  <si>
    <t>1.8%</t>
  </si>
  <si>
    <t>≥7d Accuracy (of matched): 840/2520 = 33.3%</t>
  </si>
  <si>
    <t>Any-lead Accuracy (matched): 1520/2570 = 59.1%</t>
  </si>
  <si>
    <t>≥7d Accuracy (overall): 840/2642 = 31.8%</t>
  </si>
  <si>
    <t>Any-lead Accuracy (overall): 1520/2642 = 57.5%</t>
  </si>
  <si>
    <t>Median deviation: 209.3h | Mean: 848.8h</t>
  </si>
  <si>
    <t>Retroactive POD_ (published after POD): 701 HBs excluded</t>
  </si>
  <si>
    <t>POD_ &lt;7d</t>
  </si>
  <si>
    <t>SYNC, DTL &amp; PLAUSIBILITY — Deep Analysis (16-Feb)</t>
  </si>
  <si>
    <t>THREE-SOURCE SYNC: ROOT CAUSE (from 16-Feb meeting)</t>
  </si>
  <si>
    <t>CargoWise → Track &amp; Trace Excel: SAME data, full operational extract</t>
  </si>
  <si>
    <t>CargoWise → Maersk.com: Generic/public subset (standard offering only)</t>
  </si>
  <si>
    <t>CargoWise → Seeburger DTL → EDI to Bosch: Quality checks FILTER messages</t>
  </si>
  <si>
    <t>ROOT CAUSE: When DTL checks fail → message blocked → Bosch sees 'missing milestone'</t>
  </si>
  <si>
    <t>Error log exists internally but no structured feedback loop to operations</t>
  </si>
  <si>
    <t>PDCA REQUIRED: Document DTL checks, establish ops feedback loop, log monitoring</t>
  </si>
  <si>
    <t>SC3/SC4 DOUBLE BOOKING (NEW from meeting)</t>
  </si>
  <si>
    <t>~1/3 of shipments labeled SC4 were actually received as SC3</t>
  </si>
  <si>
    <t>Cause: Incomplete SC3 → operator follows up via email → converts to SC4</t>
  </si>
  <si>
    <t>Bosch suppliers also send emails when SC3 exists → creates duplicates</t>
  </si>
  <si>
    <t>Fix (Maersk): Eurolog S09 + reason O01 to close duplicates (Karina)</t>
  </si>
  <si>
    <t>Fix (Bosch): Instruct suppliers to stop emails when SC3 exists</t>
  </si>
  <si>
    <t>MILESTONE INCONSISTENCY — DEEP ANALYSIS (662 Shipments, 1,500 Records)</t>
  </si>
  <si>
    <t>Value</t>
  </si>
  <si>
    <t>Significance</t>
  </si>
  <si>
    <t>Total records in dataset</t>
  </si>
  <si>
    <t>1,500</t>
  </si>
  <si>
    <t>Across ETA (1,000) and ATA (500) violations</t>
  </si>
  <si>
    <t>Unique affected HBLs</t>
  </si>
  <si>
    <t>550 of 662 (83%)</t>
  </si>
  <si>
    <t>Vast majority of flagged shipments have real issues</t>
  </si>
  <si>
    <t>ETA sequence violations</t>
  </si>
  <si>
    <t>475 unique HBLs</t>
  </si>
  <si>
    <t>Estimates with impossible date order</t>
  </si>
  <si>
    <t>ATA sequence violations</t>
  </si>
  <si>
    <t>76 unique HBLs</t>
  </si>
  <si>
    <t>ACTUALS recorded in wrong order — data quality failure</t>
  </si>
  <si>
    <t>Dominant issue</t>
  </si>
  <si>
    <t>POD &gt; Delivery (83%)</t>
  </si>
  <si>
    <t>Port arrival dated after door delivery — physically impossible</t>
  </si>
  <si>
    <t>NON TMC / SC4 share</t>
  </si>
  <si>
    <t>63% of ETA violations</t>
  </si>
  <si>
    <t>Manual entry is the primary root cause (300 HBLs)</t>
  </si>
  <si>
    <t>61-90 day gap cluster</t>
  </si>
  <si>
    <t>31% of POD&gt;Delivery</t>
  </si>
  <si>
    <t>Suggests bulk upload / template error pattern</t>
  </si>
  <si>
    <t>ATA median gap</t>
  </si>
  <si>
    <t>73 days</t>
  </si>
  <si>
    <t>Actuals MORE wrong than estimates — operators entering out-of-sequence</t>
  </si>
  <si>
    <t>ETA median gap</t>
  </si>
  <si>
    <t>15 days</t>
  </si>
  <si>
    <t>Estimates are wrong but less severely than actuals</t>
  </si>
  <si>
    <t>DUPLICATION CLARIFICATION:</t>
  </si>
  <si>
    <t>Multiple ETA rows per HBL = VALID (estimates get revised; 51% of HBLs have 2+ revisions)</t>
  </si>
  <si>
    <t>ATA rows: duplicated with IDENTICAL dates (multiple containers/TOs per shipment)</t>
  </si>
  <si>
    <t>No conflicting actual dates found — ATA duplication is structural, not a data quality issue</t>
  </si>
  <si>
    <t>The 76 ATA violations are genuine sequence errors, not duplication artifacts</t>
  </si>
  <si>
    <t>POD &gt; DELIVERY GAP SEVERITY (1,010 records — 83% of all violations)</t>
  </si>
  <si>
    <t>Bucket</t>
  </si>
  <si>
    <t>ETA Records</t>
  </si>
  <si>
    <t>ATA Records</t>
  </si>
  <si>
    <t>% of Total</t>
  </si>
  <si>
    <t>Likely Cause</t>
  </si>
  <si>
    <t>1-7 days</t>
  </si>
  <si>
    <t>309</t>
  </si>
  <si>
    <t>52</t>
  </si>
  <si>
    <t>35.7%</t>
  </si>
  <si>
    <t>Timezone / rounding — low severity but still invalid</t>
  </si>
  <si>
    <t>8-30 days</t>
  </si>
  <si>
    <t>171</t>
  </si>
  <si>
    <t>28</t>
  </si>
  <si>
    <t>19.7%</t>
  </si>
  <si>
    <t>Operator error — medium severity</t>
  </si>
  <si>
    <t>31-60 days</t>
  </si>
  <si>
    <t>99</t>
  </si>
  <si>
    <t>13</t>
  </si>
  <si>
    <t>11.1%</t>
  </si>
  <si>
    <t>Wrong milestone updated — high severity</t>
  </si>
  <si>
    <t>61-90 days</t>
  </si>
  <si>
    <t>278</t>
  </si>
  <si>
    <t>32</t>
  </si>
  <si>
    <t>30.7%</t>
  </si>
  <si>
    <t>Bulk upload / template error — SYSTEMIC pattern</t>
  </si>
  <si>
    <t>&gt;90 days</t>
  </si>
  <si>
    <t>22</t>
  </si>
  <si>
    <t>2.8%</t>
  </si>
  <si>
    <t>Data corruption — critical (up to 367 days)</t>
  </si>
  <si>
    <t>PROPOSED PLAUSIBILITY RULES (for dashboard — committed Nov '25, OVERDUE)</t>
  </si>
  <si>
    <t>Rule</t>
  </si>
  <si>
    <t>Condition</t>
  </si>
  <si>
    <t>Severity</t>
  </si>
  <si>
    <t>Auto-Action</t>
  </si>
  <si>
    <t>Expected Catch</t>
  </si>
  <si>
    <t>Seq: POD &gt; Delivery</t>
  </si>
  <si>
    <t>Port Discharge after Door Delivery</t>
  </si>
  <si>
    <t>Block + alert</t>
  </si>
  <si>
    <t>83% of violations</t>
  </si>
  <si>
    <t>Seq: POL &gt; POD</t>
  </si>
  <si>
    <t>Vessel departure after port arrival</t>
  </si>
  <si>
    <t>4% of violations</t>
  </si>
  <si>
    <t>Seq: Pickup &gt; POL</t>
  </si>
  <si>
    <t>Collection after vessel departure</t>
  </si>
  <si>
    <t>8% of violations</t>
  </si>
  <si>
    <t>Gap: &gt;60d between stages</t>
  </si>
  <si>
    <t>Unrealistic transit gap</t>
  </si>
  <si>
    <t>Warning</t>
  </si>
  <si>
    <t>Flag for review</t>
  </si>
  <si>
    <t>31% severity bucket</t>
  </si>
  <si>
    <t>ATA gap &gt; 73d</t>
  </si>
  <si>
    <t>Actuals with extreme gaps</t>
  </si>
  <si>
    <t>Lock record</t>
  </si>
  <si>
    <t>76 ATA HBLs</t>
  </si>
  <si>
    <t>Retroactive: ETA after ATA</t>
  </si>
  <si>
    <t>Estimate updated after actual</t>
  </si>
  <si>
    <t>Prevent edit</t>
  </si>
  <si>
    <t>701+ HBLs (POD data)</t>
  </si>
  <si>
    <t>Bulk: &gt;50 same-day edits</t>
  </si>
  <si>
    <t>Mass update pattern detection</t>
  </si>
  <si>
    <t>Flag batch</t>
  </si>
  <si>
    <t>Dec 12: 994 HBLs</t>
  </si>
  <si>
    <t>ESCALATION: Dashboard + rules committed Nov '25. Mimel aware. Must show progress Thursday 19-Feb.</t>
  </si>
  <si>
    <t>SC4 - Week-over-Week Trend Summary</t>
  </si>
  <si>
    <t>CRITICAL MILESTONES (S00, S02, S04, S07, S31, S45)</t>
  </si>
  <si>
    <t>W1→W4
Delta</t>
  </si>
  <si>
    <t>Critical Milestone Averages</t>
  </si>
  <si>
    <t>Avg Completeness</t>
  </si>
  <si>
    <t>Avg Timeliness</t>
  </si>
  <si>
    <t>ALL MILESTONES - AVERAGES</t>
  </si>
  <si>
    <t>SC3 - Week-over-Week Trend Summary</t>
  </si>
  <si>
    <t>CRITICAL MILESTONES (S02, S04, S07, S31, S45)</t>
  </si>
  <si>
    <t>SC3 vs SC4 - Critical Milestone Comparison (Week 4 Latest)</t>
  </si>
  <si>
    <t>SC3 Completeness</t>
  </si>
  <si>
    <t>SC3 Timeliness</t>
  </si>
  <si>
    <t>SC4 Completeness</t>
  </si>
  <si>
    <t>SC4 Timeliness</t>
  </si>
  <si>
    <t>W1→W4</t>
  </si>
  <si>
    <t>SC4 Only - S00 (Shipment Created)</t>
  </si>
  <si>
    <t>W02</t>
  </si>
  <si>
    <t>W04</t>
  </si>
  <si>
    <t>W06</t>
  </si>
  <si>
    <t>W08</t>
  </si>
  <si>
    <t>W10</t>
  </si>
  <si>
    <t>W12</t>
  </si>
  <si>
    <t>SC4 – S00 - Shipment created (Actual)</t>
  </si>
  <si>
    <t>SC4 – S02 - Collected (Estimated)</t>
  </si>
  <si>
    <t>SC4 – S02 - Collected (Actual)</t>
  </si>
  <si>
    <t>SC4 – S46 - Documents rcvd from shipper (Actual)</t>
  </si>
  <si>
    <t>SC4 – S10 - On hand at origin SVC (Actual)</t>
  </si>
  <si>
    <t>SC4 – S11 - On hand at origin Hub/CC (Actual)</t>
  </si>
  <si>
    <t>SC4 – S16 - Shipment booked with carrier (Actual)</t>
  </si>
  <si>
    <t>SC4 – S17 - Tendered carrier (Actual)</t>
  </si>
  <si>
    <t>SC4 – S50 - Received origin CFS (Actual)</t>
  </si>
  <si>
    <t>SC4 – S04 - Vessel/flight departed (Estimated)</t>
  </si>
  <si>
    <t>SC4 – S04 - Vessel/flight departed (Actual)</t>
  </si>
  <si>
    <t>SC4 – S07 - Vessel/flight arrived (Estimated)</t>
  </si>
  <si>
    <t>SC4 – S07 - Vessel/flight arrived (Actual)</t>
  </si>
  <si>
    <t>SC4 – S51 - Arrived destination CFS (Actual)</t>
  </si>
  <si>
    <t>SC4 – S18 - Recovered from carrier (Actual)</t>
  </si>
  <si>
    <t>SC4 – S12 - On hand at destination Hub/CC (Actual)</t>
  </si>
  <si>
    <t>SC4 – S13 - On hand at destination SVC (Actual)</t>
  </si>
  <si>
    <t>SC4 – S45 - Handover to broker (Actual)</t>
  </si>
  <si>
    <t>SC4 – S05 - In delivery (Actual)</t>
  </si>
  <si>
    <t>SC4 – S31 - Delivered (Estimated)</t>
  </si>
  <si>
    <t>SC4 – S31 - Delivered (Actual)</t>
  </si>
  <si>
    <t>SC3 – S60 - Pre-Booking confirmed (Actual)</t>
  </si>
  <si>
    <t>SC3 – S52 - Empty Container picked up (Actual)</t>
  </si>
  <si>
    <t>SC3 – S02 - Collected (Actual)</t>
  </si>
  <si>
    <t>SC3 – S02 - Collected (Estimated)</t>
  </si>
  <si>
    <t>SC3 – S10 - On hand at origin SVC (Actual)</t>
  </si>
  <si>
    <t>SC3 – S50 - Received origin CFS (Actual)</t>
  </si>
  <si>
    <t>SC3 – S53 - Full Container loaded on vessel (Actual)</t>
  </si>
  <si>
    <t>SC3 – S04 - Vessel/flight departed (Actual)</t>
  </si>
  <si>
    <t>SC3 – S04 - Vessel/flight departed (Estimated)</t>
  </si>
  <si>
    <t>SC3 – S07 - Vessel/flight arrived (Actual)</t>
  </si>
  <si>
    <t>SC3 – S07 - Vessel/flight arrived (Estimated)</t>
  </si>
  <si>
    <t>SC3 – S54 - Full Container discharge (Actual)</t>
  </si>
  <si>
    <t>SC3 – S51 - Arrived destination CFS (Actual)</t>
  </si>
  <si>
    <t>SC3 – S13 - On hand at destination SVC (Actual)</t>
  </si>
  <si>
    <t>SC3 – S45 - Handover to broker (Actual)</t>
  </si>
  <si>
    <t>SC3 – S45 - Handover to broker (Estimated)</t>
  </si>
  <si>
    <t>SC3 – S05 - In delivery (Actual)</t>
  </si>
  <si>
    <t>SC3 – S31 - Delivered (Actual)</t>
  </si>
  <si>
    <t>SC3 – S31 - Delivered (Estimated)</t>
  </si>
  <si>
    <t>SC3 – S55 - Empty Container returned (Actual)</t>
  </si>
  <si>
    <t>Week 7</t>
  </si>
  <si>
    <t>Plausability (% of shipments with ≥1 sequence break)</t>
  </si>
  <si>
    <t xml:space="preserve">SC4 – S00 </t>
  </si>
  <si>
    <t xml:space="preserve"> Shipment created (Actual)</t>
  </si>
  <si>
    <t xml:space="preserve">SC4 – S02 </t>
  </si>
  <si>
    <t xml:space="preserve"> Collected (Estimated)</t>
  </si>
  <si>
    <t xml:space="preserve"> Collected (Actual)</t>
  </si>
  <si>
    <t xml:space="preserve">SC4 – S46 </t>
  </si>
  <si>
    <t xml:space="preserve"> Documents rcvd from shipper (Actual)</t>
  </si>
  <si>
    <t xml:space="preserve">SC4 – S10 </t>
  </si>
  <si>
    <t xml:space="preserve"> On hand at origin SVC (Actual)</t>
  </si>
  <si>
    <t xml:space="preserve">SC4 – S11 </t>
  </si>
  <si>
    <t xml:space="preserve"> On hand at origin Hub/CC (Actual)</t>
  </si>
  <si>
    <t xml:space="preserve">SC4 – S16 </t>
  </si>
  <si>
    <t xml:space="preserve"> Shipment booked with carrier (Actual)</t>
  </si>
  <si>
    <t xml:space="preserve">SC4 – S17 </t>
  </si>
  <si>
    <t xml:space="preserve"> Tendered carrier (Actual)</t>
  </si>
  <si>
    <t xml:space="preserve">SC4 – S50 </t>
  </si>
  <si>
    <t xml:space="preserve"> Received origin CFS (Actual)</t>
  </si>
  <si>
    <t xml:space="preserve">SC4 – S04 </t>
  </si>
  <si>
    <t xml:space="preserve"> Vessel/flight departed (Estimated)</t>
  </si>
  <si>
    <t xml:space="preserve"> Vessel/flight departed (Actual)</t>
  </si>
  <si>
    <t xml:space="preserve">SC4 – S07 </t>
  </si>
  <si>
    <t xml:space="preserve"> Vessel/flight arrived (Estimated)</t>
  </si>
  <si>
    <t xml:space="preserve"> Vessel/flight arrived (Actual)</t>
  </si>
  <si>
    <t xml:space="preserve">SC4 – S51 </t>
  </si>
  <si>
    <t xml:space="preserve"> Arrived destination CFS (Actual)</t>
  </si>
  <si>
    <t xml:space="preserve">SC4 – S18 </t>
  </si>
  <si>
    <t xml:space="preserve"> Recovered from carrier (Actual)</t>
  </si>
  <si>
    <t xml:space="preserve">SC4 – S12 </t>
  </si>
  <si>
    <t xml:space="preserve"> On hand at destination Hub/CC (Actual)</t>
  </si>
  <si>
    <t xml:space="preserve">SC4 – S13 </t>
  </si>
  <si>
    <t xml:space="preserve"> On hand at destination SVC (Actual)</t>
  </si>
  <si>
    <t xml:space="preserve">SC4 – S45 </t>
  </si>
  <si>
    <t xml:space="preserve"> Handover to broker (Actual)</t>
  </si>
  <si>
    <t xml:space="preserve">SC4 – S05 </t>
  </si>
  <si>
    <t xml:space="preserve"> In delivery (Actual)</t>
  </si>
  <si>
    <t xml:space="preserve">SC4 – S31 </t>
  </si>
  <si>
    <t xml:space="preserve"> Delivered (Estimated)</t>
  </si>
  <si>
    <t xml:space="preserve"> Delivered (Actual)</t>
  </si>
  <si>
    <t xml:space="preserve">SC3 – S60 </t>
  </si>
  <si>
    <t xml:space="preserve">SC3 – S52 </t>
  </si>
  <si>
    <t xml:space="preserve"> Empty Container picked up (Actual)</t>
  </si>
  <si>
    <t xml:space="preserve">SC3 – S02 </t>
  </si>
  <si>
    <t xml:space="preserve">SC3 – S10 </t>
  </si>
  <si>
    <t xml:space="preserve">SC3 – S50 </t>
  </si>
  <si>
    <t xml:space="preserve">SC3 – S53 </t>
  </si>
  <si>
    <t xml:space="preserve"> Full Container loaded on vessel (Actual)</t>
  </si>
  <si>
    <t xml:space="preserve">SC3 – S04 </t>
  </si>
  <si>
    <t xml:space="preserve">SC3 – S07 </t>
  </si>
  <si>
    <t xml:space="preserve">SC3 – S54 </t>
  </si>
  <si>
    <t xml:space="preserve"> Full Container discharge (Actual)</t>
  </si>
  <si>
    <t xml:space="preserve">SC3 – S51 </t>
  </si>
  <si>
    <t xml:space="preserve">SC3 – S13 </t>
  </si>
  <si>
    <t xml:space="preserve">SC3 – S45 </t>
  </si>
  <si>
    <t xml:space="preserve"> Handover to broker (Estimated)</t>
  </si>
  <si>
    <t xml:space="preserve">SC3 – S05 </t>
  </si>
  <si>
    <t xml:space="preserve">SC3 – S31 </t>
  </si>
  <si>
    <t xml:space="preserve">SC3 – S55 </t>
  </si>
  <si>
    <t xml:space="preserve"> Empty Container returned (Actual)</t>
  </si>
  <si>
    <t>Error</t>
  </si>
  <si>
    <t xml:space="preserve"> Pre Booking confirmed (Actual)</t>
  </si>
  <si>
    <t>Please find further information behind cell comments.</t>
  </si>
  <si>
    <t>5 Why Form</t>
  </si>
  <si>
    <t>8D Title</t>
  </si>
  <si>
    <t>Complaint No.</t>
  </si>
  <si>
    <t>Bosch Part</t>
  </si>
  <si>
    <t>Date</t>
  </si>
  <si>
    <t>Version</t>
  </si>
  <si>
    <t>The problem with which the 5Why question chain is started</t>
  </si>
  <si>
    <t>1st Why?</t>
  </si>
  <si>
    <t>2nd Why?</t>
  </si>
  <si>
    <t>3rd Why?</t>
  </si>
  <si>
    <t>4th Why?</t>
  </si>
  <si>
    <t>5th Why?</t>
  </si>
  <si>
    <t>….</t>
  </si>
  <si>
    <t>…</t>
  </si>
  <si>
    <t>Root Causes 
(TRC, MRC)</t>
  </si>
  <si>
    <t>Measures (R, D)</t>
  </si>
  <si>
    <t>Critical milestones are not being sent to Bosch</t>
  </si>
  <si>
    <t>Q:why are not being sent?
A:Because are blocked in the system sending the EDI message</t>
  </si>
  <si>
    <t>Q:why are they not being inserted?
A:because the operating system allows to leave some fields blank</t>
  </si>
  <si>
    <t>TRC: EDI milestone trigger lacks validation for mandatory fields; configuration permits blank critical fields.
MRC: EDI requirements/configuration governance is missing (no owner / review gate).</t>
  </si>
  <si>
    <t>R: EDI/IT Lead + Operations Process Owner
D: 2026-03-31
Action: Configure mandatory fields &amp; validation rules for milestone triggers; run regression test; deploy to production; communicate update to users.</t>
  </si>
  <si>
    <t>Q:why wasn't noticed?
A:because there are no dashboard or checks</t>
  </si>
  <si>
    <t>Q:why there are no checks?
A:because they were not implemented</t>
  </si>
  <si>
    <t>Q:why were they not implemented?
A:because are not part of the process of onboarding a client</t>
  </si>
  <si>
    <t>Q:why are not part of the process?
A:because there wasn't build a system to programatically extract data from the EDI system</t>
  </si>
  <si>
    <t>Q:why wasn't built?
A:because it wasn't prioritised</t>
  </si>
  <si>
    <t>Q: why wasn't it prioritised?
A: because there was no monitoring KPI showing customer impact/cost of missing milestones</t>
  </si>
  <si>
    <t>Q: why was there no KPI?
A: because EDI performance governance and reporting ownership were not defined</t>
  </si>
  <si>
    <t>TRC: No monitoring/alerting for missing milestone transmissions.
MRC: Monitoring and reporting were not included in the customer onboarding scope/prioritisation.</t>
  </si>
  <si>
    <t>R: Ops Excellence + IT/BI
D: 2026-03-31
Action: Build dashboard + daily exception report for missing/failed EDI messages; set alert thresholds; assign owner to review exceptions.</t>
  </si>
  <si>
    <t>Main problem</t>
  </si>
  <si>
    <t>SC4 Reference Completeness (CIV or DN)</t>
  </si>
  <si>
    <t>1) Why did it happen?
(Why did the manufacturing process not prevent the incident? )</t>
  </si>
  <si>
    <t>Q: why do milestones not follow a plausible date order?
A: because some milestone timestamps are sent with incorrect or placeholder values that break the expected S02→S04→S07→S31 sequence</t>
  </si>
  <si>
    <t>Q: why are timestamps incorrect?
A: because retroactive corrections and system-generated default dates (e.g., 1900 placeholders) are transmitted without plausibility validation</t>
  </si>
  <si>
    <t>Q: why are defaults transmitted?
A: because the EDI system does not filter out placeholder dates or validate chronological order before sending</t>
  </si>
  <si>
    <t>Q: why is there no chronological validation?
A: because the IFTSTA message builder was not configured with sequence-aware validation rules</t>
  </si>
  <si>
    <t>Q: why was it not configured?
A: because plausibility was assumed to be the responsibility of the source operating system, not the EDI layer</t>
  </si>
  <si>
    <t>Q: why was this assumption made?
A: because the boundary of data quality responsibility between ops systems and EDI was not clearly defined</t>
  </si>
  <si>
    <t>TRC: EDI system lacks chronological sequence validation; transmits placeholder dates and retroactive corrections without plausibility checks.
MRC: Data quality responsibility boundary between source systems and EDI layer was not defined.</t>
  </si>
  <si>
    <t>R: EDI/IT Lead + Data Quality Team
D: 2026-04-30
Action: Implement pre-transmission plausibility check (S02&lt;S04&lt;S07&lt;S31); reject/flag milestones with 1900 placeholder dates; add sequence validation to IFTSTA builder; weekly plausibility KPI report.</t>
  </si>
  <si>
    <t>Q:why is it possible?
A:because the system is not configured to make them compulsory to trigger the milestones</t>
  </si>
  <si>
    <t>Description</t>
  </si>
  <si>
    <t>Code</t>
  </si>
  <si>
    <t>type</t>
  </si>
  <si>
    <t>Rootcause</t>
  </si>
  <si>
    <t>Num</t>
  </si>
  <si>
    <t>SOP to fill CW1 fields are not followed by Operators due to lack of resources</t>
  </si>
  <si>
    <t>CW1 configurations are not set up correctly to handle Bosch requirements</t>
  </si>
  <si>
    <t>CW1 lacks chronological sequence validation</t>
  </si>
  <si>
    <t>Milestones sent to Bosch do not follow a plausible date order because CW1 lacks chronological sequence validation and manaual error occurs</t>
  </si>
  <si>
    <t>The Consol is not attached to shipment with "is Linked" Flag</t>
  </si>
  <si>
    <t>The HBL div mode is changed after receiving</t>
  </si>
  <si>
    <t>The refrences are not updated from CIV or PKL docs</t>
  </si>
  <si>
    <t>Manual milestones not updated on time by Operators due to lack of resources</t>
  </si>
  <si>
    <t>The Estimate updated too late in the lifecycle</t>
  </si>
  <si>
    <t>Milestone is dependent on Manual input and is missed due to Lack of resources</t>
  </si>
  <si>
    <t>The Automation of the Milestones is not working based the DEX events</t>
  </si>
  <si>
    <t>Estimates are not received 7 days before of the Actual event</t>
  </si>
  <si>
    <t>Link to RootCause</t>
  </si>
  <si>
    <t>counter measure</t>
  </si>
  <si>
    <t>add FTEs</t>
  </si>
  <si>
    <t>Tech workflow</t>
  </si>
  <si>
    <t>EUAP</t>
  </si>
  <si>
    <t>Q:why are they blocked?
A:because messages do not have all info needed to be sent</t>
  </si>
  <si>
    <t>Q:why do not have all info?
A:because they are not being inserted in the TMS</t>
  </si>
  <si>
    <r>
      <t xml:space="preserve">Milestones are not being sent to Bosch on </t>
    </r>
    <r>
      <rPr>
        <b/>
        <sz val="10"/>
        <rFont val="Arial"/>
        <family val="2"/>
      </rPr>
      <t>time</t>
    </r>
  </si>
  <si>
    <t>Milestones are not being sent to Bosch</t>
  </si>
  <si>
    <t>Q:why are they not auto triggered for all?
A:because there is a mix of manual bookings and automated bookings</t>
  </si>
  <si>
    <t>Q:why are not being sent on time?
A:because the milestones are not all milestones triggered automatically by the system requiring manual timely inputs</t>
  </si>
  <si>
    <t>Q:why are there manual bookings?
A:manual bookings are expected however the % of manual bookings were higher than planned.</t>
  </si>
  <si>
    <t>Q:why are manual bookings higher than planned?
A:the planned forecast during implementation was close to 80% and reality was lower.</t>
  </si>
  <si>
    <t>Milestones received by Bosch do not contain the CIV or DN reference and not the correct data</t>
  </si>
  <si>
    <t>Q:why are references incorrect or lack the correct data?
A:These fields are only for SC4 bookings and expected to be manually entered and hence prone to errors.</t>
  </si>
  <si>
    <t>Q:why are errors happening in the manual process?
A:because the operators are not following the SOPs to put in the appropriate information in time</t>
  </si>
  <si>
    <t>Q: Why are the operators not following SOPs?
A:because they are not prioritizing this effort versus delivering other items such as making deliverings and exiting CMT</t>
  </si>
  <si>
    <t>Q:why are they not prioritizing?
A:because the team is whort on capacity</t>
  </si>
  <si>
    <t>Q:why are they short in capacity?
A:because expectations was to have lower SC4 bookings in the plan and staffing was not adjusted</t>
  </si>
  <si>
    <t>Q:why are they not received 7 days before?
A:The event is updated either too early or too late before the event missing the 7 days</t>
  </si>
  <si>
    <t>Q:why is it too early to too late?
A:the Maersk Liner integration is automated, but the message is not  transmitted to the customer</t>
  </si>
  <si>
    <t>Q: Why not transmitted?
A: message is not be triggered from TMS to EDI each time the vessel update is received.</t>
  </si>
  <si>
    <t>Q:why is message not triggered?
A:there will be way too many updates and there is logic to prevent too many messages being sent</t>
  </si>
  <si>
    <t>For "to Port" and "to Door" Shipments, milestone estimates are not received 7 days before of the actual Milestone event</t>
  </si>
  <si>
    <t>Shipment received by Bosch doesn't have the CIV or DN reference</t>
  </si>
  <si>
    <t>Shipment received by Bosch has the CIV or DN reference  but do not have the correct data</t>
  </si>
  <si>
    <t xml:space="preserve">SC4 - &lt;Origin&gt; </t>
  </si>
  <si>
    <t>Reference Completeness — Breakdown by Origin Country</t>
  </si>
  <si>
    <t>▸ All Weeks Aggregate (CW01–CW07, min. 5 shipments)</t>
  </si>
  <si>
    <t>Country Code</t>
  </si>
  <si>
    <t>Country Name</t>
  </si>
  <si>
    <t>Shipments</t>
  </si>
  <si>
    <t>Ref Complete (%)</t>
  </si>
  <si>
    <t>Gap Rate (%)</t>
  </si>
  <si>
    <t>CIV Rate (%)</t>
  </si>
  <si>
    <t>DN Rate (%)</t>
  </si>
  <si>
    <t>Both CIV+DN (%)</t>
  </si>
  <si>
    <t>MY</t>
  </si>
  <si>
    <t>Malaysia</t>
  </si>
  <si>
    <t>🔴 Critical</t>
  </si>
  <si>
    <t>TH</t>
  </si>
  <si>
    <t>Thailand</t>
  </si>
  <si>
    <t>PL</t>
  </si>
  <si>
    <t>Poland</t>
  </si>
  <si>
    <t>FR</t>
  </si>
  <si>
    <t>France</t>
  </si>
  <si>
    <t>BE</t>
  </si>
  <si>
    <t>RO</t>
  </si>
  <si>
    <t>Romania</t>
  </si>
  <si>
    <t>GB</t>
  </si>
  <si>
    <t>🟠 High</t>
  </si>
  <si>
    <t>ES</t>
  </si>
  <si>
    <t>Spain</t>
  </si>
  <si>
    <t>SG</t>
  </si>
  <si>
    <t>Singapore</t>
  </si>
  <si>
    <t>NL</t>
  </si>
  <si>
    <t>Netherlands</t>
  </si>
  <si>
    <t>JP</t>
  </si>
  <si>
    <t>Japan</t>
  </si>
  <si>
    <t>KR</t>
  </si>
  <si>
    <t>South Korea</t>
  </si>
  <si>
    <t>PT</t>
  </si>
  <si>
    <t>Portugal</t>
  </si>
  <si>
    <t>TR</t>
  </si>
  <si>
    <t>Turkey</t>
  </si>
  <si>
    <t>IT</t>
  </si>
  <si>
    <t>Italy</t>
  </si>
  <si>
    <t>🟡 Medium</t>
  </si>
  <si>
    <t>VN</t>
  </si>
  <si>
    <t>Vietnam</t>
  </si>
  <si>
    <t>CH</t>
  </si>
  <si>
    <t>Switzerland</t>
  </si>
  <si>
    <t>CN</t>
  </si>
  <si>
    <t>China</t>
  </si>
  <si>
    <t>TW</t>
  </si>
  <si>
    <t>Taiwan</t>
  </si>
  <si>
    <t>AT</t>
  </si>
  <si>
    <t>Austria</t>
  </si>
  <si>
    <t>HU</t>
  </si>
  <si>
    <t>Hungary</t>
  </si>
  <si>
    <t>🟢 Low</t>
  </si>
  <si>
    <t>SK</t>
  </si>
  <si>
    <t>Slovakia</t>
  </si>
  <si>
    <t>HK</t>
  </si>
  <si>
    <t>Hong Kong</t>
  </si>
  <si>
    <t>SE</t>
  </si>
  <si>
    <t>Sweden</t>
  </si>
  <si>
    <t>CZ</t>
  </si>
  <si>
    <t>Czech Rep.</t>
  </si>
  <si>
    <t>DE</t>
  </si>
  <si>
    <t>Germany</t>
  </si>
  <si>
    <t>BA</t>
  </si>
  <si>
    <t>SI</t>
  </si>
  <si>
    <t>Ops discipline in updating refrences in MY, TH</t>
  </si>
  <si>
    <t>Ops retraining in Problemetic area</t>
  </si>
  <si>
    <t>Measure 1</t>
  </si>
  <si>
    <t>Measure 2</t>
  </si>
  <si>
    <t>Measure 3</t>
  </si>
  <si>
    <t>SC4 - Shipment data received by Bosch doesn't have the CIV or DN reference</t>
  </si>
  <si>
    <t>SC4 - Shipment data received by Bosch has the CIV or DN reference  but do not have the correct data</t>
  </si>
  <si>
    <t>W10 F</t>
  </si>
  <si>
    <t>W12 F</t>
  </si>
  <si>
    <t>W14 F</t>
  </si>
  <si>
    <t>W16 F</t>
  </si>
  <si>
    <t>W18 F</t>
  </si>
  <si>
    <t>W6</t>
  </si>
  <si>
    <t>W7</t>
  </si>
  <si>
    <t>W8 F</t>
  </si>
  <si>
    <t>critical</t>
  </si>
  <si>
    <t>all</t>
  </si>
  <si>
    <t>W5</t>
  </si>
  <si>
    <t>ETA accuracy 2P (SC4)</t>
  </si>
  <si>
    <t>ETA Accuracy 2D (SC4)</t>
  </si>
  <si>
    <t>W18</t>
  </si>
  <si>
    <t>W14</t>
  </si>
  <si>
    <t>W16</t>
  </si>
  <si>
    <t>Fix S45 trigger based on the HBL div mode</t>
  </si>
  <si>
    <t>Maersk ( CT tower - Stefan K)</t>
  </si>
  <si>
    <t>SC3+ SC4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</si>
</sst>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s\t\a\nd\a\rd"/>
    <numFmt numFmtId="165" formatCode="0.0"/>
    <numFmt numFmtId="166" formatCode="dd/mm/yy;@"/>
    <numFmt numFmtId="167" formatCode="0.0%"/>
    <numFmt numFmtId="168" formatCode="\+0%;\-0%"/>
    <numFmt numFmtId="169" formatCode="\+0.0%;\-0.0%"/>
    <numFmt numFmtId="170" formatCode="s&quot;tan&quot;d&quot;ar&quot;d"/>
    <numFmt numFmtId="171" formatCode="0\ %;\-0\ %;0\ %"/>
    <numFmt numFmtId="172" formatCode="[$-409]mmmm\ d\,\ yyyy;@"/>
  </numFmts>
  <fonts count="98">
    <font>
      <sz val="10"/>
      <color theme="1"/>
      <name val="Arial"/>
      <family val="2"/>
    </font>
    <font>
      <sz val="10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8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20"/>
      <color indexed="8"/>
      <name val="Wingdings 3"/>
      <family val="1"/>
      <charset val="2"/>
    </font>
    <font>
      <b/>
      <sz val="22"/>
      <name val="PDCA"/>
    </font>
    <font>
      <sz val="8"/>
      <color indexed="8"/>
      <name val="Bosch Office Sans"/>
      <family val="2"/>
    </font>
    <font>
      <sz val="6"/>
      <color indexed="8"/>
      <name val="Arial"/>
      <family val="2"/>
    </font>
    <font>
      <b/>
      <sz val="10"/>
      <color indexed="8"/>
      <name val="Bosch Office Sans"/>
      <family val="2"/>
    </font>
    <font>
      <sz val="10"/>
      <color indexed="8"/>
      <name val="Bosch Office Sans"/>
      <family val="2"/>
    </font>
    <font>
      <b/>
      <sz val="10"/>
      <name val="Bosch Office Sans"/>
      <family val="2"/>
    </font>
    <font>
      <b/>
      <sz val="28"/>
      <color indexed="8"/>
      <name val="PDCA"/>
    </font>
    <font>
      <sz val="10"/>
      <name val="Bosch Office Sans"/>
      <family val="2"/>
    </font>
    <font>
      <sz val="28"/>
      <color indexed="8"/>
      <name val="PDCA"/>
    </font>
    <font>
      <sz val="26"/>
      <color indexed="8"/>
      <name val="PDCA"/>
    </font>
    <font>
      <u/>
      <sz val="11"/>
      <color indexed="12"/>
      <name val="돋움"/>
      <family val="3"/>
      <charset val="129"/>
    </font>
    <font>
      <sz val="11"/>
      <color theme="1"/>
      <name val="Calibri"/>
      <family val="2"/>
      <scheme val="minor"/>
    </font>
    <font>
      <b/>
      <sz val="14"/>
      <color rgb="FF2E75B6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i/>
      <sz val="10"/>
      <name val="Calibri"/>
      <family val="2"/>
    </font>
    <font>
      <i/>
      <sz val="10"/>
      <color indexed="8"/>
      <name val="Arial"/>
      <family val="2"/>
    </font>
    <font>
      <b/>
      <i/>
      <sz val="10"/>
      <name val="Arial"/>
      <family val="2"/>
    </font>
    <font>
      <i/>
      <sz val="20"/>
      <color indexed="8"/>
      <name val="Wingdings 3"/>
      <family val="1"/>
      <charset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rgb="FFFF0000"/>
      <name val="Aptos"/>
    </font>
    <font>
      <b/>
      <sz val="10"/>
      <color theme="0"/>
      <name val="Aptos"/>
    </font>
    <font>
      <sz val="10"/>
      <color theme="1"/>
      <name val="Aptos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Aptos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212121"/>
      <name val="Maersk Text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CC0000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CC0000"/>
      <name val="Arial"/>
      <family val="2"/>
    </font>
    <font>
      <sz val="10"/>
      <color rgb="FF008000"/>
      <name val="Arial"/>
      <family val="2"/>
    </font>
    <font>
      <b/>
      <sz val="10"/>
      <color rgb="FFFF0000"/>
      <name val="Calibri"/>
      <family val="2"/>
      <scheme val="minor"/>
    </font>
    <font>
      <b/>
      <sz val="16"/>
      <color rgb="FF1F3864"/>
      <name val="Arial"/>
      <family val="2"/>
    </font>
    <font>
      <sz val="9"/>
      <color rgb="FF666666"/>
      <name val="Arial"/>
      <family val="2"/>
    </font>
    <font>
      <b/>
      <sz val="13"/>
      <color rgb="FFC00000"/>
      <name val="Arial"/>
      <family val="2"/>
    </font>
    <font>
      <b/>
      <sz val="13"/>
      <color rgb="FF1F3864"/>
      <name val="Arial"/>
      <family val="2"/>
    </font>
    <font>
      <b/>
      <sz val="12"/>
      <color rgb="FFC00000"/>
      <name val="Arial"/>
      <family val="2"/>
    </font>
    <font>
      <b/>
      <sz val="12"/>
      <color rgb="FF1F3864"/>
      <name val="Arial"/>
      <family val="2"/>
    </font>
    <font>
      <sz val="8"/>
      <name val="Arial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sz val="20"/>
      <color rgb="FF000000"/>
      <name val="Wingdings 3"/>
      <family val="1"/>
      <charset val="2"/>
    </font>
    <font>
      <b/>
      <sz val="14"/>
      <color rgb="FFFFFFFF"/>
      <name val="Calibri"/>
      <family val="2"/>
    </font>
    <font>
      <sz val="10"/>
      <color rgb="FF404040"/>
      <name val="Calibri"/>
      <family val="2"/>
    </font>
    <font>
      <b/>
      <sz val="11"/>
      <color rgb="FF1F4E79"/>
      <name val="Calibri"/>
      <family val="2"/>
    </font>
    <font>
      <b/>
      <sz val="12"/>
      <color rgb="FFC00000"/>
      <name val="Calibri"/>
      <family val="2"/>
    </font>
    <font>
      <b/>
      <sz val="10"/>
      <color rgb="FFC00000"/>
      <name val="Calibri"/>
      <family val="2"/>
    </font>
    <font>
      <b/>
      <sz val="14"/>
      <color rgb="FF7030A0"/>
      <name val="Calibri"/>
      <family val="2"/>
    </font>
    <font>
      <b/>
      <sz val="11"/>
      <color rgb="FF7030A0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4"/>
      <color theme="0"/>
      <name val="Arial"/>
      <family val="2"/>
      <charset val="238"/>
    </font>
    <font>
      <sz val="16"/>
      <color rgb="FF000000"/>
      <name val="Tahoma"/>
      <family val="2"/>
    </font>
    <font>
      <b/>
      <i/>
      <sz val="18"/>
      <name val="Bosch Office Sans"/>
      <family val="2"/>
      <charset val="238"/>
    </font>
    <font>
      <b/>
      <i/>
      <sz val="14"/>
      <name val="Bosch Office Sans"/>
      <family val="2"/>
      <charset val="238"/>
    </font>
    <font>
      <sz val="8"/>
      <color theme="0" tint="-0.249977111117893"/>
      <name val="Bosch Office Sans"/>
      <family val="2"/>
      <charset val="238"/>
    </font>
    <font>
      <sz val="12"/>
      <color theme="1"/>
      <name val="Arial"/>
      <family val="2"/>
      <charset val="238"/>
    </font>
    <font>
      <sz val="12"/>
      <name val="Bosch Office Sans"/>
      <family val="2"/>
      <charset val="238"/>
    </font>
    <font>
      <sz val="14"/>
      <name val="Bosch Office Sans"/>
      <family val="2"/>
      <charset val="238"/>
    </font>
    <font>
      <b/>
      <sz val="14"/>
      <name val="Arial"/>
      <family val="2"/>
    </font>
    <font>
      <b/>
      <sz val="12"/>
      <name val="Arial"/>
      <family val="2"/>
    </font>
    <font>
      <b/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i/>
      <sz val="10"/>
      <color rgb="FFFFC000"/>
      <name val="Arial"/>
      <family val="2"/>
    </font>
    <font>
      <i/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sz val="9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i/>
      <sz val="8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FFF4CC"/>
        <bgColor rgb="FFFFF4CC"/>
      </patternFill>
    </fill>
    <fill>
      <patternFill patternType="solid">
        <fgColor rgb="FF1E2761"/>
        <bgColor rgb="FF1E2761"/>
      </patternFill>
    </fill>
    <fill>
      <patternFill patternType="solid">
        <fgColor rgb="FFF96167"/>
        <bgColor rgb="FFF96167"/>
      </patternFill>
    </fill>
    <fill>
      <patternFill patternType="solid">
        <fgColor rgb="FFFFF9C4"/>
        <bgColor rgb="FFFFF9C4"/>
      </patternFill>
    </fill>
    <fill>
      <patternFill patternType="solid">
        <fgColor rgb="FFFFB74D"/>
        <bgColor rgb="FFFFB74D"/>
      </patternFill>
    </fill>
    <fill>
      <patternFill patternType="solid">
        <fgColor rgb="FF64B5F6"/>
        <bgColor rgb="FF64B5F6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ED7D31"/>
        <bgColor rgb="FFFF8080"/>
      </patternFill>
    </fill>
    <fill>
      <patternFill patternType="solid">
        <fgColor rgb="FFF4B183"/>
        <bgColor rgb="FFFF99CC"/>
      </patternFill>
    </fill>
    <fill>
      <patternFill patternType="solid">
        <fgColor rgb="FFFF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7030A0"/>
        <bgColor rgb="FF7030A0"/>
      </patternFill>
    </fill>
    <fill>
      <patternFill patternType="solid">
        <fgColor theme="0" tint="-4.9989318521683403E-2"/>
        <bgColor rgb="FFFFF2F2"/>
      </patternFill>
    </fill>
    <fill>
      <patternFill patternType="solid">
        <fgColor rgb="FFFFFFFF"/>
        <bgColor rgb="FFFF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65C0"/>
        <bgColor rgb="FF1565C0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rgb="FFF2F2F2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164" fontId="1" fillId="2" borderId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46" fillId="0" borderId="0"/>
  </cellStyleXfs>
  <cellXfs count="425">
    <xf numFmtId="0" fontId="0" fillId="0" borderId="0" xfId="0"/>
    <xf numFmtId="164" fontId="5" fillId="2" borderId="2" xfId="2" applyFont="1" applyBorder="1" applyAlignment="1">
      <alignment horizontal="center" vertical="center" wrapText="1"/>
    </xf>
    <xf numFmtId="164" fontId="6" fillId="2" borderId="2" xfId="2" applyFont="1" applyBorder="1"/>
    <xf numFmtId="164" fontId="6" fillId="2" borderId="3" xfId="2" applyFont="1" applyBorder="1"/>
    <xf numFmtId="164" fontId="6" fillId="2" borderId="0" xfId="2" applyFont="1"/>
    <xf numFmtId="164" fontId="6" fillId="2" borderId="0" xfId="2" applyFont="1" applyAlignment="1">
      <alignment vertical="center"/>
    </xf>
    <xf numFmtId="49" fontId="6" fillId="2" borderId="1" xfId="2" applyNumberFormat="1" applyFont="1" applyBorder="1" applyAlignment="1">
      <alignment vertical="center"/>
    </xf>
    <xf numFmtId="49" fontId="6" fillId="2" borderId="2" xfId="2" applyNumberFormat="1" applyFont="1" applyBorder="1" applyAlignment="1">
      <alignment vertical="center"/>
    </xf>
    <xf numFmtId="49" fontId="6" fillId="2" borderId="3" xfId="2" applyNumberFormat="1" applyFont="1" applyBorder="1" applyAlignment="1">
      <alignment horizontal="right" vertical="center"/>
    </xf>
    <xf numFmtId="164" fontId="6" fillId="2" borderId="0" xfId="2" applyFont="1" applyAlignment="1">
      <alignment horizontal="centerContinuous" vertical="top"/>
    </xf>
    <xf numFmtId="164" fontId="6" fillId="2" borderId="4" xfId="2" applyFont="1" applyBorder="1"/>
    <xf numFmtId="49" fontId="7" fillId="2" borderId="5" xfId="2" applyNumberFormat="1" applyFont="1" applyBorder="1" applyAlignment="1">
      <alignment vertical="center"/>
    </xf>
    <xf numFmtId="49" fontId="8" fillId="2" borderId="6" xfId="2" applyNumberFormat="1" applyFont="1" applyBorder="1" applyAlignment="1">
      <alignment vertical="center"/>
    </xf>
    <xf numFmtId="49" fontId="6" fillId="2" borderId="7" xfId="2" applyNumberFormat="1" applyFont="1" applyBorder="1" applyAlignment="1">
      <alignment horizontal="right" vertical="center"/>
    </xf>
    <xf numFmtId="164" fontId="7" fillId="2" borderId="0" xfId="2" applyFont="1" applyAlignment="1">
      <alignment horizontal="center" vertical="center"/>
    </xf>
    <xf numFmtId="164" fontId="8" fillId="2" borderId="0" xfId="2" applyFont="1" applyAlignment="1">
      <alignment horizontal="center" vertical="center" textRotation="90"/>
    </xf>
    <xf numFmtId="49" fontId="8" fillId="2" borderId="2" xfId="2" applyNumberFormat="1" applyFont="1" applyBorder="1" applyAlignment="1">
      <alignment vertical="center"/>
    </xf>
    <xf numFmtId="49" fontId="7" fillId="2" borderId="0" xfId="2" applyNumberFormat="1" applyFont="1" applyAlignment="1">
      <alignment vertical="center"/>
    </xf>
    <xf numFmtId="49" fontId="6" fillId="2" borderId="5" xfId="2" applyNumberFormat="1" applyFont="1" applyBorder="1" applyAlignment="1">
      <alignment vertical="center"/>
    </xf>
    <xf numFmtId="49" fontId="6" fillId="2" borderId="7" xfId="2" applyNumberFormat="1" applyFont="1" applyBorder="1" applyAlignment="1">
      <alignment vertical="center"/>
    </xf>
    <xf numFmtId="0" fontId="9" fillId="4" borderId="10" xfId="2" applyNumberFormat="1" applyFont="1" applyFill="1" applyBorder="1" applyAlignment="1">
      <alignment horizontal="center" vertical="center"/>
    </xf>
    <xf numFmtId="164" fontId="9" fillId="4" borderId="11" xfId="2" applyFont="1" applyFill="1" applyBorder="1" applyAlignment="1">
      <alignment horizontal="center" vertical="center"/>
    </xf>
    <xf numFmtId="164" fontId="9" fillId="4" borderId="12" xfId="2" applyFont="1" applyFill="1" applyBorder="1" applyAlignment="1">
      <alignment horizontal="center" vertical="center"/>
    </xf>
    <xf numFmtId="164" fontId="9" fillId="4" borderId="13" xfId="2" applyFont="1" applyFill="1" applyBorder="1" applyAlignment="1">
      <alignment horizontal="center" vertical="center"/>
    </xf>
    <xf numFmtId="0" fontId="9" fillId="2" borderId="14" xfId="2" applyNumberFormat="1" applyFont="1" applyBorder="1" applyAlignment="1">
      <alignment horizontal="center" vertical="center"/>
    </xf>
    <xf numFmtId="0" fontId="9" fillId="2" borderId="0" xfId="2" applyNumberFormat="1" applyFont="1" applyAlignment="1">
      <alignment horizontal="center" vertical="center"/>
    </xf>
    <xf numFmtId="49" fontId="6" fillId="2" borderId="3" xfId="2" applyNumberFormat="1" applyFont="1" applyBorder="1" applyAlignment="1">
      <alignment vertical="center"/>
    </xf>
    <xf numFmtId="9" fontId="6" fillId="4" borderId="17" xfId="2" applyNumberFormat="1" applyFont="1" applyFill="1" applyBorder="1" applyAlignment="1">
      <alignment horizontal="center" vertical="center"/>
    </xf>
    <xf numFmtId="9" fontId="6" fillId="4" borderId="19" xfId="1" applyFont="1" applyFill="1" applyBorder="1" applyAlignment="1">
      <alignment horizontal="center" vertical="center"/>
    </xf>
    <xf numFmtId="1" fontId="6" fillId="5" borderId="20" xfId="2" applyNumberFormat="1" applyFont="1" applyFill="1" applyBorder="1" applyAlignment="1">
      <alignment horizontal="center" vertical="center"/>
    </xf>
    <xf numFmtId="1" fontId="6" fillId="5" borderId="0" xfId="2" applyNumberFormat="1" applyFont="1" applyFill="1" applyAlignment="1">
      <alignment horizontal="center" vertical="center"/>
    </xf>
    <xf numFmtId="49" fontId="6" fillId="2" borderId="21" xfId="2" applyNumberFormat="1" applyFont="1" applyBorder="1" applyAlignment="1">
      <alignment vertical="center"/>
    </xf>
    <xf numFmtId="49" fontId="6" fillId="2" borderId="0" xfId="2" applyNumberFormat="1" applyFont="1" applyAlignment="1">
      <alignment vertical="center"/>
    </xf>
    <xf numFmtId="49" fontId="7" fillId="2" borderId="5" xfId="2" applyNumberFormat="1" applyFont="1" applyBorder="1" applyAlignment="1">
      <alignment horizontal="left" vertical="center"/>
    </xf>
    <xf numFmtId="49" fontId="7" fillId="2" borderId="6" xfId="2" applyNumberFormat="1" applyFont="1" applyBorder="1" applyAlignment="1">
      <alignment horizontal="left" vertical="center"/>
    </xf>
    <xf numFmtId="49" fontId="7" fillId="2" borderId="7" xfId="2" applyNumberFormat="1" applyFont="1" applyBorder="1" applyAlignment="1">
      <alignment horizontal="left" vertical="center"/>
    </xf>
    <xf numFmtId="0" fontId="6" fillId="4" borderId="17" xfId="2" applyNumberFormat="1" applyFont="1" applyFill="1" applyBorder="1" applyAlignment="1">
      <alignment horizontal="center" vertical="center"/>
    </xf>
    <xf numFmtId="1" fontId="6" fillId="5" borderId="25" xfId="2" applyNumberFormat="1" applyFont="1" applyFill="1" applyBorder="1" applyAlignment="1">
      <alignment horizontal="center" vertical="center"/>
    </xf>
    <xf numFmtId="1" fontId="6" fillId="0" borderId="25" xfId="2" applyNumberFormat="1" applyFont="1" applyFill="1" applyBorder="1" applyAlignment="1">
      <alignment horizontal="center" vertical="center"/>
    </xf>
    <xf numFmtId="1" fontId="6" fillId="4" borderId="19" xfId="2" applyNumberFormat="1" applyFont="1" applyFill="1" applyBorder="1" applyAlignment="1">
      <alignment horizontal="center" vertical="center"/>
    </xf>
    <xf numFmtId="164" fontId="7" fillId="2" borderId="0" xfId="2" applyFont="1"/>
    <xf numFmtId="49" fontId="7" fillId="2" borderId="21" xfId="2" applyNumberFormat="1" applyFont="1" applyBorder="1" applyAlignment="1">
      <alignment vertical="center"/>
    </xf>
    <xf numFmtId="49" fontId="8" fillId="2" borderId="4" xfId="2" applyNumberFormat="1" applyFont="1" applyBorder="1" applyAlignment="1">
      <alignment vertical="center"/>
    </xf>
    <xf numFmtId="9" fontId="6" fillId="7" borderId="25" xfId="1" applyFont="1" applyFill="1" applyBorder="1" applyAlignment="1">
      <alignment horizontal="center" vertical="center"/>
    </xf>
    <xf numFmtId="0" fontId="10" fillId="7" borderId="28" xfId="2" applyNumberFormat="1" applyFont="1" applyFill="1" applyBorder="1" applyAlignment="1">
      <alignment horizontal="center" vertical="center"/>
    </xf>
    <xf numFmtId="164" fontId="6" fillId="7" borderId="29" xfId="2" applyFont="1" applyFill="1" applyBorder="1" applyAlignment="1">
      <alignment vertical="center"/>
    </xf>
    <xf numFmtId="0" fontId="6" fillId="7" borderId="29" xfId="2" applyNumberFormat="1" applyFont="1" applyFill="1" applyBorder="1" applyAlignment="1">
      <alignment horizontal="center" vertical="center"/>
    </xf>
    <xf numFmtId="165" fontId="6" fillId="7" borderId="29" xfId="2" applyNumberFormat="1" applyFont="1" applyFill="1" applyBorder="1" applyAlignment="1">
      <alignment horizontal="center" vertical="center"/>
    </xf>
    <xf numFmtId="1" fontId="6" fillId="7" borderId="29" xfId="2" applyNumberFormat="1" applyFont="1" applyFill="1" applyBorder="1" applyAlignment="1">
      <alignment horizontal="center" vertical="center"/>
    </xf>
    <xf numFmtId="1" fontId="6" fillId="7" borderId="30" xfId="2" applyNumberFormat="1" applyFont="1" applyFill="1" applyBorder="1" applyAlignment="1">
      <alignment horizontal="center" vertical="center"/>
    </xf>
    <xf numFmtId="1" fontId="6" fillId="0" borderId="0" xfId="2" applyNumberFormat="1" applyFont="1" applyFill="1" applyAlignment="1">
      <alignment horizontal="center" vertical="center"/>
    </xf>
    <xf numFmtId="164" fontId="6" fillId="0" borderId="0" xfId="2" applyFont="1" applyFill="1"/>
    <xf numFmtId="0" fontId="10" fillId="2" borderId="31" xfId="2" applyNumberFormat="1" applyFont="1" applyBorder="1" applyAlignment="1">
      <alignment horizontal="center" vertical="center"/>
    </xf>
    <xf numFmtId="164" fontId="6" fillId="0" borderId="17" xfId="2" applyFont="1" applyFill="1" applyBorder="1" applyAlignment="1">
      <alignment horizontal="center" vertical="center"/>
    </xf>
    <xf numFmtId="1" fontId="6" fillId="8" borderId="0" xfId="2" applyNumberFormat="1" applyFont="1" applyFill="1" applyAlignment="1">
      <alignment horizontal="center" vertical="center"/>
    </xf>
    <xf numFmtId="164" fontId="6" fillId="8" borderId="0" xfId="2" applyFont="1" applyFill="1"/>
    <xf numFmtId="164" fontId="6" fillId="8" borderId="17" xfId="2" applyFont="1" applyFill="1" applyBorder="1" applyAlignment="1">
      <alignment vertical="center" wrapText="1"/>
    </xf>
    <xf numFmtId="1" fontId="6" fillId="0" borderId="23" xfId="2" applyNumberFormat="1" applyFont="1" applyFill="1" applyBorder="1" applyAlignment="1">
      <alignment horizontal="center" vertical="center"/>
    </xf>
    <xf numFmtId="0" fontId="10" fillId="7" borderId="1" xfId="2" applyNumberFormat="1" applyFont="1" applyFill="1" applyBorder="1" applyAlignment="1">
      <alignment horizontal="center" vertical="center"/>
    </xf>
    <xf numFmtId="164" fontId="6" fillId="7" borderId="2" xfId="2" applyFont="1" applyFill="1" applyBorder="1" applyAlignment="1">
      <alignment vertical="center"/>
    </xf>
    <xf numFmtId="0" fontId="6" fillId="7" borderId="2" xfId="2" applyNumberFormat="1" applyFont="1" applyFill="1" applyBorder="1" applyAlignment="1">
      <alignment horizontal="center" vertical="center"/>
    </xf>
    <xf numFmtId="165" fontId="6" fillId="7" borderId="2" xfId="2" applyNumberFormat="1" applyFont="1" applyFill="1" applyBorder="1" applyAlignment="1">
      <alignment horizontal="center" vertical="center"/>
    </xf>
    <xf numFmtId="1" fontId="6" fillId="7" borderId="2" xfId="2" applyNumberFormat="1" applyFont="1" applyFill="1" applyBorder="1" applyAlignment="1">
      <alignment horizontal="center" vertical="center"/>
    </xf>
    <xf numFmtId="1" fontId="6" fillId="7" borderId="3" xfId="2" applyNumberFormat="1" applyFont="1" applyFill="1" applyBorder="1" applyAlignment="1">
      <alignment horizontal="center" vertical="center"/>
    </xf>
    <xf numFmtId="1" fontId="6" fillId="7" borderId="0" xfId="2" applyNumberFormat="1" applyFont="1" applyFill="1" applyAlignment="1">
      <alignment horizontal="center" vertical="center"/>
    </xf>
    <xf numFmtId="164" fontId="8" fillId="4" borderId="12" xfId="2" applyFont="1" applyFill="1" applyBorder="1" applyAlignment="1">
      <alignment horizontal="centerContinuous"/>
    </xf>
    <xf numFmtId="164" fontId="7" fillId="4" borderId="12" xfId="2" applyFont="1" applyFill="1" applyBorder="1" applyAlignment="1">
      <alignment horizontal="centerContinuous"/>
    </xf>
    <xf numFmtId="164" fontId="12" fillId="4" borderId="0" xfId="2" applyFont="1" applyFill="1" applyAlignment="1">
      <alignment vertical="center"/>
    </xf>
    <xf numFmtId="164" fontId="9" fillId="4" borderId="23" xfId="2" applyFont="1" applyFill="1" applyBorder="1" applyAlignment="1">
      <alignment horizontal="center" vertical="center"/>
    </xf>
    <xf numFmtId="1" fontId="14" fillId="2" borderId="23" xfId="2" quotePrefix="1" applyNumberFormat="1" applyFont="1" applyBorder="1" applyAlignment="1">
      <alignment horizontal="center" vertical="center"/>
    </xf>
    <xf numFmtId="166" fontId="14" fillId="0" borderId="23" xfId="0" applyNumberFormat="1" applyFont="1" applyBorder="1" applyAlignment="1">
      <alignment horizontal="center" vertical="center"/>
    </xf>
    <xf numFmtId="166" fontId="14" fillId="0" borderId="23" xfId="0" applyNumberFormat="1" applyFont="1" applyBorder="1" applyAlignment="1">
      <alignment horizontal="left" vertical="top"/>
    </xf>
    <xf numFmtId="0" fontId="15" fillId="8" borderId="23" xfId="2" quotePrefix="1" applyNumberFormat="1" applyFont="1" applyFill="1" applyBorder="1" applyAlignment="1">
      <alignment horizontal="center" vertical="center"/>
    </xf>
    <xf numFmtId="0" fontId="10" fillId="8" borderId="23" xfId="2" applyNumberFormat="1" applyFont="1" applyFill="1" applyBorder="1" applyAlignment="1">
      <alignment horizontal="center" vertical="center"/>
    </xf>
    <xf numFmtId="1" fontId="14" fillId="8" borderId="23" xfId="2" quotePrefix="1" applyNumberFormat="1" applyFont="1" applyFill="1" applyBorder="1" applyAlignment="1">
      <alignment horizontal="center" vertical="center"/>
    </xf>
    <xf numFmtId="164" fontId="16" fillId="2" borderId="0" xfId="2" applyFont="1"/>
    <xf numFmtId="164" fontId="18" fillId="2" borderId="0" xfId="2" applyFont="1" applyAlignment="1">
      <alignment horizontal="left"/>
    </xf>
    <xf numFmtId="164" fontId="19" fillId="2" borderId="0" xfId="2" applyFont="1" applyAlignment="1">
      <alignment horizontal="right" vertical="center"/>
    </xf>
    <xf numFmtId="164" fontId="20" fillId="2" borderId="0" xfId="2" applyFont="1" applyAlignment="1">
      <alignment horizontal="left"/>
    </xf>
    <xf numFmtId="164" fontId="21" fillId="2" borderId="0" xfId="2" applyFont="1" applyAlignment="1">
      <alignment horizontal="center" vertical="center"/>
    </xf>
    <xf numFmtId="164" fontId="22" fillId="2" borderId="0" xfId="2" applyFont="1" applyAlignment="1">
      <alignment vertical="center"/>
    </xf>
    <xf numFmtId="164" fontId="23" fillId="2" borderId="0" xfId="2" applyFont="1" applyAlignment="1">
      <alignment horizontal="left" vertical="center"/>
    </xf>
    <xf numFmtId="164" fontId="6" fillId="2" borderId="0" xfId="2" quotePrefix="1" applyFont="1" applyAlignment="1">
      <alignment vertical="center"/>
    </xf>
    <xf numFmtId="164" fontId="23" fillId="2" borderId="0" xfId="2" applyFont="1" applyAlignment="1">
      <alignment vertical="center"/>
    </xf>
    <xf numFmtId="0" fontId="14" fillId="0" borderId="0" xfId="0" applyFont="1" applyAlignment="1">
      <alignment horizontal="left" vertical="center"/>
    </xf>
    <xf numFmtId="164" fontId="22" fillId="2" borderId="0" xfId="2" applyFont="1" applyAlignment="1">
      <alignment horizontal="left" vertical="center"/>
    </xf>
    <xf numFmtId="164" fontId="17" fillId="2" borderId="0" xfId="2" applyFont="1"/>
    <xf numFmtId="166" fontId="14" fillId="0" borderId="0" xfId="0" applyNumberFormat="1" applyFont="1" applyAlignment="1">
      <alignment horizontal="center" vertical="center"/>
    </xf>
    <xf numFmtId="164" fontId="6" fillId="2" borderId="0" xfId="2" applyFont="1" applyAlignment="1">
      <alignment horizontal="left" vertical="center" wrapText="1"/>
    </xf>
    <xf numFmtId="166" fontId="14" fillId="0" borderId="0" xfId="0" applyNumberFormat="1" applyFont="1" applyAlignment="1">
      <alignment horizontal="left" vertical="top"/>
    </xf>
    <xf numFmtId="164" fontId="6" fillId="2" borderId="0" xfId="2" applyFont="1" applyAlignment="1">
      <alignment vertical="top"/>
    </xf>
    <xf numFmtId="0" fontId="14" fillId="0" borderId="0" xfId="0" applyFont="1" applyAlignment="1">
      <alignment horizontal="center" vertical="top"/>
    </xf>
    <xf numFmtId="164" fontId="18" fillId="2" borderId="0" xfId="3" applyNumberFormat="1" applyFont="1" applyFill="1" applyBorder="1" applyAlignment="1" applyProtection="1"/>
    <xf numFmtId="164" fontId="12" fillId="4" borderId="12" xfId="2" applyFont="1" applyFill="1" applyBorder="1" applyAlignment="1">
      <alignment horizontal="center" vertical="center"/>
    </xf>
    <xf numFmtId="164" fontId="12" fillId="4" borderId="23" xfId="2" applyFont="1" applyFill="1" applyBorder="1" applyAlignment="1">
      <alignment horizontal="center" vertical="center"/>
    </xf>
    <xf numFmtId="9" fontId="6" fillId="2" borderId="23" xfId="2" applyNumberFormat="1" applyFont="1" applyBorder="1" applyAlignment="1">
      <alignment horizontal="center" vertical="center"/>
    </xf>
    <xf numFmtId="0" fontId="9" fillId="4" borderId="9" xfId="2" applyNumberFormat="1" applyFont="1" applyFill="1" applyBorder="1" applyAlignment="1">
      <alignment horizontal="center" vertical="center"/>
    </xf>
    <xf numFmtId="9" fontId="6" fillId="4" borderId="16" xfId="2" applyNumberFormat="1" applyFont="1" applyFill="1" applyBorder="1" applyAlignment="1">
      <alignment horizontal="center" vertical="center"/>
    </xf>
    <xf numFmtId="0" fontId="6" fillId="4" borderId="16" xfId="2" applyNumberFormat="1" applyFont="1" applyFill="1" applyBorder="1" applyAlignment="1">
      <alignment horizontal="center" vertical="center"/>
    </xf>
    <xf numFmtId="9" fontId="6" fillId="7" borderId="38" xfId="1" applyFont="1" applyFill="1" applyBorder="1" applyAlignment="1">
      <alignment horizontal="center" vertical="center"/>
    </xf>
    <xf numFmtId="9" fontId="6" fillId="0" borderId="24" xfId="1" applyFont="1" applyFill="1" applyBorder="1" applyAlignment="1">
      <alignment horizontal="center" vertical="center"/>
    </xf>
    <xf numFmtId="0" fontId="26" fillId="0" borderId="0" xfId="4"/>
    <xf numFmtId="0" fontId="28" fillId="0" borderId="0" xfId="4" applyFont="1"/>
    <xf numFmtId="0" fontId="29" fillId="9" borderId="39" xfId="4" applyFont="1" applyFill="1" applyBorder="1" applyAlignment="1">
      <alignment horizontal="center"/>
    </xf>
    <xf numFmtId="167" fontId="26" fillId="0" borderId="0" xfId="4" applyNumberFormat="1"/>
    <xf numFmtId="0" fontId="29" fillId="9" borderId="39" xfId="4" applyFont="1" applyFill="1" applyBorder="1" applyAlignment="1">
      <alignment horizontal="center" wrapText="1"/>
    </xf>
    <xf numFmtId="0" fontId="26" fillId="10" borderId="39" xfId="4" applyFill="1" applyBorder="1"/>
    <xf numFmtId="167" fontId="26" fillId="10" borderId="39" xfId="4" applyNumberFormat="1" applyFill="1" applyBorder="1"/>
    <xf numFmtId="0" fontId="26" fillId="0" borderId="39" xfId="4" applyBorder="1"/>
    <xf numFmtId="167" fontId="26" fillId="0" borderId="39" xfId="4" applyNumberFormat="1" applyBorder="1"/>
    <xf numFmtId="49" fontId="7" fillId="2" borderId="0" xfId="2" applyNumberFormat="1" applyFont="1" applyAlignment="1">
      <alignment horizontal="left" vertical="center"/>
    </xf>
    <xf numFmtId="9" fontId="31" fillId="5" borderId="24" xfId="1" applyFont="1" applyFill="1" applyBorder="1" applyAlignment="1">
      <alignment horizontal="center" vertical="center"/>
    </xf>
    <xf numFmtId="9" fontId="31" fillId="5" borderId="18" xfId="1" applyFont="1" applyFill="1" applyBorder="1" applyAlignment="1">
      <alignment horizontal="center" vertical="center"/>
    </xf>
    <xf numFmtId="9" fontId="13" fillId="0" borderId="18" xfId="1" applyFont="1" applyFill="1" applyBorder="1" applyAlignment="1">
      <alignment horizontal="center" vertical="center"/>
    </xf>
    <xf numFmtId="9" fontId="13" fillId="0" borderId="24" xfId="1" applyFont="1" applyFill="1" applyBorder="1" applyAlignment="1">
      <alignment horizontal="center" vertical="center"/>
    </xf>
    <xf numFmtId="164" fontId="31" fillId="2" borderId="0" xfId="2" applyFont="1"/>
    <xf numFmtId="0" fontId="10" fillId="2" borderId="23" xfId="2" applyNumberFormat="1" applyFont="1" applyBorder="1" applyAlignment="1">
      <alignment horizontal="center" vertical="center"/>
    </xf>
    <xf numFmtId="0" fontId="32" fillId="2" borderId="23" xfId="2" applyNumberFormat="1" applyFont="1" applyBorder="1" applyAlignment="1">
      <alignment horizontal="center" vertical="center"/>
    </xf>
    <xf numFmtId="0" fontId="34" fillId="11" borderId="39" xfId="0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/>
    </xf>
    <xf numFmtId="0" fontId="36" fillId="0" borderId="39" xfId="0" applyFont="1" applyBorder="1" applyAlignment="1">
      <alignment vertical="top" wrapText="1"/>
    </xf>
    <xf numFmtId="0" fontId="29" fillId="12" borderId="39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29" fillId="14" borderId="39" xfId="0" applyFont="1" applyFill="1" applyBorder="1" applyAlignment="1">
      <alignment horizontal="center"/>
    </xf>
    <xf numFmtId="0" fontId="29" fillId="15" borderId="39" xfId="0" applyFont="1" applyFill="1" applyBorder="1" applyAlignment="1">
      <alignment horizontal="center"/>
    </xf>
    <xf numFmtId="0" fontId="36" fillId="0" borderId="39" xfId="0" applyFont="1" applyBorder="1"/>
    <xf numFmtId="1" fontId="33" fillId="2" borderId="23" xfId="2" quotePrefix="1" applyNumberFormat="1" applyFont="1" applyBorder="1" applyAlignment="1">
      <alignment horizontal="center" vertical="center"/>
    </xf>
    <xf numFmtId="166" fontId="33" fillId="0" borderId="23" xfId="0" applyNumberFormat="1" applyFont="1" applyBorder="1" applyAlignment="1">
      <alignment horizontal="left" vertical="top"/>
    </xf>
    <xf numFmtId="1" fontId="14" fillId="2" borderId="23" xfId="2" applyNumberFormat="1" applyFont="1" applyBorder="1" applyAlignment="1">
      <alignment horizontal="center" vertical="center"/>
    </xf>
    <xf numFmtId="15" fontId="36" fillId="0" borderId="39" xfId="0" applyNumberFormat="1" applyFont="1" applyBorder="1" applyAlignment="1">
      <alignment vertical="top" wrapText="1"/>
    </xf>
    <xf numFmtId="0" fontId="0" fillId="13" borderId="39" xfId="0" applyFill="1" applyBorder="1" applyAlignment="1">
      <alignment horizontal="center" wrapText="1"/>
    </xf>
    <xf numFmtId="17" fontId="36" fillId="0" borderId="39" xfId="0" applyNumberFormat="1" applyFont="1" applyBorder="1" applyAlignment="1">
      <alignment vertical="top" wrapText="1"/>
    </xf>
    <xf numFmtId="0" fontId="38" fillId="3" borderId="12" xfId="0" applyFont="1" applyFill="1" applyBorder="1"/>
    <xf numFmtId="0" fontId="38" fillId="3" borderId="23" xfId="0" applyFont="1" applyFill="1" applyBorder="1"/>
    <xf numFmtId="0" fontId="39" fillId="0" borderId="22" xfId="0" applyFont="1" applyBorder="1"/>
    <xf numFmtId="9" fontId="39" fillId="0" borderId="23" xfId="0" applyNumberFormat="1" applyFont="1" applyBorder="1"/>
    <xf numFmtId="10" fontId="39" fillId="0" borderId="23" xfId="0" applyNumberFormat="1" applyFont="1" applyBorder="1"/>
    <xf numFmtId="9" fontId="39" fillId="0" borderId="23" xfId="0" applyNumberFormat="1" applyFont="1" applyBorder="1" applyAlignment="1">
      <alignment wrapText="1"/>
    </xf>
    <xf numFmtId="0" fontId="39" fillId="0" borderId="23" xfId="0" applyFont="1" applyBorder="1"/>
    <xf numFmtId="9" fontId="40" fillId="0" borderId="23" xfId="0" applyNumberFormat="1" applyFont="1" applyBorder="1"/>
    <xf numFmtId="9" fontId="41" fillId="6" borderId="23" xfId="0" applyNumberFormat="1" applyFont="1" applyFill="1" applyBorder="1" applyAlignment="1">
      <alignment wrapText="1"/>
    </xf>
    <xf numFmtId="9" fontId="39" fillId="0" borderId="23" xfId="0" quotePrefix="1" applyNumberFormat="1" applyFont="1" applyBorder="1" applyAlignment="1">
      <alignment wrapText="1"/>
    </xf>
    <xf numFmtId="9" fontId="41" fillId="6" borderId="23" xfId="0" quotePrefix="1" applyNumberFormat="1" applyFont="1" applyFill="1" applyBorder="1" applyAlignment="1">
      <alignment wrapText="1"/>
    </xf>
    <xf numFmtId="9" fontId="40" fillId="0" borderId="23" xfId="0" applyNumberFormat="1" applyFont="1" applyBorder="1" applyAlignment="1">
      <alignment horizontal="right"/>
    </xf>
    <xf numFmtId="9" fontId="42" fillId="0" borderId="23" xfId="0" applyNumberFormat="1" applyFont="1" applyBorder="1"/>
    <xf numFmtId="9" fontId="43" fillId="0" borderId="23" xfId="0" applyNumberFormat="1" applyFont="1" applyBorder="1"/>
    <xf numFmtId="9" fontId="39" fillId="0" borderId="23" xfId="0" applyNumberFormat="1" applyFont="1" applyBorder="1" applyAlignment="1">
      <alignment horizontal="right"/>
    </xf>
    <xf numFmtId="0" fontId="45" fillId="0" borderId="0" xfId="0" applyFont="1"/>
    <xf numFmtId="0" fontId="46" fillId="0" borderId="0" xfId="5"/>
    <xf numFmtId="0" fontId="49" fillId="17" borderId="41" xfId="5" applyFont="1" applyFill="1" applyBorder="1" applyAlignment="1">
      <alignment horizontal="center" vertical="center" wrapText="1"/>
    </xf>
    <xf numFmtId="0" fontId="49" fillId="18" borderId="41" xfId="5" applyFont="1" applyFill="1" applyBorder="1" applyAlignment="1">
      <alignment horizontal="center" vertical="center" wrapText="1"/>
    </xf>
    <xf numFmtId="0" fontId="10" fillId="19" borderId="41" xfId="5" applyFont="1" applyFill="1" applyBorder="1" applyAlignment="1">
      <alignment horizontal="left" vertical="center"/>
    </xf>
    <xf numFmtId="0" fontId="1" fillId="19" borderId="41" xfId="5" applyFont="1" applyFill="1" applyBorder="1" applyAlignment="1">
      <alignment horizontal="center" vertical="center"/>
    </xf>
    <xf numFmtId="3" fontId="1" fillId="19" borderId="41" xfId="5" applyNumberFormat="1" applyFont="1" applyFill="1" applyBorder="1" applyAlignment="1">
      <alignment horizontal="center" vertical="center"/>
    </xf>
    <xf numFmtId="9" fontId="1" fillId="19" borderId="41" xfId="5" applyNumberFormat="1" applyFont="1" applyFill="1" applyBorder="1" applyAlignment="1">
      <alignment horizontal="center" vertical="center"/>
    </xf>
    <xf numFmtId="0" fontId="1" fillId="0" borderId="41" xfId="5" applyFont="1" applyBorder="1" applyAlignment="1">
      <alignment horizontal="left" vertical="center"/>
    </xf>
    <xf numFmtId="0" fontId="1" fillId="0" borderId="41" xfId="5" applyFont="1" applyBorder="1" applyAlignment="1">
      <alignment horizontal="center" vertical="center"/>
    </xf>
    <xf numFmtId="3" fontId="1" fillId="0" borderId="41" xfId="5" applyNumberFormat="1" applyFont="1" applyBorder="1" applyAlignment="1">
      <alignment horizontal="center" vertical="center"/>
    </xf>
    <xf numFmtId="9" fontId="1" fillId="0" borderId="41" xfId="5" applyNumberFormat="1" applyFont="1" applyBorder="1" applyAlignment="1">
      <alignment horizontal="center" vertical="center"/>
    </xf>
    <xf numFmtId="0" fontId="49" fillId="16" borderId="41" xfId="5" applyFont="1" applyFill="1" applyBorder="1" applyAlignment="1">
      <alignment horizontal="center" vertical="center" wrapText="1"/>
    </xf>
    <xf numFmtId="168" fontId="51" fillId="19" borderId="41" xfId="5" applyNumberFormat="1" applyFont="1" applyFill="1" applyBorder="1" applyAlignment="1">
      <alignment horizontal="center" vertical="center"/>
    </xf>
    <xf numFmtId="168" fontId="52" fillId="19" borderId="41" xfId="5" applyNumberFormat="1" applyFont="1" applyFill="1" applyBorder="1" applyAlignment="1">
      <alignment horizontal="center" vertical="center"/>
    </xf>
    <xf numFmtId="0" fontId="10" fillId="0" borderId="41" xfId="5" applyFont="1" applyBorder="1" applyAlignment="1">
      <alignment horizontal="center" vertical="center"/>
    </xf>
    <xf numFmtId="167" fontId="10" fillId="0" borderId="41" xfId="5" applyNumberFormat="1" applyFont="1" applyBorder="1" applyAlignment="1">
      <alignment horizontal="center" vertical="center"/>
    </xf>
    <xf numFmtId="169" fontId="51" fillId="0" borderId="41" xfId="5" applyNumberFormat="1" applyFont="1" applyBorder="1" applyAlignment="1">
      <alignment horizontal="center" vertical="center"/>
    </xf>
    <xf numFmtId="0" fontId="49" fillId="17" borderId="41" xfId="5" applyFont="1" applyFill="1" applyBorder="1" applyAlignment="1">
      <alignment horizontal="center" vertical="center"/>
    </xf>
    <xf numFmtId="169" fontId="52" fillId="0" borderId="41" xfId="5" applyNumberFormat="1" applyFont="1" applyBorder="1" applyAlignment="1">
      <alignment horizontal="center" vertical="center"/>
    </xf>
    <xf numFmtId="0" fontId="49" fillId="18" borderId="41" xfId="5" applyFont="1" applyFill="1" applyBorder="1" applyAlignment="1">
      <alignment horizontal="center" vertical="center"/>
    </xf>
    <xf numFmtId="0" fontId="49" fillId="22" borderId="41" xfId="5" applyFont="1" applyFill="1" applyBorder="1" applyAlignment="1">
      <alignment horizontal="center" vertical="center"/>
    </xf>
    <xf numFmtId="168" fontId="51" fillId="0" borderId="41" xfId="5" applyNumberFormat="1" applyFont="1" applyBorder="1" applyAlignment="1">
      <alignment horizontal="center" vertical="center"/>
    </xf>
    <xf numFmtId="168" fontId="52" fillId="0" borderId="41" xfId="5" applyNumberFormat="1" applyFont="1" applyBorder="1" applyAlignment="1">
      <alignment horizontal="center" vertical="center"/>
    </xf>
    <xf numFmtId="49" fontId="6" fillId="5" borderId="15" xfId="2" applyNumberFormat="1" applyFont="1" applyFill="1" applyBorder="1" applyAlignment="1">
      <alignment horizontal="left" vertical="center"/>
    </xf>
    <xf numFmtId="49" fontId="6" fillId="5" borderId="16" xfId="2" applyNumberFormat="1" applyFont="1" applyFill="1" applyBorder="1" applyAlignment="1">
      <alignment horizontal="left" vertical="center"/>
    </xf>
    <xf numFmtId="0" fontId="41" fillId="0" borderId="23" xfId="0" applyFont="1" applyBorder="1"/>
    <xf numFmtId="0" fontId="39" fillId="6" borderId="22" xfId="0" applyFont="1" applyFill="1" applyBorder="1"/>
    <xf numFmtId="0" fontId="40" fillId="6" borderId="23" xfId="0" applyFont="1" applyFill="1" applyBorder="1"/>
    <xf numFmtId="9" fontId="40" fillId="6" borderId="23" xfId="0" applyNumberFormat="1" applyFont="1" applyFill="1" applyBorder="1"/>
    <xf numFmtId="0" fontId="40" fillId="6" borderId="23" xfId="0" applyFont="1" applyFill="1" applyBorder="1" applyAlignment="1">
      <alignment horizontal="right"/>
    </xf>
    <xf numFmtId="9" fontId="43" fillId="6" borderId="23" xfId="0" applyNumberFormat="1" applyFont="1" applyFill="1" applyBorder="1"/>
    <xf numFmtId="0" fontId="37" fillId="0" borderId="22" xfId="0" applyFont="1" applyBorder="1"/>
    <xf numFmtId="9" fontId="41" fillId="0" borderId="23" xfId="0" applyNumberFormat="1" applyFont="1" applyBorder="1"/>
    <xf numFmtId="9" fontId="44" fillId="0" borderId="23" xfId="0" applyNumberFormat="1" applyFont="1" applyBorder="1"/>
    <xf numFmtId="0" fontId="37" fillId="0" borderId="36" xfId="0" applyFont="1" applyBorder="1"/>
    <xf numFmtId="0" fontId="41" fillId="0" borderId="37" xfId="0" applyFont="1" applyBorder="1"/>
    <xf numFmtId="9" fontId="41" fillId="0" borderId="37" xfId="0" applyNumberFormat="1" applyFont="1" applyBorder="1"/>
    <xf numFmtId="9" fontId="44" fillId="0" borderId="37" xfId="0" applyNumberFormat="1" applyFont="1" applyBorder="1"/>
    <xf numFmtId="0" fontId="55" fillId="0" borderId="0" xfId="5" applyFont="1"/>
    <xf numFmtId="0" fontId="55" fillId="0" borderId="0" xfId="5" applyFont="1" applyAlignment="1">
      <alignment horizontal="center"/>
    </xf>
    <xf numFmtId="0" fontId="54" fillId="24" borderId="0" xfId="5" applyFont="1" applyFill="1" applyAlignment="1">
      <alignment horizontal="center"/>
    </xf>
    <xf numFmtId="0" fontId="12" fillId="0" borderId="0" xfId="5" applyFont="1"/>
    <xf numFmtId="0" fontId="1" fillId="25" borderId="0" xfId="5" applyFont="1" applyFill="1"/>
    <xf numFmtId="0" fontId="1" fillId="0" borderId="0" xfId="5" applyFont="1"/>
    <xf numFmtId="0" fontId="10" fillId="0" borderId="0" xfId="5" applyFont="1"/>
    <xf numFmtId="0" fontId="1" fillId="26" borderId="0" xfId="5" applyFont="1" applyFill="1"/>
    <xf numFmtId="0" fontId="1" fillId="27" borderId="0" xfId="5" applyFont="1" applyFill="1"/>
    <xf numFmtId="0" fontId="58" fillId="0" borderId="0" xfId="5" applyFont="1"/>
    <xf numFmtId="0" fontId="59" fillId="0" borderId="0" xfId="5" applyFont="1"/>
    <xf numFmtId="0" fontId="1" fillId="0" borderId="23" xfId="0" applyFont="1" applyBorder="1" applyAlignment="1">
      <alignment vertical="top" wrapText="1"/>
    </xf>
    <xf numFmtId="0" fontId="1" fillId="0" borderId="23" xfId="0" applyFont="1" applyBorder="1"/>
    <xf numFmtId="167" fontId="1" fillId="0" borderId="23" xfId="0" applyNumberFormat="1" applyFont="1" applyBorder="1"/>
    <xf numFmtId="0" fontId="1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9" fontId="60" fillId="0" borderId="23" xfId="0" applyNumberFormat="1" applyFont="1" applyBorder="1"/>
    <xf numFmtId="166" fontId="63" fillId="0" borderId="23" xfId="0" applyNumberFormat="1" applyFont="1" applyBorder="1" applyAlignment="1">
      <alignment horizontal="center" vertical="center"/>
    </xf>
    <xf numFmtId="0" fontId="65" fillId="0" borderId="0" xfId="4" applyFont="1"/>
    <xf numFmtId="0" fontId="66" fillId="0" borderId="0" xfId="4" applyFont="1"/>
    <xf numFmtId="0" fontId="65" fillId="0" borderId="42" xfId="4" applyFont="1" applyBorder="1"/>
    <xf numFmtId="0" fontId="67" fillId="0" borderId="0" xfId="4" applyFont="1"/>
    <xf numFmtId="0" fontId="68" fillId="0" borderId="0" xfId="4" applyFont="1"/>
    <xf numFmtId="0" fontId="69" fillId="0" borderId="0" xfId="4" applyFont="1"/>
    <xf numFmtId="0" fontId="29" fillId="30" borderId="42" xfId="4" applyFont="1" applyFill="1" applyBorder="1"/>
    <xf numFmtId="0" fontId="68" fillId="0" borderId="42" xfId="4" applyFont="1" applyBorder="1"/>
    <xf numFmtId="0" fontId="70" fillId="0" borderId="0" xfId="4" applyFont="1"/>
    <xf numFmtId="0" fontId="29" fillId="31" borderId="42" xfId="4" applyFont="1" applyFill="1" applyBorder="1"/>
    <xf numFmtId="9" fontId="6" fillId="4" borderId="19" xfId="2" applyNumberFormat="1" applyFont="1" applyFill="1" applyBorder="1" applyAlignment="1">
      <alignment horizontal="center" vertical="center"/>
    </xf>
    <xf numFmtId="0" fontId="1" fillId="0" borderId="19" xfId="0" applyFont="1" applyBorder="1"/>
    <xf numFmtId="0" fontId="1" fillId="0" borderId="16" xfId="0" applyFont="1" applyBorder="1"/>
    <xf numFmtId="0" fontId="1" fillId="0" borderId="18" xfId="0" applyFont="1" applyBorder="1"/>
    <xf numFmtId="10" fontId="1" fillId="0" borderId="23" xfId="0" applyNumberFormat="1" applyFont="1" applyBorder="1"/>
    <xf numFmtId="0" fontId="71" fillId="0" borderId="43" xfId="0" applyFont="1" applyBorder="1" applyAlignment="1">
      <alignment horizontal="center"/>
    </xf>
    <xf numFmtId="9" fontId="71" fillId="0" borderId="43" xfId="0" applyNumberFormat="1" applyFont="1" applyBorder="1" applyAlignment="1">
      <alignment horizontal="center"/>
    </xf>
    <xf numFmtId="9" fontId="71" fillId="0" borderId="44" xfId="0" applyNumberFormat="1" applyFont="1" applyBorder="1" applyAlignment="1">
      <alignment horizontal="center"/>
    </xf>
    <xf numFmtId="0" fontId="46" fillId="0" borderId="0" xfId="5" applyAlignment="1">
      <alignment horizontal="center"/>
    </xf>
    <xf numFmtId="170" fontId="72" fillId="32" borderId="14" xfId="0" applyNumberFormat="1" applyFont="1" applyFill="1" applyBorder="1" applyAlignment="1">
      <alignment horizontal="center" vertical="center"/>
    </xf>
    <xf numFmtId="170" fontId="73" fillId="32" borderId="14" xfId="0" applyNumberFormat="1" applyFont="1" applyFill="1" applyBorder="1" applyAlignment="1">
      <alignment horizontal="center" vertical="center"/>
    </xf>
    <xf numFmtId="170" fontId="73" fillId="32" borderId="14" xfId="0" applyNumberFormat="1" applyFont="1" applyFill="1" applyBorder="1" applyAlignment="1">
      <alignment horizontal="center" vertical="center" wrapText="1"/>
    </xf>
    <xf numFmtId="0" fontId="74" fillId="32" borderId="1" xfId="0" applyFont="1" applyFill="1" applyBorder="1" applyAlignment="1">
      <alignment horizontal="center" vertical="center"/>
    </xf>
    <xf numFmtId="0" fontId="74" fillId="32" borderId="23" xfId="0" applyFont="1" applyFill="1" applyBorder="1" applyAlignment="1">
      <alignment horizontal="center" vertical="center"/>
    </xf>
    <xf numFmtId="170" fontId="74" fillId="32" borderId="23" xfId="0" applyNumberFormat="1" applyFont="1" applyFill="1" applyBorder="1" applyAlignment="1">
      <alignment horizontal="center" vertical="center"/>
    </xf>
    <xf numFmtId="170" fontId="74" fillId="32" borderId="45" xfId="0" applyNumberFormat="1" applyFont="1" applyFill="1" applyBorder="1" applyAlignment="1">
      <alignment horizontal="center" vertical="center"/>
    </xf>
    <xf numFmtId="170" fontId="74" fillId="32" borderId="46" xfId="0" applyNumberFormat="1" applyFont="1" applyFill="1" applyBorder="1" applyAlignment="1">
      <alignment horizontal="center" vertical="center"/>
    </xf>
    <xf numFmtId="1" fontId="75" fillId="33" borderId="23" xfId="0" applyNumberFormat="1" applyFont="1" applyFill="1" applyBorder="1" applyAlignment="1">
      <alignment horizontal="center" vertical="center"/>
    </xf>
    <xf numFmtId="170" fontId="76" fillId="33" borderId="23" xfId="0" applyNumberFormat="1" applyFont="1" applyFill="1" applyBorder="1" applyAlignment="1">
      <alignment vertical="center"/>
    </xf>
    <xf numFmtId="9" fontId="0" fillId="0" borderId="23" xfId="0" applyNumberFormat="1" applyBorder="1"/>
    <xf numFmtId="10" fontId="76" fillId="33" borderId="23" xfId="0" applyNumberFormat="1" applyFont="1" applyFill="1" applyBorder="1" applyAlignment="1">
      <alignment vertical="center"/>
    </xf>
    <xf numFmtId="170" fontId="76" fillId="33" borderId="23" xfId="0" applyNumberFormat="1" applyFont="1" applyFill="1" applyBorder="1"/>
    <xf numFmtId="0" fontId="77" fillId="0" borderId="23" xfId="0" applyFont="1" applyBorder="1" applyAlignment="1">
      <alignment vertical="top" wrapText="1"/>
    </xf>
    <xf numFmtId="0" fontId="77" fillId="0" borderId="23" xfId="0" applyFont="1" applyBorder="1"/>
    <xf numFmtId="167" fontId="77" fillId="0" borderId="23" xfId="0" applyNumberFormat="1" applyFont="1" applyBorder="1"/>
    <xf numFmtId="9" fontId="76" fillId="0" borderId="24" xfId="0" applyNumberFormat="1" applyFont="1" applyBorder="1" applyAlignment="1">
      <alignment horizontal="center" vertical="center"/>
    </xf>
    <xf numFmtId="0" fontId="77" fillId="0" borderId="19" xfId="0" applyFont="1" applyBorder="1"/>
    <xf numFmtId="0" fontId="77" fillId="0" borderId="16" xfId="0" applyFont="1" applyBorder="1"/>
    <xf numFmtId="0" fontId="77" fillId="0" borderId="18" xfId="0" applyFont="1" applyBorder="1"/>
    <xf numFmtId="3" fontId="0" fillId="0" borderId="47" xfId="0" applyNumberFormat="1" applyBorder="1" applyAlignment="1">
      <alignment horizontal="center"/>
    </xf>
    <xf numFmtId="171" fontId="0" fillId="0" borderId="47" xfId="0" applyNumberFormat="1" applyBorder="1" applyAlignment="1">
      <alignment horizontal="center"/>
    </xf>
    <xf numFmtId="171" fontId="0" fillId="0" borderId="48" xfId="0" applyNumberFormat="1" applyBorder="1" applyAlignment="1">
      <alignment horizontal="center"/>
    </xf>
    <xf numFmtId="9" fontId="76" fillId="33" borderId="23" xfId="0" applyNumberFormat="1" applyFont="1" applyFill="1" applyBorder="1" applyAlignment="1">
      <alignment vertical="center"/>
    </xf>
    <xf numFmtId="9" fontId="76" fillId="33" borderId="23" xfId="0" applyNumberFormat="1" applyFont="1" applyFill="1" applyBorder="1"/>
    <xf numFmtId="10" fontId="77" fillId="0" borderId="23" xfId="0" applyNumberFormat="1" applyFont="1" applyBorder="1"/>
    <xf numFmtId="9" fontId="6" fillId="0" borderId="24" xfId="1" applyFont="1" applyFill="1" applyBorder="1" applyAlignment="1">
      <alignment horizontal="right" vertical="center"/>
    </xf>
    <xf numFmtId="167" fontId="0" fillId="0" borderId="0" xfId="0" applyNumberFormat="1"/>
    <xf numFmtId="170" fontId="76" fillId="33" borderId="19" xfId="0" applyNumberFormat="1" applyFont="1" applyFill="1" applyBorder="1" applyAlignment="1">
      <alignment horizontal="left" vertical="center"/>
    </xf>
    <xf numFmtId="170" fontId="76" fillId="33" borderId="16" xfId="0" applyNumberFormat="1" applyFont="1" applyFill="1" applyBorder="1" applyAlignment="1">
      <alignment horizontal="left" vertical="center"/>
    </xf>
    <xf numFmtId="170" fontId="76" fillId="33" borderId="18" xfId="0" applyNumberFormat="1" applyFont="1" applyFill="1" applyBorder="1" applyAlignment="1">
      <alignment horizontal="left" vertical="center"/>
    </xf>
    <xf numFmtId="0" fontId="78" fillId="8" borderId="0" xfId="4" applyFont="1" applyFill="1"/>
    <xf numFmtId="0" fontId="26" fillId="8" borderId="0" xfId="4" applyFill="1"/>
    <xf numFmtId="0" fontId="81" fillId="8" borderId="0" xfId="4" applyFont="1" applyFill="1" applyAlignment="1">
      <alignment horizontal="center" vertical="center"/>
    </xf>
    <xf numFmtId="0" fontId="80" fillId="8" borderId="0" xfId="4" applyFont="1" applyFill="1" applyAlignment="1">
      <alignment horizontal="center" vertical="center"/>
    </xf>
    <xf numFmtId="0" fontId="82" fillId="8" borderId="0" xfId="4" applyFont="1" applyFill="1" applyAlignment="1">
      <alignment horizontal="center" vertical="center" wrapText="1"/>
    </xf>
    <xf numFmtId="0" fontId="83" fillId="8" borderId="0" xfId="4" applyFont="1" applyFill="1" applyAlignment="1">
      <alignment horizontal="left" vertical="top"/>
    </xf>
    <xf numFmtId="0" fontId="84" fillId="8" borderId="49" xfId="4" applyFont="1" applyFill="1" applyBorder="1" applyAlignment="1" applyProtection="1">
      <alignment horizontal="left" vertical="center"/>
      <protection locked="0"/>
    </xf>
    <xf numFmtId="0" fontId="84" fillId="8" borderId="52" xfId="4" applyFont="1" applyFill="1" applyBorder="1" applyAlignment="1" applyProtection="1">
      <alignment horizontal="center" vertical="center"/>
      <protection locked="0"/>
    </xf>
    <xf numFmtId="0" fontId="84" fillId="8" borderId="54" xfId="4" applyFont="1" applyFill="1" applyBorder="1" applyAlignment="1" applyProtection="1">
      <alignment horizontal="left" vertical="center"/>
      <protection locked="0"/>
    </xf>
    <xf numFmtId="0" fontId="83" fillId="8" borderId="0" xfId="4" applyFont="1" applyFill="1" applyAlignment="1">
      <alignment horizontal="left"/>
    </xf>
    <xf numFmtId="0" fontId="84" fillId="8" borderId="52" xfId="4" applyFont="1" applyFill="1" applyBorder="1" applyAlignment="1" applyProtection="1">
      <alignment vertical="center"/>
      <protection locked="0"/>
    </xf>
    <xf numFmtId="0" fontId="83" fillId="8" borderId="0" xfId="4" applyFont="1" applyFill="1" applyAlignment="1">
      <alignment vertical="top"/>
    </xf>
    <xf numFmtId="0" fontId="84" fillId="8" borderId="0" xfId="4" applyFont="1" applyFill="1" applyAlignment="1">
      <alignment horizontal="left" vertical="center"/>
    </xf>
    <xf numFmtId="0" fontId="84" fillId="8" borderId="0" xfId="4" applyFont="1" applyFill="1" applyAlignment="1">
      <alignment horizontal="center" vertical="center"/>
    </xf>
    <xf numFmtId="0" fontId="84" fillId="8" borderId="0" xfId="4" applyFont="1" applyFill="1" applyAlignment="1">
      <alignment vertical="center"/>
    </xf>
    <xf numFmtId="0" fontId="85" fillId="8" borderId="0" xfId="4" applyFont="1" applyFill="1" applyAlignment="1">
      <alignment horizontal="left" vertical="center"/>
    </xf>
    <xf numFmtId="49" fontId="1" fillId="0" borderId="23" xfId="4" applyNumberFormat="1" applyFont="1" applyBorder="1" applyAlignment="1">
      <alignment horizontal="left" vertical="top" wrapText="1"/>
    </xf>
    <xf numFmtId="0" fontId="26" fillId="5" borderId="0" xfId="4" applyFill="1" applyAlignment="1">
      <alignment horizontal="left" vertical="top"/>
    </xf>
    <xf numFmtId="170" fontId="76" fillId="33" borderId="23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9" fontId="90" fillId="0" borderId="24" xfId="0" applyNumberFormat="1" applyFont="1" applyBorder="1" applyAlignment="1">
      <alignment horizontal="center" vertical="center"/>
    </xf>
    <xf numFmtId="9" fontId="6" fillId="5" borderId="0" xfId="1" applyFont="1" applyFill="1" applyAlignment="1">
      <alignment horizontal="center" vertical="center"/>
    </xf>
    <xf numFmtId="9" fontId="91" fillId="33" borderId="23" xfId="1" applyFont="1" applyFill="1" applyBorder="1" applyAlignment="1">
      <alignment vertical="center"/>
    </xf>
    <xf numFmtId="2" fontId="4" fillId="5" borderId="20" xfId="2" applyNumberFormat="1" applyFont="1" applyFill="1" applyBorder="1" applyAlignment="1">
      <alignment horizontal="center" vertical="center"/>
    </xf>
    <xf numFmtId="1" fontId="3" fillId="5" borderId="20" xfId="2" applyNumberFormat="1" applyFont="1" applyFill="1" applyBorder="1" applyAlignment="1">
      <alignment horizontal="center" vertical="center"/>
    </xf>
    <xf numFmtId="1" fontId="3" fillId="8" borderId="20" xfId="2" applyNumberFormat="1" applyFont="1" applyFill="1" applyBorder="1" applyAlignment="1">
      <alignment horizontal="center" vertical="center"/>
    </xf>
    <xf numFmtId="2" fontId="4" fillId="36" borderId="20" xfId="0" applyNumberFormat="1" applyFont="1" applyFill="1" applyBorder="1" applyAlignment="1">
      <alignment horizontal="center" vertical="center"/>
    </xf>
    <xf numFmtId="0" fontId="1" fillId="28" borderId="19" xfId="0" applyFont="1" applyFill="1" applyBorder="1"/>
    <xf numFmtId="0" fontId="1" fillId="28" borderId="16" xfId="0" applyFont="1" applyFill="1" applyBorder="1"/>
    <xf numFmtId="0" fontId="1" fillId="28" borderId="18" xfId="0" applyFont="1" applyFill="1" applyBorder="1"/>
    <xf numFmtId="0" fontId="0" fillId="0" borderId="23" xfId="0" applyBorder="1"/>
    <xf numFmtId="0" fontId="0" fillId="0" borderId="23" xfId="0" applyBorder="1" applyAlignment="1">
      <alignment wrapText="1"/>
    </xf>
    <xf numFmtId="167" fontId="1" fillId="0" borderId="23" xfId="0" applyNumberFormat="1" applyFont="1" applyBorder="1" applyAlignment="1">
      <alignment horizontal="right"/>
    </xf>
    <xf numFmtId="9" fontId="6" fillId="0" borderId="24" xfId="1" applyFont="1" applyBorder="1" applyAlignment="1">
      <alignment horizontal="right" vertical="center"/>
    </xf>
    <xf numFmtId="0" fontId="0" fillId="6" borderId="0" xfId="0" applyFill="1"/>
    <xf numFmtId="0" fontId="0" fillId="37" borderId="0" xfId="0" applyFill="1"/>
    <xf numFmtId="0" fontId="92" fillId="0" borderId="0" xfId="0" applyFont="1"/>
    <xf numFmtId="0" fontId="0" fillId="38" borderId="0" xfId="0" applyFill="1"/>
    <xf numFmtId="0" fontId="1" fillId="0" borderId="23" xfId="0" applyFont="1" applyBorder="1" applyAlignment="1">
      <alignment horizontal="center" vertical="center" wrapText="1"/>
    </xf>
    <xf numFmtId="0" fontId="26" fillId="8" borderId="23" xfId="4" applyFill="1" applyBorder="1"/>
    <xf numFmtId="0" fontId="86" fillId="34" borderId="23" xfId="4" applyFont="1" applyFill="1" applyBorder="1" applyAlignment="1">
      <alignment horizontal="center" vertical="center" wrapText="1"/>
    </xf>
    <xf numFmtId="0" fontId="86" fillId="34" borderId="23" xfId="4" applyFont="1" applyFill="1" applyBorder="1" applyAlignment="1">
      <alignment horizontal="center" vertical="center"/>
    </xf>
    <xf numFmtId="0" fontId="87" fillId="35" borderId="23" xfId="4" applyFont="1" applyFill="1" applyBorder="1" applyAlignment="1">
      <alignment horizontal="center" vertical="center" wrapText="1"/>
    </xf>
    <xf numFmtId="0" fontId="26" fillId="5" borderId="23" xfId="4" applyFill="1" applyBorder="1" applyAlignment="1">
      <alignment horizontal="left" vertical="top" wrapText="1"/>
    </xf>
    <xf numFmtId="49" fontId="4" fillId="0" borderId="23" xfId="4" applyNumberFormat="1" applyFont="1" applyBorder="1" applyAlignment="1">
      <alignment horizontal="left" vertical="top" wrapText="1"/>
    </xf>
    <xf numFmtId="0" fontId="89" fillId="5" borderId="23" xfId="4" applyFont="1" applyFill="1" applyBorder="1" applyAlignment="1">
      <alignment horizontal="left" vertical="top" wrapText="1"/>
    </xf>
    <xf numFmtId="0" fontId="26" fillId="8" borderId="23" xfId="4" applyFill="1" applyBorder="1" applyAlignment="1">
      <alignment vertical="top" wrapText="1"/>
    </xf>
    <xf numFmtId="0" fontId="1" fillId="0" borderId="23" xfId="0" applyFont="1" applyBorder="1" applyAlignment="1">
      <alignment horizontal="center" vertical="top" wrapText="1"/>
    </xf>
    <xf numFmtId="170" fontId="76" fillId="33" borderId="23" xfId="0" applyNumberFormat="1" applyFont="1" applyFill="1" applyBorder="1" applyAlignment="1">
      <alignment horizontal="left" vertical="center"/>
    </xf>
    <xf numFmtId="0" fontId="35" fillId="0" borderId="0" xfId="0" applyFont="1"/>
    <xf numFmtId="0" fontId="29" fillId="39" borderId="55" xfId="0" applyFont="1" applyFill="1" applyBorder="1" applyAlignment="1">
      <alignment horizontal="center" vertical="center"/>
    </xf>
    <xf numFmtId="0" fontId="36" fillId="0" borderId="55" xfId="0" applyFont="1" applyBorder="1" applyAlignment="1">
      <alignment horizontal="center" vertical="center"/>
    </xf>
    <xf numFmtId="0" fontId="36" fillId="0" borderId="55" xfId="0" applyFont="1" applyBorder="1" applyAlignment="1">
      <alignment horizontal="left" vertical="center"/>
    </xf>
    <xf numFmtId="3" fontId="36" fillId="0" borderId="55" xfId="0" applyNumberFormat="1" applyFont="1" applyBorder="1" applyAlignment="1">
      <alignment horizontal="center" vertical="center"/>
    </xf>
    <xf numFmtId="167" fontId="36" fillId="40" borderId="55" xfId="0" applyNumberFormat="1" applyFont="1" applyFill="1" applyBorder="1" applyAlignment="1">
      <alignment horizontal="center" vertical="center"/>
    </xf>
    <xf numFmtId="167" fontId="36" fillId="0" borderId="55" xfId="0" applyNumberFormat="1" applyFont="1" applyBorder="1" applyAlignment="1">
      <alignment horizontal="center" vertical="center"/>
    </xf>
    <xf numFmtId="0" fontId="93" fillId="40" borderId="55" xfId="0" applyFont="1" applyFill="1" applyBorder="1" applyAlignment="1">
      <alignment horizontal="center" vertical="center"/>
    </xf>
    <xf numFmtId="0" fontId="93" fillId="41" borderId="55" xfId="0" applyFont="1" applyFill="1" applyBorder="1" applyAlignment="1">
      <alignment horizontal="center" vertical="center"/>
    </xf>
    <xf numFmtId="167" fontId="36" fillId="42" borderId="55" xfId="0" applyNumberFormat="1" applyFont="1" applyFill="1" applyBorder="1" applyAlignment="1">
      <alignment horizontal="center" vertical="center"/>
    </xf>
    <xf numFmtId="167" fontId="36" fillId="43" borderId="55" xfId="0" applyNumberFormat="1" applyFont="1" applyFill="1" applyBorder="1" applyAlignment="1">
      <alignment horizontal="center" vertical="center"/>
    </xf>
    <xf numFmtId="0" fontId="93" fillId="43" borderId="55" xfId="0" applyFont="1" applyFill="1" applyBorder="1" applyAlignment="1">
      <alignment horizontal="center" vertical="center"/>
    </xf>
    <xf numFmtId="0" fontId="93" fillId="42" borderId="55" xfId="0" applyFont="1" applyFill="1" applyBorder="1" applyAlignment="1">
      <alignment horizontal="center" vertical="center"/>
    </xf>
    <xf numFmtId="0" fontId="0" fillId="44" borderId="0" xfId="0" applyFill="1"/>
    <xf numFmtId="0" fontId="92" fillId="44" borderId="0" xfId="0" applyFont="1" applyFill="1"/>
    <xf numFmtId="171" fontId="1" fillId="19" borderId="41" xfId="5" applyNumberFormat="1" applyFont="1" applyFill="1" applyBorder="1" applyAlignment="1">
      <alignment horizontal="center" vertical="center"/>
    </xf>
    <xf numFmtId="3" fontId="46" fillId="0" borderId="0" xfId="5" applyNumberFormat="1"/>
    <xf numFmtId="3" fontId="94" fillId="0" borderId="0" xfId="5" applyNumberFormat="1" applyFont="1"/>
    <xf numFmtId="9" fontId="13" fillId="0" borderId="18" xfId="1" applyFont="1" applyBorder="1" applyAlignment="1">
      <alignment horizontal="center" vertical="center"/>
    </xf>
    <xf numFmtId="9" fontId="95" fillId="0" borderId="0" xfId="1" applyFont="1"/>
    <xf numFmtId="9" fontId="96" fillId="0" borderId="0" xfId="1" applyFont="1"/>
    <xf numFmtId="164" fontId="97" fillId="4" borderId="12" xfId="2" applyFont="1" applyFill="1" applyBorder="1" applyAlignment="1">
      <alignment horizontal="center" vertical="center"/>
    </xf>
    <xf numFmtId="0" fontId="10" fillId="45" borderId="23" xfId="2" applyNumberFormat="1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vertical="top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3" xfId="0" applyFont="1" applyFill="1" applyBorder="1"/>
    <xf numFmtId="1" fontId="14" fillId="6" borderId="23" xfId="2" quotePrefix="1" applyNumberFormat="1" applyFont="1" applyFill="1" applyBorder="1" applyAlignment="1">
      <alignment horizontal="center" vertical="center"/>
    </xf>
    <xf numFmtId="1" fontId="14" fillId="45" borderId="23" xfId="2" quotePrefix="1" applyNumberFormat="1" applyFont="1" applyFill="1" applyBorder="1" applyAlignment="1">
      <alignment horizontal="center" vertical="center"/>
    </xf>
    <xf numFmtId="1" fontId="14" fillId="45" borderId="23" xfId="2" applyNumberFormat="1" applyFont="1" applyFill="1" applyBorder="1" applyAlignment="1">
      <alignment horizontal="center" vertical="center"/>
    </xf>
    <xf numFmtId="9" fontId="60" fillId="6" borderId="23" xfId="0" applyNumberFormat="1" applyFont="1" applyFill="1" applyBorder="1"/>
    <xf numFmtId="0" fontId="15" fillId="6" borderId="23" xfId="2" quotePrefix="1" applyNumberFormat="1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170" fontId="76" fillId="33" borderId="19" xfId="0" applyNumberFormat="1" applyFont="1" applyFill="1" applyBorder="1" applyAlignment="1">
      <alignment horizontal="left" vertical="center"/>
    </xf>
    <xf numFmtId="170" fontId="76" fillId="33" borderId="16" xfId="0" applyNumberFormat="1" applyFont="1" applyFill="1" applyBorder="1" applyAlignment="1">
      <alignment horizontal="left" vertical="center"/>
    </xf>
    <xf numFmtId="170" fontId="76" fillId="33" borderId="18" xfId="0" applyNumberFormat="1" applyFont="1" applyFill="1" applyBorder="1" applyAlignment="1">
      <alignment horizontal="left" vertical="center"/>
    </xf>
    <xf numFmtId="164" fontId="6" fillId="2" borderId="0" xfId="2" applyFont="1"/>
    <xf numFmtId="0" fontId="0" fillId="0" borderId="0" xfId="0"/>
    <xf numFmtId="164" fontId="13" fillId="4" borderId="12" xfId="2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64" fontId="13" fillId="4" borderId="12" xfId="2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" fillId="28" borderId="23" xfId="0" applyFont="1" applyFill="1" applyBorder="1"/>
    <xf numFmtId="0" fontId="1" fillId="28" borderId="19" xfId="0" applyFont="1" applyFill="1" applyBorder="1"/>
    <xf numFmtId="0" fontId="1" fillId="28" borderId="16" xfId="0" applyFont="1" applyFill="1" applyBorder="1"/>
    <xf numFmtId="0" fontId="1" fillId="28" borderId="18" xfId="0" applyFont="1" applyFill="1" applyBorder="1"/>
    <xf numFmtId="0" fontId="1" fillId="46" borderId="23" xfId="0" applyFont="1" applyFill="1" applyBorder="1"/>
    <xf numFmtId="164" fontId="12" fillId="4" borderId="12" xfId="2" applyFont="1" applyFill="1" applyBorder="1" applyAlignment="1">
      <alignment horizontal="center" vertical="center"/>
    </xf>
    <xf numFmtId="164" fontId="12" fillId="4" borderId="23" xfId="2" applyFont="1" applyFill="1" applyBorder="1" applyAlignment="1">
      <alignment horizontal="center" vertical="center"/>
    </xf>
    <xf numFmtId="164" fontId="12" fillId="4" borderId="34" xfId="2" applyFont="1" applyFill="1" applyBorder="1" applyAlignment="1">
      <alignment horizontal="center" vertical="center"/>
    </xf>
    <xf numFmtId="164" fontId="12" fillId="4" borderId="35" xfId="2" applyFont="1" applyFill="1" applyBorder="1" applyAlignment="1">
      <alignment horizontal="center" vertical="center"/>
    </xf>
    <xf numFmtId="0" fontId="1" fillId="0" borderId="23" xfId="0" applyFont="1" applyBorder="1"/>
    <xf numFmtId="49" fontId="1" fillId="0" borderId="15" xfId="2" applyNumberFormat="1" applyFill="1" applyBorder="1" applyAlignment="1">
      <alignment horizontal="center" vertical="center"/>
    </xf>
    <xf numFmtId="49" fontId="1" fillId="0" borderId="16" xfId="2" applyNumberFormat="1" applyFill="1" applyBorder="1" applyAlignment="1">
      <alignment horizontal="center" vertical="center"/>
    </xf>
    <xf numFmtId="49" fontId="1" fillId="0" borderId="32" xfId="2" applyNumberFormat="1" applyFill="1" applyBorder="1" applyAlignment="1">
      <alignment horizontal="center" vertical="center"/>
    </xf>
    <xf numFmtId="164" fontId="6" fillId="2" borderId="0" xfId="2" applyFont="1" applyAlignment="1">
      <alignment horizontal="left" vertical="center" wrapText="1"/>
    </xf>
    <xf numFmtId="164" fontId="2" fillId="3" borderId="1" xfId="2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9" fontId="6" fillId="2" borderId="1" xfId="2" applyNumberFormat="1" applyFont="1" applyBorder="1" applyAlignment="1">
      <alignment vertical="center"/>
    </xf>
    <xf numFmtId="49" fontId="6" fillId="2" borderId="2" xfId="2" applyNumberFormat="1" applyFont="1" applyBorder="1" applyAlignment="1">
      <alignment vertical="center"/>
    </xf>
    <xf numFmtId="164" fontId="9" fillId="4" borderId="8" xfId="2" applyFont="1" applyFill="1" applyBorder="1" applyAlignment="1">
      <alignment horizontal="left" vertical="center"/>
    </xf>
    <xf numFmtId="164" fontId="9" fillId="4" borderId="9" xfId="2" applyFont="1" applyFill="1" applyBorder="1" applyAlignment="1">
      <alignment horizontal="left" vertical="center"/>
    </xf>
    <xf numFmtId="49" fontId="6" fillId="5" borderId="15" xfId="2" applyNumberFormat="1" applyFont="1" applyFill="1" applyBorder="1" applyAlignment="1">
      <alignment horizontal="left" vertical="center"/>
    </xf>
    <xf numFmtId="49" fontId="6" fillId="5" borderId="16" xfId="2" applyNumberFormat="1" applyFont="1" applyFill="1" applyBorder="1" applyAlignment="1">
      <alignment horizontal="left" vertical="center"/>
    </xf>
    <xf numFmtId="164" fontId="7" fillId="4" borderId="33" xfId="2" applyFont="1" applyFill="1" applyBorder="1" applyAlignment="1">
      <alignment horizontal="center" vertical="center"/>
    </xf>
    <xf numFmtId="164" fontId="7" fillId="4" borderId="22" xfId="2" applyFont="1" applyFill="1" applyBorder="1" applyAlignment="1">
      <alignment horizontal="center" vertical="center"/>
    </xf>
    <xf numFmtId="164" fontId="7" fillId="4" borderId="12" xfId="2" applyFont="1" applyFill="1" applyBorder="1" applyAlignment="1">
      <alignment horizontal="center" vertical="center"/>
    </xf>
    <xf numFmtId="164" fontId="7" fillId="4" borderId="23" xfId="2" applyFont="1" applyFill="1" applyBorder="1" applyAlignment="1">
      <alignment horizontal="center" vertical="center"/>
    </xf>
    <xf numFmtId="164" fontId="11" fillId="4" borderId="12" xfId="2" applyFont="1" applyFill="1" applyBorder="1" applyAlignment="1">
      <alignment horizontal="center" vertical="center" wrapText="1"/>
    </xf>
    <xf numFmtId="164" fontId="11" fillId="4" borderId="23" xfId="2" applyFont="1" applyFill="1" applyBorder="1" applyAlignment="1">
      <alignment horizontal="center" vertical="center" wrapText="1"/>
    </xf>
    <xf numFmtId="164" fontId="11" fillId="4" borderId="23" xfId="2" applyFont="1" applyFill="1" applyBorder="1" applyAlignment="1">
      <alignment horizontal="center" vertical="center"/>
    </xf>
    <xf numFmtId="49" fontId="1" fillId="5" borderId="22" xfId="2" applyNumberFormat="1" applyFill="1" applyBorder="1" applyAlignment="1">
      <alignment horizontal="left" vertical="center"/>
    </xf>
    <xf numFmtId="49" fontId="1" fillId="5" borderId="23" xfId="2" applyNumberFormat="1" applyFill="1" applyBorder="1" applyAlignment="1">
      <alignment horizontal="left" vertical="center"/>
    </xf>
    <xf numFmtId="49" fontId="1" fillId="5" borderId="19" xfId="2" applyNumberFormat="1" applyFill="1" applyBorder="1" applyAlignment="1">
      <alignment horizontal="left" vertical="center"/>
    </xf>
    <xf numFmtId="49" fontId="6" fillId="7" borderId="26" xfId="2" applyNumberFormat="1" applyFont="1" applyFill="1" applyBorder="1" applyAlignment="1">
      <alignment horizontal="left" vertical="center"/>
    </xf>
    <xf numFmtId="49" fontId="6" fillId="7" borderId="25" xfId="2" applyNumberFormat="1" applyFont="1" applyFill="1" applyBorder="1" applyAlignment="1">
      <alignment horizontal="left" vertical="center"/>
    </xf>
    <xf numFmtId="49" fontId="6" fillId="7" borderId="27" xfId="2" applyNumberFormat="1" applyFont="1" applyFill="1" applyBorder="1" applyAlignment="1">
      <alignment horizontal="left" vertical="center"/>
    </xf>
    <xf numFmtId="170" fontId="72" fillId="3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49" fillId="16" borderId="41" xfId="5" applyFont="1" applyFill="1" applyBorder="1" applyAlignment="1">
      <alignment horizontal="center" vertical="center"/>
    </xf>
    <xf numFmtId="0" fontId="47" fillId="0" borderId="40" xfId="5" applyFont="1" applyBorder="1" applyAlignment="1">
      <alignment horizontal="left" vertical="center"/>
    </xf>
    <xf numFmtId="0" fontId="48" fillId="0" borderId="40" xfId="5" applyFont="1" applyBorder="1" applyAlignment="1">
      <alignment horizontal="left" vertical="center"/>
    </xf>
    <xf numFmtId="0" fontId="27" fillId="0" borderId="0" xfId="4" applyFont="1"/>
    <xf numFmtId="0" fontId="26" fillId="0" borderId="0" xfId="4"/>
    <xf numFmtId="0" fontId="30" fillId="0" borderId="0" xfId="4" applyFont="1"/>
    <xf numFmtId="0" fontId="38" fillId="3" borderId="12" xfId="0" applyFont="1" applyFill="1" applyBorder="1"/>
    <xf numFmtId="0" fontId="38" fillId="3" borderId="23" xfId="0" applyFont="1" applyFill="1" applyBorder="1"/>
    <xf numFmtId="0" fontId="38" fillId="3" borderId="33" xfId="0" applyFont="1" applyFill="1" applyBorder="1"/>
    <xf numFmtId="0" fontId="38" fillId="3" borderId="22" xfId="0" applyFont="1" applyFill="1" applyBorder="1"/>
    <xf numFmtId="0" fontId="54" fillId="0" borderId="0" xfId="5" applyFont="1"/>
    <xf numFmtId="0" fontId="55" fillId="0" borderId="0" xfId="5" applyFont="1"/>
    <xf numFmtId="0" fontId="56" fillId="23" borderId="0" xfId="5" applyFont="1" applyFill="1"/>
    <xf numFmtId="0" fontId="57" fillId="24" borderId="0" xfId="5" applyFont="1" applyFill="1"/>
    <xf numFmtId="0" fontId="64" fillId="39" borderId="0" xfId="0" applyFont="1" applyFill="1" applyAlignment="1">
      <alignment horizontal="left" vertical="center"/>
    </xf>
    <xf numFmtId="0" fontId="64" fillId="29" borderId="0" xfId="4" applyFont="1" applyFill="1"/>
    <xf numFmtId="0" fontId="50" fillId="20" borderId="40" xfId="5" applyFont="1" applyFill="1" applyBorder="1" applyAlignment="1">
      <alignment horizontal="left" vertical="center"/>
    </xf>
    <xf numFmtId="0" fontId="49" fillId="18" borderId="40" xfId="5" applyFont="1" applyFill="1" applyBorder="1" applyAlignment="1">
      <alignment horizontal="left" vertical="center"/>
    </xf>
    <xf numFmtId="0" fontId="49" fillId="18" borderId="41" xfId="5" applyFont="1" applyFill="1" applyBorder="1" applyAlignment="1">
      <alignment horizontal="center" vertical="center"/>
    </xf>
    <xf numFmtId="0" fontId="49" fillId="21" borderId="41" xfId="5" applyFont="1" applyFill="1" applyBorder="1" applyAlignment="1">
      <alignment horizontal="center" vertical="center"/>
    </xf>
    <xf numFmtId="0" fontId="84" fillId="8" borderId="0" xfId="4" applyFont="1" applyFill="1" applyAlignment="1" applyProtection="1">
      <alignment horizontal="left" vertical="center"/>
      <protection locked="0"/>
    </xf>
    <xf numFmtId="0" fontId="80" fillId="0" borderId="0" xfId="4" applyFont="1" applyAlignment="1">
      <alignment horizontal="center" vertical="center"/>
    </xf>
    <xf numFmtId="0" fontId="84" fillId="8" borderId="49" xfId="4" applyFont="1" applyFill="1" applyBorder="1" applyAlignment="1" applyProtection="1">
      <alignment horizontal="left" vertical="center"/>
      <protection locked="0"/>
    </xf>
    <xf numFmtId="0" fontId="84" fillId="8" borderId="50" xfId="4" applyFont="1" applyFill="1" applyBorder="1" applyAlignment="1" applyProtection="1">
      <alignment horizontal="left" vertical="center"/>
      <protection locked="0"/>
    </xf>
    <xf numFmtId="0" fontId="84" fillId="8" borderId="51" xfId="4" applyFont="1" applyFill="1" applyBorder="1" applyAlignment="1" applyProtection="1">
      <alignment horizontal="left" vertical="center"/>
      <protection locked="0"/>
    </xf>
    <xf numFmtId="0" fontId="84" fillId="8" borderId="53" xfId="4" applyFont="1" applyFill="1" applyBorder="1" applyAlignment="1" applyProtection="1">
      <alignment horizontal="left" vertical="center"/>
      <protection locked="0"/>
    </xf>
    <xf numFmtId="172" fontId="84" fillId="8" borderId="53" xfId="4" applyNumberFormat="1" applyFont="1" applyFill="1" applyBorder="1" applyAlignment="1" applyProtection="1">
      <alignment horizontal="left" vertical="center"/>
      <protection locked="0"/>
    </xf>
    <xf numFmtId="0" fontId="10" fillId="34" borderId="23" xfId="4" applyFont="1" applyFill="1" applyBorder="1" applyAlignment="1">
      <alignment horizontal="center" vertical="top"/>
    </xf>
    <xf numFmtId="0" fontId="87" fillId="35" borderId="23" xfId="4" applyFont="1" applyFill="1" applyBorder="1" applyAlignment="1">
      <alignment horizontal="center" vertical="center"/>
    </xf>
    <xf numFmtId="0" fontId="26" fillId="5" borderId="23" xfId="4" applyFill="1" applyBorder="1" applyAlignment="1">
      <alignment horizontal="left" vertical="top" wrapText="1"/>
    </xf>
    <xf numFmtId="0" fontId="0" fillId="0" borderId="23" xfId="0" applyBorder="1"/>
    <xf numFmtId="0" fontId="86" fillId="0" borderId="23" xfId="4" applyFont="1" applyBorder="1" applyAlignment="1">
      <alignment horizontal="center" vertical="top" wrapText="1"/>
    </xf>
    <xf numFmtId="0" fontId="26" fillId="5" borderId="19" xfId="4" applyFill="1" applyBorder="1" applyAlignment="1">
      <alignment horizontal="center" vertical="top" wrapText="1"/>
    </xf>
    <xf numFmtId="0" fontId="26" fillId="5" borderId="18" xfId="4" applyFill="1" applyBorder="1" applyAlignment="1">
      <alignment horizontal="center" vertical="top" wrapText="1"/>
    </xf>
    <xf numFmtId="0" fontId="89" fillId="5" borderId="19" xfId="4" applyFont="1" applyFill="1" applyBorder="1" applyAlignment="1">
      <alignment horizontal="center" vertical="top" wrapText="1"/>
    </xf>
    <xf numFmtId="0" fontId="89" fillId="5" borderId="18" xfId="4" applyFont="1" applyFill="1" applyBorder="1" applyAlignment="1">
      <alignment horizontal="center" vertical="top" wrapText="1"/>
    </xf>
    <xf numFmtId="0" fontId="89" fillId="5" borderId="23" xfId="4" applyFont="1" applyFill="1" applyBorder="1" applyAlignment="1">
      <alignment horizontal="left" vertical="top" wrapText="1"/>
    </xf>
    <xf numFmtId="0" fontId="4" fillId="0" borderId="23" xfId="0" applyFont="1" applyBorder="1"/>
    <xf numFmtId="0" fontId="10" fillId="8" borderId="56" xfId="2" applyNumberFormat="1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vertical="top" wrapText="1"/>
    </xf>
    <xf numFmtId="0" fontId="1" fillId="0" borderId="56" xfId="0" applyFont="1" applyFill="1" applyBorder="1" applyAlignment="1">
      <alignment horizontal="center" vertical="center"/>
    </xf>
    <xf numFmtId="0" fontId="1" fillId="0" borderId="56" xfId="0" applyFont="1" applyFill="1" applyBorder="1"/>
  </cellXfs>
  <cellStyles count="6">
    <cellStyle name="Hyperlink" xfId="3" builtinId="8"/>
    <cellStyle name="Normal" xfId="0" builtinId="0"/>
    <cellStyle name="Normal 2" xfId="4" xr:uid="{C4D901B6-9A81-684A-A29C-2973475170B9}"/>
    <cellStyle name="Normal 3" xfId="5" xr:uid="{464F7EB1-D83A-5C4F-A105-BC35B9C7D2C2}"/>
    <cellStyle name="Per cent" xfId="1" builtinId="5"/>
    <cellStyle name="Standard 2" xfId="2" xr:uid="{A0F82707-28A4-4ACE-B14D-FF6A22620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54234948445908"/>
          <c:y val="0.12953630830456467"/>
          <c:w val="0.81563910754046098"/>
          <c:h val="0.76105039897946603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'PDCA Main Page'!$D$8:$F$8</c:f>
              <c:strCache>
                <c:ptCount val="3"/>
                <c:pt idx="0">
                  <c:v>Completeness (Critical)</c:v>
                </c:pt>
              </c:strCache>
            </c:strRef>
          </c:tx>
          <c:spPr>
            <a:ln w="0">
              <a:noFill/>
              <a:prstDash val="solid"/>
            </a:ln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F79-0543-9624-D46D2DA1B37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F79-0543-9624-D46D2DA1B37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F79-0543-9624-D46D2DA1B37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F79-0543-9624-D46D2DA1B37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F79-0543-9624-D46D2DA1B374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F79-0543-9624-D46D2DA1B374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F79-0543-9624-D46D2DA1B374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F79-0543-9624-D46D2DA1B374}"/>
              </c:ext>
            </c:extLst>
          </c:dPt>
          <c:dPt>
            <c:idx val="12"/>
            <c:invertIfNegative val="0"/>
            <c:bubble3D val="0"/>
            <c:spPr>
              <a:ln w="3175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F79-0543-9624-D46D2DA1B374}"/>
              </c:ext>
            </c:extLst>
          </c:dPt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Page'!$G$8:$S$8</c:f>
              <c:numCache>
                <c:formatCode>0%</c:formatCode>
                <c:ptCount val="13"/>
                <c:pt idx="0">
                  <c:v>0.82</c:v>
                </c:pt>
                <c:pt idx="1">
                  <c:v>0.84</c:v>
                </c:pt>
                <c:pt idx="2">
                  <c:v>0.84</c:v>
                </c:pt>
                <c:pt idx="3">
                  <c:v>0.82769097222222221</c:v>
                </c:pt>
                <c:pt idx="4">
                  <c:v>0.81682043053884212</c:v>
                </c:pt>
                <c:pt idx="5">
                  <c:v>0.83149584864570569</c:v>
                </c:pt>
                <c:pt idx="6">
                  <c:v>0.85</c:v>
                </c:pt>
                <c:pt idx="7">
                  <c:v>0.87</c:v>
                </c:pt>
                <c:pt idx="8">
                  <c:v>0.89</c:v>
                </c:pt>
                <c:pt idx="9">
                  <c:v>0.91</c:v>
                </c:pt>
                <c:pt idx="10">
                  <c:v>0.93</c:v>
                </c:pt>
                <c:pt idx="1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4F8-A64C-9D3B-AAA26EC88CA2}"/>
            </c:ext>
          </c:extLst>
        </c:ser>
        <c:ser>
          <c:idx val="5"/>
          <c:order val="1"/>
          <c:tx>
            <c:strRef>
              <c:f>'PDCA Main Page'!$D$9:$F$9</c:f>
              <c:strCache>
                <c:ptCount val="3"/>
                <c:pt idx="0">
                  <c:v>Timeliness (Critical)</c:v>
                </c:pt>
              </c:strCache>
            </c:strRef>
          </c:tx>
          <c:invertIfNegative val="0"/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Page'!$G$9:$S$9</c:f>
              <c:numCache>
                <c:formatCode>0%</c:formatCode>
                <c:ptCount val="13"/>
                <c:pt idx="0">
                  <c:v>0.1</c:v>
                </c:pt>
                <c:pt idx="1">
                  <c:v>0.22</c:v>
                </c:pt>
                <c:pt idx="2">
                  <c:v>0.48</c:v>
                </c:pt>
                <c:pt idx="3">
                  <c:v>0.58853347316902638</c:v>
                </c:pt>
                <c:pt idx="4">
                  <c:v>0.60124406613193648</c:v>
                </c:pt>
                <c:pt idx="5">
                  <c:v>0.64151252250777546</c:v>
                </c:pt>
                <c:pt idx="6">
                  <c:v>0.66</c:v>
                </c:pt>
                <c:pt idx="7">
                  <c:v>0.69</c:v>
                </c:pt>
                <c:pt idx="8">
                  <c:v>0.73</c:v>
                </c:pt>
                <c:pt idx="9">
                  <c:v>0.78</c:v>
                </c:pt>
                <c:pt idx="10">
                  <c:v>0.79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F8-A64C-9D3B-AAA26EC88CA2}"/>
            </c:ext>
          </c:extLst>
        </c:ser>
        <c:ser>
          <c:idx val="6"/>
          <c:order val="2"/>
          <c:tx>
            <c:strRef>
              <c:f>'PDCA Main Page'!$D$10:$F$10</c:f>
              <c:strCache>
                <c:ptCount val="3"/>
                <c:pt idx="0">
                  <c:v>Completeness (All)</c:v>
                </c:pt>
              </c:strCache>
            </c:strRef>
          </c:tx>
          <c:invertIfNegative val="0"/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Page'!$G$10:$S$10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0.71</c:v>
                </c:pt>
                <c:pt idx="3">
                  <c:v>0.74810710987996309</c:v>
                </c:pt>
                <c:pt idx="4">
                  <c:v>0.75846858094049108</c:v>
                </c:pt>
                <c:pt idx="5">
                  <c:v>0.78377680185998455</c:v>
                </c:pt>
                <c:pt idx="6">
                  <c:v>0.79</c:v>
                </c:pt>
                <c:pt idx="7">
                  <c:v>0.81</c:v>
                </c:pt>
                <c:pt idx="8">
                  <c:v>0.84</c:v>
                </c:pt>
                <c:pt idx="9">
                  <c:v>0.88</c:v>
                </c:pt>
                <c:pt idx="10">
                  <c:v>0.91</c:v>
                </c:pt>
                <c:pt idx="1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4F8-A64C-9D3B-AAA26EC88CA2}"/>
            </c:ext>
          </c:extLst>
        </c:ser>
        <c:ser>
          <c:idx val="7"/>
          <c:order val="3"/>
          <c:tx>
            <c:strRef>
              <c:f>'PDCA Main Page'!$D$11:$F$11</c:f>
              <c:strCache>
                <c:ptCount val="3"/>
                <c:pt idx="0">
                  <c:v>Timeliness (All)</c:v>
                </c:pt>
              </c:strCache>
            </c:strRef>
          </c:tx>
          <c:invertIfNegative val="0"/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Page'!$G$11:$S$11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 formatCode="0%">
                  <c:v>0.43</c:v>
                </c:pt>
                <c:pt idx="3" formatCode="0%">
                  <c:v>0.59960503579363122</c:v>
                </c:pt>
                <c:pt idx="4" formatCode="0%">
                  <c:v>0.61395808186107759</c:v>
                </c:pt>
                <c:pt idx="5" formatCode="0%">
                  <c:v>0.62568666227202807</c:v>
                </c:pt>
                <c:pt idx="6" formatCode="0%">
                  <c:v>0.64</c:v>
                </c:pt>
                <c:pt idx="7" formatCode="0%">
                  <c:v>0.65</c:v>
                </c:pt>
                <c:pt idx="8" formatCode="0%">
                  <c:v>0.66</c:v>
                </c:pt>
                <c:pt idx="9" formatCode="0%">
                  <c:v>0.67</c:v>
                </c:pt>
                <c:pt idx="10" formatCode="0%">
                  <c:v>0.68</c:v>
                </c:pt>
                <c:pt idx="11" formatCode="0%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F8-A64C-9D3B-AAA26EC88CA2}"/>
            </c:ext>
          </c:extLst>
        </c:ser>
        <c:ser>
          <c:idx val="2"/>
          <c:order val="4"/>
          <c:tx>
            <c:strRef>
              <c:f>'PDCA Main Page'!$D$12:$F$12</c:f>
              <c:strCache>
                <c:ptCount val="3"/>
                <c:pt idx="0">
                  <c:v>ETA accuracy 2P (SC4)</c:v>
                </c:pt>
              </c:strCache>
            </c:strRef>
          </c:tx>
          <c:invertIfNegative val="0"/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Page'!$G$12:$S$12</c:f>
              <c:numCache>
                <c:formatCode>General</c:formatCode>
                <c:ptCount val="13"/>
                <c:pt idx="2" formatCode="0%">
                  <c:v>0.38</c:v>
                </c:pt>
                <c:pt idx="3" formatCode="0%">
                  <c:v>0.44</c:v>
                </c:pt>
                <c:pt idx="4" formatCode="0%">
                  <c:v>0.62</c:v>
                </c:pt>
                <c:pt idx="5" formatCode="0%">
                  <c:v>0.39</c:v>
                </c:pt>
                <c:pt idx="6" formatCode="0%">
                  <c:v>0.65</c:v>
                </c:pt>
                <c:pt idx="7" formatCode="0%">
                  <c:v>0.68</c:v>
                </c:pt>
                <c:pt idx="8" formatCode="0%">
                  <c:v>0.7</c:v>
                </c:pt>
                <c:pt idx="9" formatCode="0%">
                  <c:v>0.72</c:v>
                </c:pt>
                <c:pt idx="10" formatCode="0%">
                  <c:v>0.74</c:v>
                </c:pt>
                <c:pt idx="11" formatCode="0%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9-4C53-B3CA-619F27F0C7A0}"/>
            </c:ext>
          </c:extLst>
        </c:ser>
        <c:ser>
          <c:idx val="1"/>
          <c:order val="5"/>
          <c:tx>
            <c:strRef>
              <c:f>'PDCA Main Page'!$D$13:$F$13</c:f>
              <c:strCache>
                <c:ptCount val="3"/>
                <c:pt idx="0">
                  <c:v>ETA Accuracy 2D (SC4)</c:v>
                </c:pt>
              </c:strCache>
            </c:strRef>
          </c:tx>
          <c:invertIfNegative val="0"/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Page'!$G$13:$S$13</c:f>
              <c:numCache>
                <c:formatCode>General</c:formatCode>
                <c:ptCount val="13"/>
                <c:pt idx="2" formatCode="0%">
                  <c:v>0.11</c:v>
                </c:pt>
                <c:pt idx="3" formatCode="0%">
                  <c:v>0.13</c:v>
                </c:pt>
                <c:pt idx="4" formatCode="0%">
                  <c:v>0.17</c:v>
                </c:pt>
                <c:pt idx="5" formatCode="0%">
                  <c:v>0.17</c:v>
                </c:pt>
                <c:pt idx="6" formatCode="0%">
                  <c:v>0.2</c:v>
                </c:pt>
                <c:pt idx="7" formatCode="0%">
                  <c:v>0.25</c:v>
                </c:pt>
                <c:pt idx="8" formatCode="0%">
                  <c:v>0.4</c:v>
                </c:pt>
                <c:pt idx="9" formatCode="0%">
                  <c:v>0.5</c:v>
                </c:pt>
                <c:pt idx="10" formatCode="0%">
                  <c:v>0.6</c:v>
                </c:pt>
                <c:pt idx="11" formatCode="0%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E9-4C53-B3CA-619F27F0C7A0}"/>
            </c:ext>
          </c:extLst>
        </c:ser>
        <c:ser>
          <c:idx val="0"/>
          <c:order val="6"/>
          <c:tx>
            <c:strRef>
              <c:f>'PDCA Main Page'!$D$14:$F$14</c:f>
              <c:strCache>
                <c:ptCount val="3"/>
                <c:pt idx="0">
                  <c:v>SC4 Reference Completeness (CIV or DN)</c:v>
                </c:pt>
              </c:strCache>
            </c:strRef>
          </c:tx>
          <c:invertIfNegative val="0"/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Page'!$G$14:$S$14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 formatCode="0%">
                  <c:v>0.69</c:v>
                </c:pt>
                <c:pt idx="3" formatCode="0%">
                  <c:v>0.71</c:v>
                </c:pt>
                <c:pt idx="4" formatCode="0%">
                  <c:v>0.74</c:v>
                </c:pt>
                <c:pt idx="5" formatCode="0%">
                  <c:v>0.76</c:v>
                </c:pt>
                <c:pt idx="6" formatCode="0%">
                  <c:v>0.78</c:v>
                </c:pt>
                <c:pt idx="7" formatCode="0%">
                  <c:v>0.82</c:v>
                </c:pt>
                <c:pt idx="8" formatCode="0%">
                  <c:v>0.84</c:v>
                </c:pt>
                <c:pt idx="9" formatCode="0%">
                  <c:v>0.86</c:v>
                </c:pt>
                <c:pt idx="10" formatCode="0%">
                  <c:v>0.9</c:v>
                </c:pt>
                <c:pt idx="11" formatCode="0%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9C-7D4D-8D94-A55E07BF7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899613216"/>
        <c:axId val="-1899612672"/>
      </c:barChart>
      <c:lineChart>
        <c:grouping val="standard"/>
        <c:varyColors val="0"/>
        <c:ser>
          <c:idx val="3"/>
          <c:order val="7"/>
          <c:tx>
            <c:strRef>
              <c:f>'PDCA Main Page'!$D$15:$F$15</c:f>
              <c:strCache>
                <c:ptCount val="3"/>
                <c:pt idx="0">
                  <c:v>SC4 Reference Completeness (CIV or DN)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W5</c:v>
                </c:pt>
                <c:pt idx="4">
                  <c:v>W6</c:v>
                </c:pt>
                <c:pt idx="5">
                  <c:v>W7</c:v>
                </c:pt>
                <c:pt idx="6">
                  <c:v>W8 F</c:v>
                </c:pt>
                <c:pt idx="7">
                  <c:v>W10 F</c:v>
                </c:pt>
                <c:pt idx="8">
                  <c:v>W12 F</c:v>
                </c:pt>
                <c:pt idx="9">
                  <c:v>W14 F</c:v>
                </c:pt>
                <c:pt idx="10">
                  <c:v>W16 F</c:v>
                </c:pt>
                <c:pt idx="11">
                  <c:v>W18 F</c:v>
                </c:pt>
                <c:pt idx="12">
                  <c:v>YTD</c:v>
                </c:pt>
              </c:strCache>
            </c:strRef>
          </c:cat>
          <c:val>
            <c:numRef>
              <c:f>'PDCA Main Page'!$G$15:$S$15</c:f>
              <c:numCache>
                <c:formatCode>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9C-7D4D-8D94-A55E07BF7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9613216"/>
        <c:axId val="-1899612672"/>
      </c:lineChart>
      <c:catAx>
        <c:axId val="-1899613216"/>
        <c:scaling>
          <c:orientation val="minMax"/>
        </c:scaling>
        <c:delete val="0"/>
        <c:axPos val="b"/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-1899612672"/>
        <c:crossesAt val="0"/>
        <c:auto val="0"/>
        <c:lblAlgn val="ctr"/>
        <c:lblOffset val="100"/>
        <c:noMultiLvlLbl val="0"/>
      </c:catAx>
      <c:valAx>
        <c:axId val="-1899612672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-1899613216"/>
        <c:crosses val="autoZero"/>
        <c:crossBetween val="between"/>
        <c:majorUnit val="0.1"/>
      </c:valAx>
    </c:plotArea>
    <c:legend>
      <c:legendPos val="t"/>
      <c:layout>
        <c:manualLayout>
          <c:xMode val="edge"/>
          <c:yMode val="edge"/>
          <c:x val="0.16090864883008063"/>
          <c:y val="1.8541245603069525E-3"/>
          <c:w val="0.82690150772129989"/>
          <c:h val="0.17673877345668076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899999956" l="0.78740157499999996" r="0.78740157499999996" t="0.98425196899999956" header="0.49212598450000022" footer="0.49212598450000022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'ETA accuracy Port'!$B$18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41-4140-AE25-683A33BAF6D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0441-4140-AE25-683A33BAF6D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0441-4140-AE25-683A33BAF6D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0441-4140-AE25-683A33BAF6D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0441-4140-AE25-683A33BAF6D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41-4140-AE25-683A33BAF6D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41-4140-AE25-683A33BAF6D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41-4140-AE25-683A33BAF6D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41-4140-AE25-683A33BAF6D3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41-4140-AE25-683A33BAF6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'ETA accuracy Port'!$A$19:$A$23</c:f>
              <c:strCache>
                <c:ptCount val="5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ETA &lt;7d (no qualifying)</c:v>
                </c:pt>
                <c:pt idx="4">
                  <c:v>No ETA</c:v>
                </c:pt>
              </c:strCache>
            </c:strRef>
          </c:cat>
          <c:val>
            <c:numRef>
              <c:f>'ETA accuracy Port'!$B$19:$B$23</c:f>
              <c:numCache>
                <c:formatCode>General</c:formatCode>
                <c:ptCount val="5"/>
                <c:pt idx="0">
                  <c:v>19</c:v>
                </c:pt>
                <c:pt idx="1">
                  <c:v>39</c:v>
                </c:pt>
                <c:pt idx="2">
                  <c:v>7</c:v>
                </c:pt>
                <c:pt idx="3">
                  <c:v>1165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41-4140-AE25-683A33BAF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'ETA accuracy Port'!$G$18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8EA-6C4E-BFC7-2E75F61CB61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C8EA-6C4E-BFC7-2E75F61CB61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C8EA-6C4E-BFC7-2E75F61CB61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C8EA-6C4E-BFC7-2E75F61CB61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EA-6C4E-BFC7-2E75F61CB61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EA-6C4E-BFC7-2E75F61CB61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EA-6C4E-BFC7-2E75F61CB61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EA-6C4E-BFC7-2E75F61CB6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'ETA accuracy Port'!$F$19:$F$22</c:f>
              <c:strCache>
                <c:ptCount val="4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Missing ETA</c:v>
                </c:pt>
              </c:strCache>
            </c:strRef>
          </c:cat>
          <c:val>
            <c:numRef>
              <c:f>'ETA accuracy Port'!$G$19:$G$22</c:f>
              <c:numCache>
                <c:formatCode>General</c:formatCode>
                <c:ptCount val="4"/>
                <c:pt idx="0">
                  <c:v>1091</c:v>
                </c:pt>
                <c:pt idx="1">
                  <c:v>77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EA-6C4E-BFC7-2E75F61C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'POD estimate Accuracy'!$B$18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794-8E4E-A5F4-57CCC6BC63E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7794-8E4E-A5F4-57CCC6BC63E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7794-8E4E-A5F4-57CCC6BC63E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7794-8E4E-A5F4-57CCC6BC63E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794-8E4E-A5F4-57CCC6BC63E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94-8E4E-A5F4-57CCC6BC63E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94-8E4E-A5F4-57CCC6BC63E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94-8E4E-A5F4-57CCC6BC63E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94-8E4E-A5F4-57CCC6BC63E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94-8E4E-A5F4-57CCC6BC63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'POD estimate Accuracy'!$A$19:$A$23</c:f>
              <c:strCache>
                <c:ptCount val="5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POD_ &lt;7d</c:v>
                </c:pt>
                <c:pt idx="4">
                  <c:v>No POD_</c:v>
                </c:pt>
              </c:strCache>
            </c:strRef>
          </c:cat>
          <c:val>
            <c:numRef>
              <c:f>'POD estimate Accuracy'!$B$19:$B$23</c:f>
              <c:numCache>
                <c:formatCode>General</c:formatCode>
                <c:ptCount val="5"/>
                <c:pt idx="0">
                  <c:v>840</c:v>
                </c:pt>
                <c:pt idx="1">
                  <c:v>1617</c:v>
                </c:pt>
                <c:pt idx="2">
                  <c:v>63</c:v>
                </c:pt>
                <c:pt idx="3">
                  <c:v>120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94-8E4E-A5F4-57CCC6BC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'POD estimate Accuracy'!$G$18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73-7B41-8BB5-485515A77F9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8973-7B41-8BB5-485515A77F9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8973-7B41-8BB5-485515A77F9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8973-7B41-8BB5-485515A77F9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73-7B41-8BB5-485515A77F9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73-7B41-8BB5-485515A77F9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73-7B41-8BB5-485515A77F9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73-7B41-8BB5-485515A77F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'POD estimate Accuracy'!$F$19:$F$22</c:f>
              <c:strCache>
                <c:ptCount val="4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Missing POD_</c:v>
                </c:pt>
              </c:strCache>
            </c:strRef>
          </c:cat>
          <c:val>
            <c:numRef>
              <c:f>'POD estimate Accuracy'!$G$19:$G$22</c:f>
              <c:numCache>
                <c:formatCode>General</c:formatCode>
                <c:ptCount val="4"/>
                <c:pt idx="0">
                  <c:v>1520</c:v>
                </c:pt>
                <c:pt idx="1">
                  <c:v>1003</c:v>
                </c:pt>
                <c:pt idx="2">
                  <c:v>47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73-7B41-8BB5-485515A7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</xdr:colOff>
      <xdr:row>5</xdr:row>
      <xdr:rowOff>114300</xdr:rowOff>
    </xdr:from>
    <xdr:to>
      <xdr:col>23</xdr:col>
      <xdr:colOff>9525</xdr:colOff>
      <xdr:row>5</xdr:row>
      <xdr:rowOff>114300</xdr:rowOff>
    </xdr:to>
    <xdr:cxnSp macro="">
      <xdr:nvCxnSpPr>
        <xdr:cNvPr id="2" name="AutoShape 1">
          <a:extLst>
            <a:ext uri="{FF2B5EF4-FFF2-40B4-BE49-F238E27FC236}">
              <a16:creationId xmlns:a16="http://schemas.microsoft.com/office/drawing/2014/main" id="{0C9F7F44-62A1-4374-AA22-CF2836DB097E}"/>
            </a:ext>
          </a:extLst>
        </xdr:cNvPr>
        <xdr:cNvCxnSpPr>
          <a:cxnSpLocks noChangeShapeType="1"/>
        </xdr:cNvCxnSpPr>
      </xdr:nvCxnSpPr>
      <xdr:spPr bwMode="auto">
        <a:xfrm>
          <a:off x="19240500" y="214312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9525</xdr:colOff>
      <xdr:row>5</xdr:row>
      <xdr:rowOff>114300</xdr:rowOff>
    </xdr:from>
    <xdr:to>
      <xdr:col>23</xdr:col>
      <xdr:colOff>9525</xdr:colOff>
      <xdr:row>5</xdr:row>
      <xdr:rowOff>114300</xdr:rowOff>
    </xdr:to>
    <xdr:cxnSp macro="">
      <xdr:nvCxnSpPr>
        <xdr:cNvPr id="3" name="AutoShape 2">
          <a:extLst>
            <a:ext uri="{FF2B5EF4-FFF2-40B4-BE49-F238E27FC236}">
              <a16:creationId xmlns:a16="http://schemas.microsoft.com/office/drawing/2014/main" id="{8A7D5CF0-6E7F-4C25-AF5A-53CDCFFAEB5C}"/>
            </a:ext>
          </a:extLst>
        </xdr:cNvPr>
        <xdr:cNvCxnSpPr>
          <a:cxnSpLocks noChangeShapeType="1"/>
        </xdr:cNvCxnSpPr>
      </xdr:nvCxnSpPr>
      <xdr:spPr bwMode="auto">
        <a:xfrm>
          <a:off x="19240500" y="214312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9525</xdr:colOff>
      <xdr:row>5</xdr:row>
      <xdr:rowOff>114300</xdr:rowOff>
    </xdr:from>
    <xdr:to>
      <xdr:col>23</xdr:col>
      <xdr:colOff>9525</xdr:colOff>
      <xdr:row>5</xdr:row>
      <xdr:rowOff>114300</xdr:rowOff>
    </xdr:to>
    <xdr:cxnSp macro="">
      <xdr:nvCxnSpPr>
        <xdr:cNvPr id="4" name="AutoShape 3">
          <a:extLst>
            <a:ext uri="{FF2B5EF4-FFF2-40B4-BE49-F238E27FC236}">
              <a16:creationId xmlns:a16="http://schemas.microsoft.com/office/drawing/2014/main" id="{1A74DD08-2379-4FF2-B0F4-634F6F085FA7}"/>
            </a:ext>
          </a:extLst>
        </xdr:cNvPr>
        <xdr:cNvCxnSpPr>
          <a:cxnSpLocks noChangeShapeType="1"/>
        </xdr:cNvCxnSpPr>
      </xdr:nvCxnSpPr>
      <xdr:spPr bwMode="auto">
        <a:xfrm>
          <a:off x="19240500" y="214312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9525</xdr:colOff>
      <xdr:row>5</xdr:row>
      <xdr:rowOff>114300</xdr:rowOff>
    </xdr:from>
    <xdr:to>
      <xdr:col>23</xdr:col>
      <xdr:colOff>9525</xdr:colOff>
      <xdr:row>5</xdr:row>
      <xdr:rowOff>114300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4A1A170F-FBE0-4A03-894C-674FD967A81E}"/>
            </a:ext>
          </a:extLst>
        </xdr:cNvPr>
        <xdr:cNvCxnSpPr>
          <a:cxnSpLocks noChangeShapeType="1"/>
        </xdr:cNvCxnSpPr>
      </xdr:nvCxnSpPr>
      <xdr:spPr bwMode="auto">
        <a:xfrm>
          <a:off x="19240500" y="214312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187993</xdr:colOff>
      <xdr:row>0</xdr:row>
      <xdr:rowOff>38101</xdr:rowOff>
    </xdr:from>
    <xdr:to>
      <xdr:col>19</xdr:col>
      <xdr:colOff>0</xdr:colOff>
      <xdr:row>5</xdr:row>
      <xdr:rowOff>190500</xdr:rowOff>
    </xdr:to>
    <xdr:graphicFrame macro="">
      <xdr:nvGraphicFramePr>
        <xdr:cNvPr id="29" name="Chart 6">
          <a:extLst>
            <a:ext uri="{FF2B5EF4-FFF2-40B4-BE49-F238E27FC236}">
              <a16:creationId xmlns:a16="http://schemas.microsoft.com/office/drawing/2014/main" id="{7C2106D4-F102-4EA4-A2DD-614F31041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234950</xdr:colOff>
      <xdr:row>158</xdr:row>
      <xdr:rowOff>0</xdr:rowOff>
    </xdr:from>
    <xdr:to>
      <xdr:col>8</xdr:col>
      <xdr:colOff>2339</xdr:colOff>
      <xdr:row>158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D583D22-106A-41F5-86D1-6F77E8B7F5A5}"/>
            </a:ext>
          </a:extLst>
        </xdr:cNvPr>
        <xdr:cNvSpPr txBox="1">
          <a:spLocks noChangeArrowheads="1"/>
        </xdr:cNvSpPr>
      </xdr:nvSpPr>
      <xdr:spPr bwMode="auto">
        <a:xfrm>
          <a:off x="8045450" y="8667750"/>
          <a:ext cx="38651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Prognosis</a:t>
          </a:r>
        </a:p>
      </xdr:txBody>
    </xdr:sp>
    <xdr:clientData fLocksWithSheet="0"/>
  </xdr:twoCellAnchor>
  <xdr:oneCellAnchor>
    <xdr:from>
      <xdr:col>23</xdr:col>
      <xdr:colOff>674708</xdr:colOff>
      <xdr:row>0</xdr:row>
      <xdr:rowOff>406577</xdr:rowOff>
    </xdr:from>
    <xdr:ext cx="488207" cy="1265555"/>
    <xdr:pic>
      <xdr:nvPicPr>
        <xdr:cNvPr id="8" name="Grafik 17" descr="Ampel_gelb.png">
          <a:extLst>
            <a:ext uri="{FF2B5EF4-FFF2-40B4-BE49-F238E27FC236}">
              <a16:creationId xmlns:a16="http://schemas.microsoft.com/office/drawing/2014/main" id="{7EFD3B34-91C3-4B28-A45C-D8FC43ECC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905683" y="406577"/>
          <a:ext cx="488207" cy="1265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24</xdr:col>
      <xdr:colOff>470646</xdr:colOff>
      <xdr:row>0</xdr:row>
      <xdr:rowOff>407669</xdr:rowOff>
    </xdr:from>
    <xdr:ext cx="504600" cy="1259840"/>
    <xdr:pic>
      <xdr:nvPicPr>
        <xdr:cNvPr id="9" name="Grafik 19" descr="Ampel_grün.png">
          <a:extLst>
            <a:ext uri="{FF2B5EF4-FFF2-40B4-BE49-F238E27FC236}">
              <a16:creationId xmlns:a16="http://schemas.microsoft.com/office/drawing/2014/main" id="{2B0EE0F7-0B62-410D-86CD-B29502DC7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482671" y="407669"/>
          <a:ext cx="504600" cy="1259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23</xdr:col>
      <xdr:colOff>128269</xdr:colOff>
      <xdr:row>0</xdr:row>
      <xdr:rowOff>410134</xdr:rowOff>
    </xdr:from>
    <xdr:ext cx="503455" cy="1259837"/>
    <xdr:pic>
      <xdr:nvPicPr>
        <xdr:cNvPr id="10" name="Grafik 9" descr="Ampel_rot.png">
          <a:extLst>
            <a:ext uri="{FF2B5EF4-FFF2-40B4-BE49-F238E27FC236}">
              <a16:creationId xmlns:a16="http://schemas.microsoft.com/office/drawing/2014/main" id="{ED3E10AB-A11F-4F05-9A7F-66A60B281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359244" y="410134"/>
          <a:ext cx="503455" cy="125983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4</xdr:col>
      <xdr:colOff>48544</xdr:colOff>
      <xdr:row>0</xdr:row>
      <xdr:rowOff>475448</xdr:rowOff>
    </xdr:from>
    <xdr:ext cx="488171" cy="1256662"/>
    <xdr:pic>
      <xdr:nvPicPr>
        <xdr:cNvPr id="11" name="Grafik 18" descr="Ampel_rot.png">
          <a:extLst>
            <a:ext uri="{FF2B5EF4-FFF2-40B4-BE49-F238E27FC236}">
              <a16:creationId xmlns:a16="http://schemas.microsoft.com/office/drawing/2014/main" id="{0EF87C78-4A53-45E8-B08D-7B7742D2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06494" y="475448"/>
          <a:ext cx="488171" cy="125666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4</xdr:col>
      <xdr:colOff>40821</xdr:colOff>
      <xdr:row>0</xdr:row>
      <xdr:rowOff>517071</xdr:rowOff>
    </xdr:from>
    <xdr:ext cx="495666" cy="1255368"/>
    <xdr:pic>
      <xdr:nvPicPr>
        <xdr:cNvPr id="12" name="Grafik 19" descr="Ampel_grün.png">
          <a:extLst>
            <a:ext uri="{FF2B5EF4-FFF2-40B4-BE49-F238E27FC236}">
              <a16:creationId xmlns:a16="http://schemas.microsoft.com/office/drawing/2014/main" id="{4C6271F3-A279-473C-A258-EB0010A06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98771" y="517071"/>
          <a:ext cx="495666" cy="12553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54429</xdr:colOff>
      <xdr:row>0</xdr:row>
      <xdr:rowOff>517071</xdr:rowOff>
    </xdr:from>
    <xdr:ext cx="488806" cy="1255365"/>
    <xdr:pic>
      <xdr:nvPicPr>
        <xdr:cNvPr id="13" name="Grafik 9" descr="Ampel_rot.png">
          <a:extLst>
            <a:ext uri="{FF2B5EF4-FFF2-40B4-BE49-F238E27FC236}">
              <a16:creationId xmlns:a16="http://schemas.microsoft.com/office/drawing/2014/main" id="{C470330B-98F1-4714-A240-1E91D6E9A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12379" y="517071"/>
          <a:ext cx="488806" cy="125536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4</xdr:col>
      <xdr:colOff>54428</xdr:colOff>
      <xdr:row>0</xdr:row>
      <xdr:rowOff>506640</xdr:rowOff>
    </xdr:from>
    <xdr:ext cx="494396" cy="1263668"/>
    <xdr:pic>
      <xdr:nvPicPr>
        <xdr:cNvPr id="14" name="Grafik 19" descr="Ampel_grün.png">
          <a:extLst>
            <a:ext uri="{FF2B5EF4-FFF2-40B4-BE49-F238E27FC236}">
              <a16:creationId xmlns:a16="http://schemas.microsoft.com/office/drawing/2014/main" id="{5C7B8071-45EA-4113-8118-EEC4A00C7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12378" y="506640"/>
          <a:ext cx="494396" cy="12636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54428</xdr:colOff>
      <xdr:row>0</xdr:row>
      <xdr:rowOff>506640</xdr:rowOff>
    </xdr:from>
    <xdr:ext cx="488551" cy="1270653"/>
    <xdr:pic>
      <xdr:nvPicPr>
        <xdr:cNvPr id="15" name="Grafik 17" descr="Ampel_gelb.png">
          <a:extLst>
            <a:ext uri="{FF2B5EF4-FFF2-40B4-BE49-F238E27FC236}">
              <a16:creationId xmlns:a16="http://schemas.microsoft.com/office/drawing/2014/main" id="{E41F65EB-ED27-49A8-ACD0-011C2DB92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0564" y="506640"/>
          <a:ext cx="488551" cy="12706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0.1586</cdr:x>
      <cdr:y>0.01363</cdr:y>
    </cdr:from>
    <cdr:to>
      <cdr:x>0.1586</cdr:x>
      <cdr:y>0.01363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1418" y="5080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025" b="1" i="0" u="none" strike="noStrike" baseline="0">
              <a:solidFill>
                <a:srgbClr val="000000"/>
              </a:solidFill>
              <a:latin typeface="Arial"/>
              <a:cs typeface="Arial"/>
            </a:rPr>
            <a:t>ppm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56520</xdr:rowOff>
    </xdr:from>
    <xdr:to>
      <xdr:col>3</xdr:col>
      <xdr:colOff>52260</xdr:colOff>
      <xdr:row>42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918CA-11F9-5D47-8CFF-6088C486C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56520</xdr:rowOff>
    </xdr:from>
    <xdr:to>
      <xdr:col>9</xdr:col>
      <xdr:colOff>4635</xdr:colOff>
      <xdr:row>42</xdr:row>
      <xdr:rowOff>36720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DB8BC-6A65-F942-9794-7763B52E7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56520</xdr:rowOff>
    </xdr:from>
    <xdr:to>
      <xdr:col>4</xdr:col>
      <xdr:colOff>4635</xdr:colOff>
      <xdr:row>42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B2200-5BD6-7346-AE63-023DC92D3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56520</xdr:rowOff>
    </xdr:from>
    <xdr:to>
      <xdr:col>9</xdr:col>
      <xdr:colOff>4635</xdr:colOff>
      <xdr:row>42</xdr:row>
      <xdr:rowOff>36720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F19373-FBE8-9A40-B0B8-A18D671D6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857250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ADC5D6E-6BCD-D84A-A7FF-74819E4FC70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6718300"/>
          <a:ext cx="8572500" cy="3238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431800</xdr:colOff>
      <xdr:row>5</xdr:row>
      <xdr:rowOff>165101</xdr:rowOff>
    </xdr:from>
    <xdr:ext cx="8013700" cy="603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1AE8B96-F5C5-F64D-A55C-B9E81270DC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66200" y="1295401"/>
          <a:ext cx="8013700" cy="6032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B_Final_200404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ckup_JT_01_0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.maerskgroup.com/personal/mohanakrishnan_v_maersk_com/Documents/01_Automotive_Quality/Bosch/8D_Documents/Alyssa/Supplier%208D%20template%20V1%20-%20pallets%20not%20matching%20with%20documents.xlsx" TargetMode="External"/><Relationship Id="rId1" Type="http://schemas.openxmlformats.org/officeDocument/2006/relationships/externalLinkPath" Target="https://my.maerskgroup.com/personal/mohanakrishnan_v_maersk_com/Documents/01_Automotive_Quality/Bosch/8D_Documents/Alyssa/Supplier%208D%20template%20V1%20-%20pallets%20not%20matching%20with%20documen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richt_Feb04_Pivo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DCA-M%20englis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"/>
      <sheetName val="EB Region DB5"/>
      <sheetName val="EB Region NGU"/>
      <sheetName val="AS"/>
      <sheetName val="BE"/>
      <sheetName val="CV"/>
      <sheetName val="DT"/>
      <sheetName val="ST"/>
      <sheetName val="TS"/>
      <sheetName val="WS"/>
      <sheetName val="O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_KZ_AUB_Grouped"/>
      <sheetName val="2004_IST"/>
      <sheetName val="2003_IST"/>
      <sheetName val="WS"/>
      <sheetName val="Pivot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D Form"/>
      <sheetName val="D2 - Failure Visualization"/>
      <sheetName val="D4 - Ishikawa"/>
      <sheetName val="D4 - 5 Why Form"/>
      <sheetName val="8D Checklist"/>
      <sheetName val="8D Self-Evaluation"/>
      <sheetName val="Instruction 8D E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S"/>
      <sheetName val="TS"/>
      <sheetName val="ST"/>
      <sheetName val="AS"/>
      <sheetName val="CV"/>
      <sheetName val="DT"/>
      <sheetName val="BE"/>
      <sheetName val="Pivot"/>
      <sheetName val="Transition"/>
      <sheetName val="TTNR_Checks"/>
      <sheetName val="Tbl_Monthly_Pivot_Data"/>
      <sheetName val="Qry_Sollkurve2004_PB_pro_Mon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9F3989-5368-4C4E-AAEB-A885581924B8}">
  <we:reference id="wa200009404" version="1.0.0.4" store="en-US" storeType="OMEX"/>
  <we:alternateReferences>
    <we:reference id="WA200009404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1A70-5E89-4AE8-B9EB-0726FFA1F50D}">
  <sheetPr>
    <tabColor rgb="FF92D050"/>
    <pageSetUpPr fitToPage="1"/>
  </sheetPr>
  <dimension ref="A1:X167"/>
  <sheetViews>
    <sheetView showGridLines="0" tabSelected="1" zoomScaleNormal="75" zoomScaleSheetLayoutView="100" workbookViewId="0">
      <selection activeCell="E154" sqref="E154:G155"/>
    </sheetView>
  </sheetViews>
  <sheetFormatPr baseColWidth="10" defaultColWidth="11.5" defaultRowHeight="13"/>
  <cols>
    <col min="1" max="1" width="6.33203125" style="4" customWidth="1"/>
    <col min="2" max="2" width="106.1640625" style="4" customWidth="1"/>
    <col min="3" max="3" width="27.1640625" style="4" customWidth="1"/>
    <col min="4" max="4" width="22.33203125" style="4" bestFit="1" customWidth="1"/>
    <col min="5" max="5" width="6.5" style="4" customWidth="1"/>
    <col min="6" max="6" width="16" style="4" customWidth="1"/>
    <col min="7" max="8" width="12.5" style="4" customWidth="1"/>
    <col min="9" max="20" width="9.33203125" style="4" customWidth="1"/>
    <col min="21" max="21" width="13.6640625" style="4" bestFit="1" customWidth="1"/>
    <col min="22" max="22" width="9.33203125" style="4" customWidth="1"/>
    <col min="23" max="23" width="9.1640625" style="4" customWidth="1"/>
    <col min="24" max="24" width="11.6640625" style="4" bestFit="1" customWidth="1"/>
    <col min="25" max="25" width="14.6640625" style="4" customWidth="1"/>
    <col min="26" max="256" width="9.1640625" style="4" customWidth="1"/>
    <col min="257" max="16384" width="11.5" style="4"/>
  </cols>
  <sheetData>
    <row r="1" spans="1:23" ht="75.75" customHeight="1" thickBot="1">
      <c r="A1" s="359" t="s">
        <v>0</v>
      </c>
      <c r="B1" s="360"/>
      <c r="C1" s="36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3" ht="21" customHeight="1">
      <c r="A2" s="362" t="s">
        <v>1</v>
      </c>
      <c r="B2" s="363"/>
      <c r="C2" s="8"/>
      <c r="D2" s="5"/>
      <c r="E2" s="5"/>
      <c r="F2" s="9"/>
      <c r="G2" s="9"/>
      <c r="H2" s="9"/>
      <c r="T2" s="10"/>
    </row>
    <row r="3" spans="1:23" ht="21" customHeight="1" thickBot="1">
      <c r="A3" s="11"/>
      <c r="B3" s="12" t="s">
        <v>2</v>
      </c>
      <c r="C3" s="13"/>
      <c r="D3" s="14"/>
      <c r="E3" s="14"/>
      <c r="F3" s="15"/>
      <c r="G3" s="15"/>
      <c r="H3" s="15"/>
      <c r="T3" s="10"/>
    </row>
    <row r="4" spans="1:23" ht="21" customHeight="1">
      <c r="A4" s="6" t="s">
        <v>3</v>
      </c>
      <c r="B4" s="7"/>
      <c r="C4" s="8"/>
      <c r="F4" s="15"/>
      <c r="G4" s="15"/>
      <c r="H4" s="15"/>
      <c r="T4" s="10"/>
    </row>
    <row r="5" spans="1:23" ht="21" customHeight="1" thickBot="1">
      <c r="A5" s="11" t="s">
        <v>4</v>
      </c>
      <c r="B5" s="12"/>
      <c r="C5" s="13"/>
      <c r="T5" s="10"/>
    </row>
    <row r="6" spans="1:23" ht="21" customHeight="1" thickBot="1">
      <c r="A6" s="7" t="s">
        <v>5</v>
      </c>
      <c r="B6" s="16"/>
      <c r="C6" s="8"/>
      <c r="T6" s="10"/>
    </row>
    <row r="7" spans="1:23" ht="21" customHeight="1" thickBot="1">
      <c r="A7" s="17"/>
      <c r="B7" s="18" t="s">
        <v>606</v>
      </c>
      <c r="C7" s="19"/>
      <c r="D7" s="364"/>
      <c r="E7" s="365"/>
      <c r="F7" s="365"/>
      <c r="G7" s="20" t="s">
        <v>6</v>
      </c>
      <c r="H7" s="96" t="s">
        <v>7</v>
      </c>
      <c r="I7" s="21" t="s">
        <v>8</v>
      </c>
      <c r="J7" s="22" t="s">
        <v>712</v>
      </c>
      <c r="K7" s="22" t="s">
        <v>707</v>
      </c>
      <c r="L7" s="22" t="s">
        <v>708</v>
      </c>
      <c r="M7" s="325" t="s">
        <v>709</v>
      </c>
      <c r="N7" s="325" t="s">
        <v>702</v>
      </c>
      <c r="O7" s="325" t="s">
        <v>703</v>
      </c>
      <c r="P7" s="325" t="s">
        <v>704</v>
      </c>
      <c r="Q7" s="325" t="s">
        <v>705</v>
      </c>
      <c r="R7" s="325" t="s">
        <v>706</v>
      </c>
      <c r="S7" s="23" t="s">
        <v>9</v>
      </c>
      <c r="T7" s="24"/>
      <c r="U7" s="25"/>
      <c r="V7" s="25"/>
    </row>
    <row r="8" spans="1:23" ht="15.75" customHeight="1">
      <c r="A8" s="6" t="s">
        <v>10</v>
      </c>
      <c r="B8" s="7"/>
      <c r="C8" s="26"/>
      <c r="D8" s="366" t="s">
        <v>11</v>
      </c>
      <c r="E8" s="367"/>
      <c r="F8" s="367"/>
      <c r="G8" s="27">
        <v>0.82</v>
      </c>
      <c r="H8" s="97">
        <v>0.84</v>
      </c>
      <c r="I8" s="113">
        <v>0.84</v>
      </c>
      <c r="J8" s="322">
        <f>'SC4 Data'!Z27</f>
        <v>0.82769097222222221</v>
      </c>
      <c r="K8" s="322">
        <f>'SC4 Data'!AE27</f>
        <v>0.81682043053884212</v>
      </c>
      <c r="L8" s="322">
        <f>'SC4 Data'!AJ27</f>
        <v>0.83149584864570569</v>
      </c>
      <c r="M8" s="112">
        <v>0.85</v>
      </c>
      <c r="N8" s="112">
        <v>0.87</v>
      </c>
      <c r="O8" s="112">
        <v>0.89</v>
      </c>
      <c r="P8" s="112">
        <v>0.91</v>
      </c>
      <c r="Q8" s="112">
        <v>0.93</v>
      </c>
      <c r="R8" s="112">
        <v>0.95</v>
      </c>
      <c r="S8" s="28"/>
      <c r="T8" s="29"/>
      <c r="U8" s="30"/>
      <c r="V8" s="30"/>
    </row>
    <row r="9" spans="1:23" ht="15.75" customHeight="1">
      <c r="A9" s="31"/>
      <c r="B9" s="32"/>
      <c r="C9" s="32"/>
      <c r="D9" s="366" t="s">
        <v>12</v>
      </c>
      <c r="E9" s="367"/>
      <c r="F9" s="367"/>
      <c r="G9" s="27">
        <v>0.1</v>
      </c>
      <c r="H9" s="97">
        <v>0.22</v>
      </c>
      <c r="I9" s="113">
        <v>0.48</v>
      </c>
      <c r="J9" s="322">
        <f>'SC4 Data'!AA27</f>
        <v>0.58853347316902638</v>
      </c>
      <c r="K9" s="322">
        <f>'SC4 Data'!AF27</f>
        <v>0.60124406613193648</v>
      </c>
      <c r="L9" s="322">
        <f>'SC4 Data'!AK27</f>
        <v>0.64151252250777546</v>
      </c>
      <c r="M9" s="112">
        <v>0.66</v>
      </c>
      <c r="N9" s="112">
        <v>0.69</v>
      </c>
      <c r="O9" s="112">
        <v>0.73</v>
      </c>
      <c r="P9" s="112">
        <v>0.78</v>
      </c>
      <c r="Q9" s="112">
        <v>0.79</v>
      </c>
      <c r="R9" s="112">
        <v>0.8</v>
      </c>
      <c r="S9" s="28"/>
      <c r="T9" s="29"/>
      <c r="U9" s="30"/>
      <c r="V9" s="30"/>
    </row>
    <row r="10" spans="1:23" ht="15.75" customHeight="1" thickBot="1">
      <c r="A10" s="33"/>
      <c r="B10" s="34" t="s">
        <v>13</v>
      </c>
      <c r="C10" s="35"/>
      <c r="D10" s="366" t="s">
        <v>14</v>
      </c>
      <c r="E10" s="367"/>
      <c r="F10" s="367"/>
      <c r="G10" s="27" t="s">
        <v>15</v>
      </c>
      <c r="H10" s="97" t="s">
        <v>15</v>
      </c>
      <c r="I10" s="113">
        <v>0.71</v>
      </c>
      <c r="J10" s="113">
        <f>'SC4 Data'!Z28</f>
        <v>0.74810710987996309</v>
      </c>
      <c r="K10" s="322">
        <f>'SC4 Data'!AE28</f>
        <v>0.75846858094049108</v>
      </c>
      <c r="L10" s="322">
        <f>'SC4 Data'!AJ28</f>
        <v>0.78377680185998455</v>
      </c>
      <c r="M10" s="112">
        <v>0.79</v>
      </c>
      <c r="N10" s="112">
        <v>0.81</v>
      </c>
      <c r="O10" s="112">
        <v>0.84</v>
      </c>
      <c r="P10" s="112">
        <v>0.88</v>
      </c>
      <c r="Q10" s="112">
        <v>0.91</v>
      </c>
      <c r="R10" s="112">
        <v>0.95</v>
      </c>
      <c r="S10" s="28"/>
      <c r="T10" s="29"/>
      <c r="U10" s="30"/>
      <c r="V10" s="30"/>
    </row>
    <row r="11" spans="1:23" ht="15.75" customHeight="1">
      <c r="A11" s="110"/>
      <c r="B11" s="110"/>
      <c r="C11" s="110"/>
      <c r="D11" s="366" t="s">
        <v>16</v>
      </c>
      <c r="E11" s="367"/>
      <c r="F11" s="367"/>
      <c r="G11" s="36" t="s">
        <v>15</v>
      </c>
      <c r="H11" s="98" t="s">
        <v>15</v>
      </c>
      <c r="I11" s="113">
        <v>0.43</v>
      </c>
      <c r="J11" s="113">
        <f>'SC4 Data'!AA28</f>
        <v>0.59960503579363122</v>
      </c>
      <c r="K11" s="322">
        <f>'SC4 Data'!AF28</f>
        <v>0.61395808186107759</v>
      </c>
      <c r="L11" s="322">
        <f>'SC4 Data'!AK28</f>
        <v>0.62568666227202807</v>
      </c>
      <c r="M11" s="111">
        <v>0.64</v>
      </c>
      <c r="N11" s="111">
        <v>0.65</v>
      </c>
      <c r="O11" s="111">
        <v>0.66</v>
      </c>
      <c r="P11" s="111">
        <v>0.67</v>
      </c>
      <c r="Q11" s="111">
        <v>0.68</v>
      </c>
      <c r="R11" s="111">
        <v>0.7</v>
      </c>
      <c r="S11" s="28"/>
      <c r="T11" s="29"/>
      <c r="U11" s="30"/>
      <c r="V11" s="30"/>
    </row>
    <row r="12" spans="1:23" ht="15.75" customHeight="1">
      <c r="A12" s="110"/>
      <c r="B12" s="110"/>
      <c r="C12" s="110"/>
      <c r="D12" s="172" t="s">
        <v>713</v>
      </c>
      <c r="E12" s="173"/>
      <c r="F12" s="173"/>
      <c r="G12" s="36"/>
      <c r="H12" s="98"/>
      <c r="I12" s="114">
        <v>0.38</v>
      </c>
      <c r="J12" s="113">
        <v>0.44</v>
      </c>
      <c r="K12" s="322">
        <v>0.62</v>
      </c>
      <c r="L12" s="322">
        <v>0.39</v>
      </c>
      <c r="M12" s="111">
        <v>0.65</v>
      </c>
      <c r="N12" s="111">
        <v>0.68</v>
      </c>
      <c r="O12" s="111">
        <v>0.7</v>
      </c>
      <c r="P12" s="111">
        <v>0.72</v>
      </c>
      <c r="Q12" s="111">
        <v>0.74</v>
      </c>
      <c r="R12" s="111">
        <v>0.76</v>
      </c>
      <c r="S12" s="28"/>
      <c r="T12" s="29"/>
      <c r="U12" s="30"/>
      <c r="V12" s="30"/>
    </row>
    <row r="13" spans="1:23" ht="15.75" customHeight="1">
      <c r="A13" s="110"/>
      <c r="B13" s="110"/>
      <c r="C13" s="110"/>
      <c r="D13" s="172" t="s">
        <v>714</v>
      </c>
      <c r="E13" s="173"/>
      <c r="F13" s="173"/>
      <c r="G13" s="36"/>
      <c r="H13" s="98"/>
      <c r="I13" s="114">
        <v>0.11</v>
      </c>
      <c r="J13" s="113">
        <v>0.13</v>
      </c>
      <c r="K13" s="322">
        <v>0.17</v>
      </c>
      <c r="L13" s="322">
        <v>0.17</v>
      </c>
      <c r="M13" s="111">
        <v>0.2</v>
      </c>
      <c r="N13" s="111">
        <v>0.25</v>
      </c>
      <c r="O13" s="111">
        <v>0.4</v>
      </c>
      <c r="P13" s="111">
        <v>0.5</v>
      </c>
      <c r="Q13" s="111">
        <v>0.6</v>
      </c>
      <c r="R13" s="111">
        <v>0.72</v>
      </c>
      <c r="S13" s="28"/>
      <c r="T13" s="29"/>
      <c r="U13" s="30"/>
      <c r="V13" s="30"/>
    </row>
    <row r="14" spans="1:23" ht="15.75" customHeight="1">
      <c r="A14" s="40"/>
      <c r="D14" s="375" t="s">
        <v>574</v>
      </c>
      <c r="E14" s="376"/>
      <c r="F14" s="377"/>
      <c r="G14" s="36" t="s">
        <v>15</v>
      </c>
      <c r="H14" s="98" t="s">
        <v>15</v>
      </c>
      <c r="I14" s="114">
        <v>0.69</v>
      </c>
      <c r="J14" s="113">
        <v>0.71</v>
      </c>
      <c r="K14" s="322">
        <v>0.74</v>
      </c>
      <c r="L14" s="322">
        <v>0.76</v>
      </c>
      <c r="M14" s="111">
        <v>0.78</v>
      </c>
      <c r="N14" s="111">
        <v>0.82</v>
      </c>
      <c r="O14" s="111">
        <v>0.84</v>
      </c>
      <c r="P14" s="111">
        <v>0.86</v>
      </c>
      <c r="Q14" s="111">
        <v>0.9</v>
      </c>
      <c r="R14" s="111">
        <v>0.95</v>
      </c>
      <c r="S14" s="39"/>
      <c r="T14" s="29"/>
      <c r="U14" s="30"/>
      <c r="V14" s="30"/>
    </row>
    <row r="15" spans="1:23" ht="15.75" customHeight="1" thickBot="1">
      <c r="A15" s="41"/>
      <c r="B15" s="32"/>
      <c r="C15" s="42"/>
      <c r="D15" s="378"/>
      <c r="E15" s="379"/>
      <c r="F15" s="380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43"/>
      <c r="T15" s="29"/>
      <c r="U15" s="30"/>
      <c r="V15" s="30"/>
    </row>
    <row r="16" spans="1:23" ht="15.75" customHeight="1" thickBot="1">
      <c r="A16" s="44"/>
      <c r="B16" s="45"/>
      <c r="C16" s="45"/>
      <c r="D16" s="46"/>
      <c r="E16" s="46"/>
      <c r="F16" s="46"/>
      <c r="G16" s="47"/>
      <c r="H16" s="47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7"/>
      <c r="T16" s="49"/>
      <c r="U16" s="50"/>
      <c r="V16" s="50"/>
      <c r="W16" s="51"/>
    </row>
    <row r="17" spans="1:22" ht="34">
      <c r="A17" s="224" t="s">
        <v>19</v>
      </c>
      <c r="B17" s="225" t="s">
        <v>20</v>
      </c>
      <c r="C17" s="226" t="s">
        <v>21</v>
      </c>
      <c r="D17" s="381" t="s">
        <v>22</v>
      </c>
      <c r="E17" s="382"/>
      <c r="F17" s="382"/>
      <c r="G17" s="227" t="s">
        <v>23</v>
      </c>
      <c r="H17" s="228" t="s">
        <v>433</v>
      </c>
      <c r="I17" s="229" t="s">
        <v>24</v>
      </c>
      <c r="J17" s="230" t="s">
        <v>434</v>
      </c>
      <c r="K17" s="230" t="s">
        <v>25</v>
      </c>
      <c r="L17" s="230" t="s">
        <v>435</v>
      </c>
      <c r="M17" s="230" t="s">
        <v>26</v>
      </c>
      <c r="N17" s="230" t="s">
        <v>437</v>
      </c>
      <c r="O17" s="230" t="s">
        <v>438</v>
      </c>
      <c r="P17" s="230" t="s">
        <v>716</v>
      </c>
      <c r="Q17" s="230" t="s">
        <v>717</v>
      </c>
      <c r="R17" s="230" t="s">
        <v>715</v>
      </c>
      <c r="S17" s="231" t="s">
        <v>9</v>
      </c>
      <c r="T17" s="279"/>
      <c r="U17" s="30"/>
      <c r="V17" s="30"/>
    </row>
    <row r="18" spans="1:22" ht="14">
      <c r="A18" s="232">
        <f>'Mapping Prob-Root'!A2</f>
        <v>1</v>
      </c>
      <c r="B18" s="273" t="str">
        <f>'Mapping Prob-Root'!O2</f>
        <v>SC4 – S00 - Actual - Not received because CW1 configurations are not set up correctly to handle Bosch requirements</v>
      </c>
      <c r="C18" s="233" t="s">
        <v>29</v>
      </c>
      <c r="D18" s="336" t="s">
        <v>11</v>
      </c>
      <c r="E18" s="337"/>
      <c r="F18" s="338"/>
      <c r="G18" s="234">
        <f>'SC4 Data'!F5</f>
        <v>0.52</v>
      </c>
      <c r="H18" s="234">
        <f>'SC4 Data'!K5</f>
        <v>0.36</v>
      </c>
      <c r="I18" s="234">
        <f>'SC4 Data'!P5</f>
        <v>0.35</v>
      </c>
      <c r="J18" s="234">
        <f>'SC4 Data'!U5</f>
        <v>0.5</v>
      </c>
      <c r="K18" s="234">
        <f>'SC4 Data'!Z5</f>
        <v>0.55218216318785596</v>
      </c>
      <c r="L18" s="234">
        <f>'SC4 Data'!AE5</f>
        <v>0.61</v>
      </c>
      <c r="M18" s="234">
        <f>'SC4 Data'!AJ5</f>
        <v>0.77031802120141302</v>
      </c>
      <c r="N18" s="277">
        <f>(AVERAGE(IF((M18-L18)&lt;0,-(M18-L18),(M18-L18)),IF((L18-K18)&lt;0,-(L18-K18),(L18-K18)),IF((K18-J18)&lt;0,-(K18-J18),(K18-J18)))*$T18)+M18</f>
        <v>0.80636042402826813</v>
      </c>
      <c r="O18" s="277">
        <f t="shared" ref="O18:R18" si="0">(AVERAGE(IF((N18-M18)&lt;0,-(N18-M18),(N18-M18)),IF((M18-L18)&lt;0,-(M18-L18),(M18-L18)),IF((L18-K18)&lt;0,-(L18-K18),(L18-K18)))*$T18)+N18</f>
        <v>0.8402508588069898</v>
      </c>
      <c r="P18" s="277">
        <f t="shared" si="0"/>
        <v>0.87095097331458848</v>
      </c>
      <c r="Q18" s="277">
        <f t="shared" si="0"/>
        <v>0.88436870026301184</v>
      </c>
      <c r="R18" s="277">
        <f t="shared" si="0"/>
        <v>0.8947698037609777</v>
      </c>
      <c r="S18" s="235">
        <f>AVERAGE(G18:R18)</f>
        <v>0.66326674538025887</v>
      </c>
      <c r="T18" s="278">
        <v>0.39999999999999997</v>
      </c>
      <c r="U18" s="276"/>
      <c r="V18" s="30"/>
    </row>
    <row r="19" spans="1:22" ht="17.25" customHeight="1">
      <c r="A19" s="232">
        <f>'Mapping Prob-Root'!A3</f>
        <v>2</v>
      </c>
      <c r="B19" s="233" t="str">
        <f>'Mapping Prob-Root'!O3</f>
        <v>SC4 – S00 - Actual - Not received because CW1 configurations are not set up correctly to handle Bosch requirements</v>
      </c>
      <c r="C19" s="233" t="s">
        <v>29</v>
      </c>
      <c r="D19" s="336" t="s">
        <v>12</v>
      </c>
      <c r="E19" s="337"/>
      <c r="F19" s="338"/>
      <c r="G19" s="234">
        <f>'SC4 Data'!G5</f>
        <v>0.52</v>
      </c>
      <c r="H19" s="234">
        <f>'SC4 Data'!L5</f>
        <v>0.36</v>
      </c>
      <c r="I19" s="234">
        <f>'SC4 Data'!Q5</f>
        <v>0.35</v>
      </c>
      <c r="J19" s="234">
        <f>'SC4 Data'!V5</f>
        <v>0.49</v>
      </c>
      <c r="K19" s="234">
        <f>'SC4 Data'!AA5</f>
        <v>0.546489563567362</v>
      </c>
      <c r="L19" s="234">
        <f>'SC4 Data'!AF5</f>
        <v>0.6</v>
      </c>
      <c r="M19" s="234">
        <f>'SC4 Data'!AK5</f>
        <v>0.74734982332155497</v>
      </c>
      <c r="N19" s="277">
        <f t="shared" ref="N19:N82" si="1">(AVERAGE(IF((M19-L19)&lt;0,-(M19-L19),(M19-L19)),IF((L19-K19)&lt;0,-(L19-K19),(L19-K19)),IF((K19-J19)&lt;0,-(K19-J19),(K19-J19)))*$T19)+M19</f>
        <v>0.76450647820965867</v>
      </c>
      <c r="O19" s="277">
        <f t="shared" ref="O19:O82" si="2">(AVERAGE(IF((N19-M19)&lt;0,-(N19-M19),(N19-M19)),IF((M19-L19)&lt;0,-(M19-L19),(M19-L19)),IF((L19-K19)&lt;0,-(L19-K19),(L19-K19)))*$T19)+N19</f>
        <v>0.77904093918581174</v>
      </c>
      <c r="P19" s="277">
        <f t="shared" ref="P19:P82" si="3">(AVERAGE(IF((O19-N19)&lt;0,-(O19-N19),(O19-N19)),IF((N19-M19)&lt;0,-(N19-M19),(N19-M19)),IF((M19-L19)&lt;0,-(M19-L19),(M19-L19)))*$T19)+O19</f>
        <v>0.79097700179819919</v>
      </c>
      <c r="Q19" s="277">
        <f t="shared" ref="Q19:Q82" si="4">(AVERAGE(IF((P19-O19)&lt;0,-(P19-O19),(P19-O19)),IF((O19-N19)&lt;0,-(O19-N19),(O19-N19)),IF((N19-M19)&lt;0,-(N19-M19),(N19-M19)))*$T19)+P19</f>
        <v>0.79388548036330875</v>
      </c>
      <c r="R19" s="277">
        <f t="shared" ref="R19:R82" si="5">(AVERAGE(IF((Q19-P19)&lt;0,-(Q19-P19),(Q19-P19)),IF((P19-O19)&lt;0,-(P19-O19),(P19-O19)),IF((O19-N19)&lt;0,-(O19-N19),(O19-N19)))*$T19)+Q19</f>
        <v>0.79584408050688538</v>
      </c>
      <c r="S19" s="235">
        <f t="shared" ref="S19:S82" si="6">AVERAGE(G19:R19)</f>
        <v>0.62817444724606497</v>
      </c>
      <c r="T19" s="278">
        <v>0.2</v>
      </c>
      <c r="U19" s="30"/>
      <c r="V19" s="30"/>
    </row>
    <row r="20" spans="1:22" ht="17.25" customHeight="1">
      <c r="A20" s="232">
        <f>'Mapping Prob-Root'!A4</f>
        <v>3</v>
      </c>
      <c r="B20" s="233" t="str">
        <f>'Mapping Prob-Root'!O4</f>
        <v>SC4 – S02 - Estimated - Not received because Manual milestones not updated on time by Operators due to lack of resources</v>
      </c>
      <c r="C20" s="233" t="s">
        <v>29</v>
      </c>
      <c r="D20" s="336" t="s">
        <v>11</v>
      </c>
      <c r="E20" s="337"/>
      <c r="F20" s="338"/>
      <c r="G20" s="234">
        <f>'SC4 Data'!F6</f>
        <v>0.79</v>
      </c>
      <c r="H20" s="234">
        <f>'SC4 Data'!K6</f>
        <v>0.83</v>
      </c>
      <c r="I20" s="234">
        <f>'SC4 Data'!P6</f>
        <v>0.85</v>
      </c>
      <c r="J20" s="234">
        <f>'SC4 Data'!U6</f>
        <v>0.87</v>
      </c>
      <c r="K20" s="234">
        <f>'SC4 Data'!Z6</f>
        <v>0.84673366834170805</v>
      </c>
      <c r="L20" s="234">
        <f>'SC4 Data'!AE6</f>
        <v>0.9</v>
      </c>
      <c r="M20" s="247">
        <f>'SC4 Data'!AJ6</f>
        <v>0.88565022421524697</v>
      </c>
      <c r="N20" s="277">
        <f t="shared" si="1"/>
        <v>0.90988554130893684</v>
      </c>
      <c r="O20" s="277">
        <f t="shared" si="2"/>
        <v>0.93437925451873283</v>
      </c>
      <c r="P20" s="277">
        <f t="shared" si="3"/>
        <v>0.95120026947559655</v>
      </c>
      <c r="Q20" s="277">
        <f t="shared" si="4"/>
        <v>0.96868028154502306</v>
      </c>
      <c r="R20" s="277">
        <f t="shared" si="5"/>
        <v>0.98435887894131269</v>
      </c>
      <c r="S20" s="235">
        <f t="shared" si="6"/>
        <v>0.8934073431955466</v>
      </c>
      <c r="T20" s="278">
        <v>0.8</v>
      </c>
      <c r="U20" s="276"/>
      <c r="V20" s="30"/>
    </row>
    <row r="21" spans="1:22" ht="17.25" customHeight="1">
      <c r="A21" s="232">
        <f>'Mapping Prob-Root'!A5</f>
        <v>4</v>
      </c>
      <c r="B21" s="233" t="str">
        <f>'Mapping Prob-Root'!O5</f>
        <v>SC4 – S02 - Estimated - Not received because Manual milestones not updated on time by Operators due to lack of resources</v>
      </c>
      <c r="C21" s="236" t="s">
        <v>29</v>
      </c>
      <c r="D21" s="336" t="s">
        <v>12</v>
      </c>
      <c r="E21" s="337"/>
      <c r="F21" s="338"/>
      <c r="G21" s="234">
        <f>'SC4 Data'!G6</f>
        <v>0.41</v>
      </c>
      <c r="H21" s="234">
        <f>'SC4 Data'!L6</f>
        <v>0.36</v>
      </c>
      <c r="I21" s="234">
        <f>'SC4 Data'!Q6</f>
        <v>0.34</v>
      </c>
      <c r="J21" s="234">
        <f>'SC4 Data'!V6</f>
        <v>0.43</v>
      </c>
      <c r="K21" s="234">
        <f>'SC4 Data'!AA6</f>
        <v>0.52763819095477404</v>
      </c>
      <c r="L21" s="234">
        <f>'SC4 Data'!AF6</f>
        <v>0.59</v>
      </c>
      <c r="M21" s="248">
        <f>'SC4 Data'!AK6</f>
        <v>0.66591928251121102</v>
      </c>
      <c r="N21" s="277">
        <f t="shared" si="1"/>
        <v>0.69737518684603916</v>
      </c>
      <c r="O21" s="277">
        <f t="shared" si="2"/>
        <v>0.7200067862982078</v>
      </c>
      <c r="P21" s="277">
        <f t="shared" si="3"/>
        <v>0.73734102447130223</v>
      </c>
      <c r="Q21" s="277">
        <f t="shared" si="4"/>
        <v>0.7468639233993144</v>
      </c>
      <c r="R21" s="277">
        <f t="shared" si="5"/>
        <v>0.75346242160641774</v>
      </c>
      <c r="S21" s="235">
        <f t="shared" si="6"/>
        <v>0.58155056800727223</v>
      </c>
      <c r="T21" s="278">
        <v>0.4</v>
      </c>
      <c r="U21" s="30"/>
      <c r="V21" s="30"/>
    </row>
    <row r="22" spans="1:22" ht="17.25" customHeight="1">
      <c r="A22" s="232">
        <f>'Mapping Prob-Root'!A6</f>
        <v>5</v>
      </c>
      <c r="B22" s="233" t="str">
        <f>'Mapping Prob-Root'!O6</f>
        <v>SC4 – S02 - Actual - Not received because Manual milestones not updated on time by Operators due to lack of resources</v>
      </c>
      <c r="C22" s="236" t="s">
        <v>29</v>
      </c>
      <c r="D22" s="336" t="s">
        <v>11</v>
      </c>
      <c r="E22" s="337"/>
      <c r="F22" s="338"/>
      <c r="G22" s="234">
        <f>'SC4 Data'!F7</f>
        <v>0.92</v>
      </c>
      <c r="H22" s="234">
        <f>'SC4 Data'!K7</f>
        <v>0.95</v>
      </c>
      <c r="I22" s="234">
        <f>'SC4 Data'!P7</f>
        <v>0.88</v>
      </c>
      <c r="J22" s="234">
        <f>'SC4 Data'!U7</f>
        <v>0.9</v>
      </c>
      <c r="K22" s="234">
        <f>'SC4 Data'!Z7</f>
        <v>0.88944723618090404</v>
      </c>
      <c r="L22" s="234">
        <f>'SC4 Data'!AE7</f>
        <v>0.9</v>
      </c>
      <c r="M22" s="248">
        <f>'SC4 Data'!AJ7</f>
        <v>0.90807174887892395</v>
      </c>
      <c r="N22" s="277">
        <f t="shared" si="1"/>
        <v>0.91974265948577028</v>
      </c>
      <c r="O22" s="277">
        <f t="shared" si="2"/>
        <v>0.93186082880771681</v>
      </c>
      <c r="P22" s="277">
        <f t="shared" si="3"/>
        <v>0.94460516033080355</v>
      </c>
      <c r="Q22" s="277">
        <f t="shared" si="4"/>
        <v>0.95921852491155535</v>
      </c>
      <c r="R22" s="277">
        <f t="shared" si="5"/>
        <v>0.9750088710818694</v>
      </c>
      <c r="S22" s="235">
        <f t="shared" si="6"/>
        <v>0.92316291913979531</v>
      </c>
      <c r="T22" s="278">
        <v>1.2</v>
      </c>
      <c r="U22" s="276"/>
      <c r="V22" s="30"/>
    </row>
    <row r="23" spans="1:22" ht="17.25" customHeight="1">
      <c r="A23" s="232">
        <f>'Mapping Prob-Root'!A7</f>
        <v>6</v>
      </c>
      <c r="B23" s="233" t="str">
        <f>'Mapping Prob-Root'!O7</f>
        <v>SC4 – S02 - Actual - Not received because Manual milestones not updated on time by Operators due to lack of resources</v>
      </c>
      <c r="C23" s="236" t="s">
        <v>29</v>
      </c>
      <c r="D23" s="336" t="s">
        <v>12</v>
      </c>
      <c r="E23" s="337"/>
      <c r="F23" s="338"/>
      <c r="G23" s="234">
        <f>'SC4 Data'!G7</f>
        <v>0.17</v>
      </c>
      <c r="H23" s="234">
        <f>'SC4 Data'!L7</f>
        <v>0.39</v>
      </c>
      <c r="I23" s="234">
        <f>'SC4 Data'!Q7</f>
        <v>0.34</v>
      </c>
      <c r="J23" s="234">
        <f>'SC4 Data'!V7</f>
        <v>0.4</v>
      </c>
      <c r="K23" s="234">
        <f>'SC4 Data'!AA7</f>
        <v>0.32914572864321601</v>
      </c>
      <c r="L23" s="234">
        <f>'SC4 Data'!AF7</f>
        <v>0.37</v>
      </c>
      <c r="M23" s="248">
        <f>'SC4 Data'!AK7</f>
        <v>0.38340807174887898</v>
      </c>
      <c r="N23" s="277">
        <f t="shared" si="1"/>
        <v>0.44179582516468757</v>
      </c>
      <c r="O23" s="277">
        <f t="shared" si="2"/>
        <v>0.49436587020804096</v>
      </c>
      <c r="P23" s="277">
        <f t="shared" si="3"/>
        <v>0.55240327630512676</v>
      </c>
      <c r="Q23" s="277">
        <f t="shared" si="4"/>
        <v>0.63126770509804242</v>
      </c>
      <c r="R23" s="277">
        <f t="shared" si="5"/>
        <v>0.71968791573360802</v>
      </c>
      <c r="S23" s="235">
        <f t="shared" si="6"/>
        <v>0.4351728660751335</v>
      </c>
      <c r="T23" s="278">
        <v>1.4</v>
      </c>
      <c r="U23" s="30"/>
      <c r="V23" s="30"/>
    </row>
    <row r="24" spans="1:22" ht="17.25" customHeight="1">
      <c r="A24" s="232">
        <f>'Mapping Prob-Root'!A8</f>
        <v>7</v>
      </c>
      <c r="B24" s="233" t="str">
        <f>'Mapping Prob-Root'!O8</f>
        <v>SC4 – S46 - Actual - Not received because SOP to fill CW1 fields are not followed by Operators due to lack of resources</v>
      </c>
      <c r="C24" s="236" t="s">
        <v>33</v>
      </c>
      <c r="D24" s="336" t="s">
        <v>14</v>
      </c>
      <c r="E24" s="337"/>
      <c r="F24" s="338"/>
      <c r="G24" s="234">
        <f>'SC4 Data'!F8</f>
        <v>0.61</v>
      </c>
      <c r="H24" s="234">
        <f>'SC4 Data'!K8</f>
        <v>0.37</v>
      </c>
      <c r="I24" s="234">
        <f>'SC4 Data'!P8</f>
        <v>0.41</v>
      </c>
      <c r="J24" s="234">
        <f>'SC4 Data'!U8</f>
        <v>0.61</v>
      </c>
      <c r="K24" s="234">
        <f>'SC4 Data'!Z8</f>
        <v>0.67741935483870996</v>
      </c>
      <c r="L24" s="234">
        <f>'SC4 Data'!AE8</f>
        <v>0.73</v>
      </c>
      <c r="M24" s="248">
        <f>'SC4 Data'!AJ8</f>
        <v>0.82155477031802104</v>
      </c>
      <c r="N24" s="277">
        <f t="shared" si="1"/>
        <v>0.86386572438162523</v>
      </c>
      <c r="O24" s="277">
        <f t="shared" si="2"/>
        <v>0.90115499829020829</v>
      </c>
      <c r="P24" s="277">
        <f t="shared" si="3"/>
        <v>0.93538599794824995</v>
      </c>
      <c r="Q24" s="277">
        <f t="shared" si="4"/>
        <v>0.95815224347429573</v>
      </c>
      <c r="R24" s="277">
        <f t="shared" si="5"/>
        <v>0.97700954729282985</v>
      </c>
      <c r="S24" s="235">
        <f t="shared" si="6"/>
        <v>0.73871188637866181</v>
      </c>
      <c r="T24" s="278">
        <v>0.6</v>
      </c>
      <c r="U24" s="30"/>
      <c r="V24" s="30"/>
    </row>
    <row r="25" spans="1:22" ht="17.25" customHeight="1">
      <c r="A25" s="232">
        <f>'Mapping Prob-Root'!A9</f>
        <v>8</v>
      </c>
      <c r="B25" s="233" t="str">
        <f>'Mapping Prob-Root'!O9</f>
        <v>SC4 – S46 - Actual - Not received because SOP to fill CW1 fields are not followed by Operators due to lack of resources</v>
      </c>
      <c r="C25" s="236" t="s">
        <v>33</v>
      </c>
      <c r="D25" s="336" t="s">
        <v>16</v>
      </c>
      <c r="E25" s="337"/>
      <c r="F25" s="338"/>
      <c r="G25" s="234">
        <f>'SC4 Data'!G8</f>
        <v>0.27</v>
      </c>
      <c r="H25" s="234">
        <f>'SC4 Data'!L8</f>
        <v>0.18</v>
      </c>
      <c r="I25" s="234">
        <f>'SC4 Data'!Q8</f>
        <v>0.15</v>
      </c>
      <c r="J25" s="234">
        <f>'SC4 Data'!V8</f>
        <v>0.31</v>
      </c>
      <c r="K25" s="234">
        <f>'SC4 Data'!AA8</f>
        <v>0.31309297912713502</v>
      </c>
      <c r="L25" s="234">
        <f>'SC4 Data'!AF8</f>
        <v>0.41</v>
      </c>
      <c r="M25" s="248">
        <f>'SC4 Data'!AK8</f>
        <v>0.50883392226148405</v>
      </c>
      <c r="N25" s="277">
        <f t="shared" si="1"/>
        <v>0.55522850412249702</v>
      </c>
      <c r="O25" s="277">
        <f t="shared" si="2"/>
        <v>0.61172679328808144</v>
      </c>
      <c r="P25" s="277">
        <f t="shared" si="3"/>
        <v>0.65879637838863381</v>
      </c>
      <c r="Q25" s="277">
        <f t="shared" si="4"/>
        <v>0.69378761815163537</v>
      </c>
      <c r="R25" s="277">
        <f t="shared" si="5"/>
        <v>0.72611807809176765</v>
      </c>
      <c r="S25" s="235">
        <f t="shared" si="6"/>
        <v>0.44896535611926952</v>
      </c>
      <c r="T25" s="278">
        <v>0.7</v>
      </c>
      <c r="U25" s="30"/>
      <c r="V25" s="30"/>
    </row>
    <row r="26" spans="1:22" ht="17.25" customHeight="1">
      <c r="A26" s="232">
        <f>'Mapping Prob-Root'!A10</f>
        <v>9</v>
      </c>
      <c r="B26" s="233" t="str">
        <f>'Mapping Prob-Root'!O10</f>
        <v>SC4 – S10 - Actual - Not received because Manual milestones not updated on time by Operators due to lack of resources</v>
      </c>
      <c r="C26" s="236" t="s">
        <v>33</v>
      </c>
      <c r="D26" s="336" t="s">
        <v>14</v>
      </c>
      <c r="E26" s="337"/>
      <c r="F26" s="338"/>
      <c r="G26" s="234">
        <f>'SC4 Data'!F9</f>
        <v>0.96</v>
      </c>
      <c r="H26" s="234">
        <f>'SC4 Data'!K9</f>
        <v>0.91</v>
      </c>
      <c r="I26" s="234">
        <f>'SC4 Data'!P9</f>
        <v>0.83</v>
      </c>
      <c r="J26" s="234">
        <f>'SC4 Data'!U9</f>
        <v>0.88</v>
      </c>
      <c r="K26" s="234">
        <f>'SC4 Data'!Z9</f>
        <v>0.81310679611650505</v>
      </c>
      <c r="L26" s="234">
        <f>'SC4 Data'!AE9</f>
        <v>0.9</v>
      </c>
      <c r="M26" s="248">
        <f>'SC4 Data'!AJ9</f>
        <v>0.91543340380549698</v>
      </c>
      <c r="N26" s="277">
        <f t="shared" si="1"/>
        <v>0.94363670573424474</v>
      </c>
      <c r="O26" s="277">
        <f t="shared" si="2"/>
        <v>0.96539169067053465</v>
      </c>
      <c r="P26" s="277">
        <f t="shared" si="3"/>
        <v>0.97629030578229048</v>
      </c>
      <c r="Q26" s="277">
        <f t="shared" si="4"/>
        <v>0.98643312277842277</v>
      </c>
      <c r="R26" s="277">
        <f t="shared" si="5"/>
        <v>0.99356585895245242</v>
      </c>
      <c r="S26" s="235">
        <f t="shared" si="6"/>
        <v>0.92282149031999561</v>
      </c>
      <c r="T26" s="278">
        <v>0.5</v>
      </c>
      <c r="U26" s="30"/>
      <c r="V26" s="30"/>
    </row>
    <row r="27" spans="1:22" ht="17.25" customHeight="1">
      <c r="A27" s="232">
        <f>'Mapping Prob-Root'!A11</f>
        <v>10</v>
      </c>
      <c r="B27" s="233" t="str">
        <f>'Mapping Prob-Root'!O11</f>
        <v>SC4 – S10 - Actual - Not received because Manual milestones not updated on time by Operators due to lack of resources</v>
      </c>
      <c r="C27" s="236" t="s">
        <v>33</v>
      </c>
      <c r="D27" s="336" t="s">
        <v>16</v>
      </c>
      <c r="E27" s="337"/>
      <c r="F27" s="338"/>
      <c r="G27" s="234">
        <f>'SC4 Data'!G9</f>
        <v>0.64</v>
      </c>
      <c r="H27" s="234">
        <f>'SC4 Data'!L9</f>
        <v>0.53</v>
      </c>
      <c r="I27" s="234">
        <f>'SC4 Data'!Q9</f>
        <v>0.51</v>
      </c>
      <c r="J27" s="234">
        <f>'SC4 Data'!V9</f>
        <v>0.49</v>
      </c>
      <c r="K27" s="234">
        <f>'SC4 Data'!AA9</f>
        <v>0.470873786407767</v>
      </c>
      <c r="L27" s="234">
        <f>'SC4 Data'!AF9</f>
        <v>0.53</v>
      </c>
      <c r="M27" s="248">
        <f>'SC4 Data'!AK9</f>
        <v>0.566596194503171</v>
      </c>
      <c r="N27" s="277">
        <f t="shared" si="1"/>
        <v>0.60487906839905003</v>
      </c>
      <c r="O27" s="277">
        <f t="shared" si="2"/>
        <v>0.64954749572947768</v>
      </c>
      <c r="P27" s="277">
        <f t="shared" si="3"/>
        <v>0.68939666097263685</v>
      </c>
      <c r="Q27" s="277">
        <f t="shared" si="4"/>
        <v>0.73033014979579214</v>
      </c>
      <c r="R27" s="277">
        <f t="shared" si="5"/>
        <v>0.77214717692803947</v>
      </c>
      <c r="S27" s="235">
        <f t="shared" si="6"/>
        <v>0.59864754439466117</v>
      </c>
      <c r="T27" s="278">
        <v>1</v>
      </c>
      <c r="U27" s="30"/>
      <c r="V27" s="30"/>
    </row>
    <row r="28" spans="1:22" ht="17.25" customHeight="1">
      <c r="A28" s="232">
        <f>'Mapping Prob-Root'!A12</f>
        <v>11</v>
      </c>
      <c r="B28" s="233" t="str">
        <f>'Mapping Prob-Root'!O12</f>
        <v>SC4 – S11 - Actual - No RCA</v>
      </c>
      <c r="C28" s="236" t="s">
        <v>33</v>
      </c>
      <c r="D28" s="336" t="s">
        <v>14</v>
      </c>
      <c r="E28" s="337"/>
      <c r="F28" s="338"/>
      <c r="G28" s="234">
        <f>'SC4 Data'!F10</f>
        <v>0.68</v>
      </c>
      <c r="H28" s="234">
        <f>'SC4 Data'!K10</f>
        <v>0.44</v>
      </c>
      <c r="I28" s="234">
        <f>'SC4 Data'!P10</f>
        <v>0.46</v>
      </c>
      <c r="J28" s="234">
        <f>'SC4 Data'!U10</f>
        <v>0.68</v>
      </c>
      <c r="K28" s="234">
        <f>'SC4 Data'!Z10</f>
        <v>0.70873786407767003</v>
      </c>
      <c r="L28" s="234">
        <f>'SC4 Data'!AE10</f>
        <v>0.82</v>
      </c>
      <c r="M28" s="248">
        <f>'SC4 Data'!AJ10</f>
        <v>0.88794926004228303</v>
      </c>
      <c r="N28" s="277">
        <f t="shared" si="1"/>
        <v>0.9156758280479208</v>
      </c>
      <c r="O28" s="277">
        <f t="shared" si="2"/>
        <v>0.94326755657728756</v>
      </c>
      <c r="P28" s="277">
        <f t="shared" si="3"/>
        <v>0.95970323078759256</v>
      </c>
      <c r="Q28" s="277">
        <f t="shared" si="4"/>
        <v>0.96927042688696718</v>
      </c>
      <c r="R28" s="277">
        <f t="shared" si="5"/>
        <v>0.97641637339884002</v>
      </c>
      <c r="S28" s="235">
        <f t="shared" si="6"/>
        <v>0.78675171165154678</v>
      </c>
      <c r="T28" s="278">
        <v>0.4</v>
      </c>
      <c r="U28" s="30"/>
      <c r="V28" s="30"/>
    </row>
    <row r="29" spans="1:22" ht="17.25" customHeight="1">
      <c r="A29" s="232">
        <f>'Mapping Prob-Root'!A13</f>
        <v>12</v>
      </c>
      <c r="B29" s="233" t="str">
        <f>'Mapping Prob-Root'!O13</f>
        <v>SC4 – S11 - Actual - Not received because Manual milestones not updated on time by Operators due to lack of resources</v>
      </c>
      <c r="C29" s="236" t="s">
        <v>33</v>
      </c>
      <c r="D29" s="336" t="s">
        <v>16</v>
      </c>
      <c r="E29" s="337"/>
      <c r="F29" s="338"/>
      <c r="G29" s="234">
        <f>'SC4 Data'!G10</f>
        <v>0.47</v>
      </c>
      <c r="H29" s="234">
        <f>'SC4 Data'!L10</f>
        <v>0.27</v>
      </c>
      <c r="I29" s="234">
        <f>'SC4 Data'!Q10</f>
        <v>0.3</v>
      </c>
      <c r="J29" s="234">
        <f>'SC4 Data'!V10</f>
        <v>0.36</v>
      </c>
      <c r="K29" s="234">
        <f>'SC4 Data'!AA10</f>
        <v>0.39805825242718401</v>
      </c>
      <c r="L29" s="234">
        <f>'SC4 Data'!AF10</f>
        <v>0.45</v>
      </c>
      <c r="M29" s="248">
        <f>'SC4 Data'!AK10</f>
        <v>0.53276955602537002</v>
      </c>
      <c r="N29" s="277">
        <f t="shared" si="1"/>
        <v>0.57884143763213536</v>
      </c>
      <c r="O29" s="277">
        <f t="shared" si="2"/>
        <v>0.62705028702012244</v>
      </c>
      <c r="P29" s="277">
        <f t="shared" si="3"/>
        <v>0.67426369689215515</v>
      </c>
      <c r="Q29" s="277">
        <f t="shared" si="4"/>
        <v>0.71199546778996448</v>
      </c>
      <c r="R29" s="277">
        <f t="shared" si="5"/>
        <v>0.7475032091653856</v>
      </c>
      <c r="S29" s="235">
        <f t="shared" si="6"/>
        <v>0.51004015891269316</v>
      </c>
      <c r="T29" s="278">
        <v>0.8</v>
      </c>
      <c r="U29" s="30"/>
      <c r="V29" s="30"/>
    </row>
    <row r="30" spans="1:22" ht="17.25" customHeight="1">
      <c r="A30" s="232">
        <f>'Mapping Prob-Root'!A14</f>
        <v>13</v>
      </c>
      <c r="B30" s="233" t="str">
        <f>'Mapping Prob-Root'!O14</f>
        <v>SC4 – S16 - Actual - Not received because SOP to fill CW1 fields are not followed by Operators due to lack of resources</v>
      </c>
      <c r="C30" s="236" t="s">
        <v>33</v>
      </c>
      <c r="D30" s="336" t="s">
        <v>14</v>
      </c>
      <c r="E30" s="337"/>
      <c r="F30" s="338"/>
      <c r="G30" s="234">
        <f>'SC4 Data'!F11</f>
        <v>0.71</v>
      </c>
      <c r="H30" s="234">
        <f>'SC4 Data'!K11</f>
        <v>0.61</v>
      </c>
      <c r="I30" s="234">
        <f>'SC4 Data'!P11</f>
        <v>0.61</v>
      </c>
      <c r="J30" s="234">
        <f>'SC4 Data'!U11</f>
        <v>0.75</v>
      </c>
      <c r="K30" s="234">
        <f>'SC4 Data'!Z11</f>
        <v>0.76850094876660302</v>
      </c>
      <c r="L30" s="234">
        <f>'SC4 Data'!AE11</f>
        <v>0.79</v>
      </c>
      <c r="M30" s="248">
        <f>'SC4 Data'!AJ11</f>
        <v>0.84275618374558303</v>
      </c>
      <c r="N30" s="277">
        <f t="shared" si="1"/>
        <v>0.86749116607773846</v>
      </c>
      <c r="O30" s="277">
        <f t="shared" si="2"/>
        <v>0.89388855736070794</v>
      </c>
      <c r="P30" s="277">
        <f t="shared" si="3"/>
        <v>0.92159217265689675</v>
      </c>
      <c r="Q30" s="277">
        <f t="shared" si="4"/>
        <v>0.94261510303324703</v>
      </c>
      <c r="R30" s="277">
        <f t="shared" si="5"/>
        <v>0.96264815288804928</v>
      </c>
      <c r="S30" s="235">
        <f t="shared" si="6"/>
        <v>0.80579102371073541</v>
      </c>
      <c r="T30" s="278">
        <v>0.8</v>
      </c>
      <c r="U30" s="30"/>
      <c r="V30" s="30"/>
    </row>
    <row r="31" spans="1:22" ht="17.25" customHeight="1">
      <c r="A31" s="232">
        <f>'Mapping Prob-Root'!A15</f>
        <v>14</v>
      </c>
      <c r="B31" s="233" t="str">
        <f>'Mapping Prob-Root'!O15</f>
        <v>SC4 – S16 - Actual - Not received because Manual milestones not updated on time by Operators due to lack of resources</v>
      </c>
      <c r="C31" s="236" t="s">
        <v>33</v>
      </c>
      <c r="D31" s="336" t="s">
        <v>16</v>
      </c>
      <c r="E31" s="337"/>
      <c r="F31" s="338"/>
      <c r="G31" s="234">
        <f>'SC4 Data'!G11</f>
        <v>0.51</v>
      </c>
      <c r="H31" s="234">
        <f>'SC4 Data'!L11</f>
        <v>0.47</v>
      </c>
      <c r="I31" s="234">
        <f>'SC4 Data'!Q11</f>
        <v>0.48</v>
      </c>
      <c r="J31" s="234">
        <f>'SC4 Data'!V11</f>
        <v>0.61</v>
      </c>
      <c r="K31" s="234">
        <f>'SC4 Data'!AA11</f>
        <v>0.61100569259962001</v>
      </c>
      <c r="L31" s="234">
        <f>'SC4 Data'!AF11</f>
        <v>0.67</v>
      </c>
      <c r="M31" s="248">
        <f>'SC4 Data'!AK11</f>
        <v>0.67314487632508802</v>
      </c>
      <c r="N31" s="277">
        <f t="shared" si="1"/>
        <v>0.69419316843345069</v>
      </c>
      <c r="O31" s="277">
        <f t="shared" si="2"/>
        <v>0.72192232704472759</v>
      </c>
      <c r="P31" s="277">
        <f t="shared" si="3"/>
        <v>0.73922976939297014</v>
      </c>
      <c r="Q31" s="277">
        <f t="shared" si="4"/>
        <v>0.76125806708226418</v>
      </c>
      <c r="R31" s="277">
        <f t="shared" si="5"/>
        <v>0.78361303329853538</v>
      </c>
      <c r="S31" s="235">
        <f t="shared" si="6"/>
        <v>0.64369724451472132</v>
      </c>
      <c r="T31" s="278">
        <v>1</v>
      </c>
      <c r="U31" s="30"/>
      <c r="V31" s="30"/>
    </row>
    <row r="32" spans="1:22" ht="17.25" customHeight="1">
      <c r="A32" s="232">
        <f>'Mapping Prob-Root'!A16</f>
        <v>15</v>
      </c>
      <c r="B32" s="233" t="str">
        <f>'Mapping Prob-Root'!O16</f>
        <v>SC4 – S17 - Actual - Not received because CW1 configurations are not set up correctly to handle Bosch requirements</v>
      </c>
      <c r="C32" s="236" t="s">
        <v>33</v>
      </c>
      <c r="D32" s="336" t="s">
        <v>14</v>
      </c>
      <c r="E32" s="337"/>
      <c r="F32" s="338"/>
      <c r="G32" s="234">
        <f>'SC4 Data'!F12</f>
        <v>0.7</v>
      </c>
      <c r="H32" s="234">
        <f>'SC4 Data'!K12</f>
        <v>0.42</v>
      </c>
      <c r="I32" s="234">
        <f>'SC4 Data'!P12</f>
        <v>0.42</v>
      </c>
      <c r="J32" s="234">
        <f>'SC4 Data'!U12</f>
        <v>0.56999999999999995</v>
      </c>
      <c r="K32" s="234">
        <f>'SC4 Data'!Z12</f>
        <v>0.59466019417475702</v>
      </c>
      <c r="L32" s="234">
        <f>'SC4 Data'!AE12</f>
        <v>0.62</v>
      </c>
      <c r="M32" s="248">
        <f>'SC4 Data'!AJ12</f>
        <v>0.68921775898520099</v>
      </c>
      <c r="N32" s="277">
        <f t="shared" si="1"/>
        <v>0.73293093727977476</v>
      </c>
      <c r="O32" s="277">
        <f t="shared" si="2"/>
        <v>0.78363020975161457</v>
      </c>
      <c r="P32" s="277">
        <f t="shared" si="3"/>
        <v>0.84362795332720664</v>
      </c>
      <c r="Q32" s="277">
        <f t="shared" si="4"/>
        <v>0.90024502458594202</v>
      </c>
      <c r="R32" s="277">
        <f t="shared" si="5"/>
        <v>0.96159352326487002</v>
      </c>
      <c r="S32" s="235">
        <f t="shared" si="6"/>
        <v>0.68632546678078044</v>
      </c>
      <c r="T32" s="278">
        <v>1.1000000000000001</v>
      </c>
      <c r="U32" s="30"/>
      <c r="V32" s="30"/>
    </row>
    <row r="33" spans="1:22" ht="17.25" customHeight="1">
      <c r="A33" s="232">
        <f>'Mapping Prob-Root'!A17</f>
        <v>16</v>
      </c>
      <c r="B33" s="233" t="str">
        <f>'Mapping Prob-Root'!O17</f>
        <v>SC4 – S17 - Actual - Not received because CW1 configurations are not set up correctly to handle Bosch requirements</v>
      </c>
      <c r="C33" s="236" t="s">
        <v>33</v>
      </c>
      <c r="D33" s="336" t="s">
        <v>16</v>
      </c>
      <c r="E33" s="337"/>
      <c r="F33" s="338"/>
      <c r="G33" s="234">
        <f>'SC4 Data'!G12</f>
        <v>0.28999999999999998</v>
      </c>
      <c r="H33" s="234">
        <f>'SC4 Data'!L12</f>
        <v>0.27</v>
      </c>
      <c r="I33" s="234">
        <f>'SC4 Data'!Q12</f>
        <v>0.17</v>
      </c>
      <c r="J33" s="234">
        <f>'SC4 Data'!V12</f>
        <v>0.3</v>
      </c>
      <c r="K33" s="234">
        <f>'SC4 Data'!AA12</f>
        <v>0.32766990291262099</v>
      </c>
      <c r="L33" s="234">
        <f>'SC4 Data'!AF12</f>
        <v>0.36</v>
      </c>
      <c r="M33" s="248">
        <f>'SC4 Data'!AK12</f>
        <v>0.27272727272727298</v>
      </c>
      <c r="N33" s="277">
        <f t="shared" si="1"/>
        <v>0.3365454545454547</v>
      </c>
      <c r="O33" s="277">
        <f t="shared" si="2"/>
        <v>0.41602789055604605</v>
      </c>
      <c r="P33" s="277">
        <f t="shared" si="3"/>
        <v>0.51594300676669613</v>
      </c>
      <c r="Q33" s="277">
        <f t="shared" si="4"/>
        <v>0.6213364915171129</v>
      </c>
      <c r="R33" s="277">
        <f t="shared" si="5"/>
        <v>0.74474594087149815</v>
      </c>
      <c r="S33" s="235">
        <f t="shared" si="6"/>
        <v>0.3854163299913918</v>
      </c>
      <c r="T33" s="278">
        <v>1.3</v>
      </c>
      <c r="U33" s="30"/>
      <c r="V33" s="30"/>
    </row>
    <row r="34" spans="1:22" ht="17.25" customHeight="1">
      <c r="A34" s="232">
        <f>'Mapping Prob-Root'!A18</f>
        <v>17</v>
      </c>
      <c r="B34" s="233" t="str">
        <f>'Mapping Prob-Root'!O18</f>
        <v>SC4 – S50 - Actual - Not received because SOP to fill CW1 fields are not followed by Operators due to lack of resources</v>
      </c>
      <c r="C34" s="236" t="s">
        <v>33</v>
      </c>
      <c r="D34" s="336" t="s">
        <v>14</v>
      </c>
      <c r="E34" s="337"/>
      <c r="F34" s="338"/>
      <c r="G34" s="234">
        <f>'SC4 Data'!F13</f>
        <v>0.9</v>
      </c>
      <c r="H34" s="234">
        <f>'SC4 Data'!K13</f>
        <v>0.92</v>
      </c>
      <c r="I34" s="234">
        <f>'SC4 Data'!P13</f>
        <v>0.77</v>
      </c>
      <c r="J34" s="234">
        <f>'SC4 Data'!U13</f>
        <v>0.71</v>
      </c>
      <c r="K34" s="234">
        <f>'SC4 Data'!Z13</f>
        <v>0.78923766816143504</v>
      </c>
      <c r="L34" s="234">
        <f>'SC4 Data'!AE13</f>
        <v>0.67</v>
      </c>
      <c r="M34" s="248">
        <f>'SC4 Data'!AJ13</f>
        <v>0.87072243346007605</v>
      </c>
      <c r="N34" s="277">
        <f t="shared" si="1"/>
        <v>0.91064221043837068</v>
      </c>
      <c r="O34" s="277">
        <f t="shared" si="2"/>
        <v>0.94663019829835127</v>
      </c>
      <c r="P34" s="277">
        <f t="shared" si="3"/>
        <v>0.97429321812818637</v>
      </c>
      <c r="Q34" s="277">
        <f t="shared" si="4"/>
        <v>0.98465029659499737</v>
      </c>
      <c r="R34" s="277">
        <f t="shared" si="5"/>
        <v>0.99205110521065998</v>
      </c>
      <c r="S34" s="235">
        <f t="shared" si="6"/>
        <v>0.86985226085767298</v>
      </c>
      <c r="T34" s="278">
        <v>0.3</v>
      </c>
      <c r="U34" s="30"/>
      <c r="V34" s="30"/>
    </row>
    <row r="35" spans="1:22" ht="17.25" customHeight="1">
      <c r="A35" s="232">
        <f>'Mapping Prob-Root'!A19</f>
        <v>18</v>
      </c>
      <c r="B35" s="233" t="str">
        <f>'Mapping Prob-Root'!O19</f>
        <v>SC4 – S50 - Actual - Not received because CW1 configurations are not set up correctly to handle Bosch requirements</v>
      </c>
      <c r="C35" s="236" t="s">
        <v>33</v>
      </c>
      <c r="D35" s="336" t="s">
        <v>16</v>
      </c>
      <c r="E35" s="337"/>
      <c r="F35" s="338"/>
      <c r="G35" s="234">
        <f>'SC4 Data'!G13</f>
        <v>0.4</v>
      </c>
      <c r="H35" s="234">
        <f>'SC4 Data'!L13</f>
        <v>0.64</v>
      </c>
      <c r="I35" s="234">
        <f>'SC4 Data'!Q13</f>
        <v>0.42</v>
      </c>
      <c r="J35" s="234">
        <f>'SC4 Data'!V13</f>
        <v>0.33</v>
      </c>
      <c r="K35" s="234">
        <f>'SC4 Data'!AA13</f>
        <v>0.43946188340807202</v>
      </c>
      <c r="L35" s="234">
        <f>'SC4 Data'!AF13</f>
        <v>0.44</v>
      </c>
      <c r="M35" s="248">
        <f>'SC4 Data'!AK13</f>
        <v>0.288973384030418</v>
      </c>
      <c r="N35" s="277">
        <f t="shared" si="1"/>
        <v>0.37598225602027868</v>
      </c>
      <c r="O35" s="277">
        <f t="shared" si="2"/>
        <v>0.45550679087073559</v>
      </c>
      <c r="P35" s="277">
        <f t="shared" si="3"/>
        <v>0.56136013180736877</v>
      </c>
      <c r="Q35" s="277">
        <f t="shared" si="4"/>
        <v>0.65215571439968567</v>
      </c>
      <c r="R35" s="277">
        <f t="shared" si="5"/>
        <v>0.74421353385948796</v>
      </c>
      <c r="S35" s="235">
        <f t="shared" si="6"/>
        <v>0.47897114119967066</v>
      </c>
      <c r="T35" s="278">
        <v>1</v>
      </c>
      <c r="U35" s="30"/>
      <c r="V35" s="30"/>
    </row>
    <row r="36" spans="1:22" ht="17.25" customHeight="1">
      <c r="A36" s="232">
        <f>'Mapping Prob-Root'!A20</f>
        <v>19</v>
      </c>
      <c r="B36" s="233" t="str">
        <f>'Mapping Prob-Root'!O20</f>
        <v>SC4 – S04 - Estimated - Not received because The Consol is not attached to shipment with "is Linked" Flag</v>
      </c>
      <c r="C36" s="236" t="s">
        <v>29</v>
      </c>
      <c r="D36" s="336" t="s">
        <v>11</v>
      </c>
      <c r="E36" s="337"/>
      <c r="F36" s="338"/>
      <c r="G36" s="234">
        <f>'SC4 Data'!F14</f>
        <v>0.99</v>
      </c>
      <c r="H36" s="234">
        <f>'SC4 Data'!K14</f>
        <v>0.99</v>
      </c>
      <c r="I36" s="234">
        <f>'SC4 Data'!P14</f>
        <v>0.96</v>
      </c>
      <c r="J36" s="234">
        <f>'SC4 Data'!U14</f>
        <v>0.97</v>
      </c>
      <c r="K36" s="234">
        <f>'SC4 Data'!Z14</f>
        <v>0.95635673624288398</v>
      </c>
      <c r="L36" s="234">
        <f>'SC4 Data'!AE14</f>
        <v>0.97</v>
      </c>
      <c r="M36" s="248">
        <f>'SC4 Data'!AJ14</f>
        <v>0.95759717314487602</v>
      </c>
      <c r="N36" s="277">
        <f t="shared" si="1"/>
        <v>0.96685802249772579</v>
      </c>
      <c r="O36" s="277">
        <f t="shared" si="2"/>
        <v>0.97509630848958007</v>
      </c>
      <c r="P36" s="277">
        <f t="shared" si="3"/>
        <v>0.98207343300287331</v>
      </c>
      <c r="Q36" s="277">
        <f t="shared" si="4"/>
        <v>0.98778456030307271</v>
      </c>
      <c r="R36" s="277">
        <f t="shared" si="5"/>
        <v>0.99266741912432033</v>
      </c>
      <c r="S36" s="235">
        <f t="shared" si="6"/>
        <v>0.97486947106711097</v>
      </c>
      <c r="T36" s="278">
        <v>0.7</v>
      </c>
      <c r="U36" s="276"/>
      <c r="V36" s="30"/>
    </row>
    <row r="37" spans="1:22" ht="17.25" customHeight="1">
      <c r="A37" s="232">
        <f>'Mapping Prob-Root'!A21</f>
        <v>20</v>
      </c>
      <c r="B37" s="233" t="str">
        <f>'Mapping Prob-Root'!O21</f>
        <v>SC4 – S04 - Estimated - Not received because The Consol is not attached to shipment with "is Linked" Flag</v>
      </c>
      <c r="C37" s="236" t="s">
        <v>29</v>
      </c>
      <c r="D37" s="336" t="s">
        <v>12</v>
      </c>
      <c r="E37" s="337"/>
      <c r="F37" s="338"/>
      <c r="G37" s="234">
        <f>'SC4 Data'!G14</f>
        <v>0.38</v>
      </c>
      <c r="H37" s="234">
        <f>'SC4 Data'!L14</f>
        <v>0.43</v>
      </c>
      <c r="I37" s="234">
        <f>'SC4 Data'!Q14</f>
        <v>0.37</v>
      </c>
      <c r="J37" s="234">
        <f>'SC4 Data'!V14</f>
        <v>0.43</v>
      </c>
      <c r="K37" s="234">
        <f>'SC4 Data'!AA14</f>
        <v>0.487666034155598</v>
      </c>
      <c r="L37" s="234">
        <f>'SC4 Data'!AF14</f>
        <v>0.53</v>
      </c>
      <c r="M37" s="248">
        <f>'SC4 Data'!AK14</f>
        <v>0.72084805653710204</v>
      </c>
      <c r="N37" s="277">
        <f t="shared" si="1"/>
        <v>0.7402379269729088</v>
      </c>
      <c r="O37" s="277">
        <f t="shared" si="2"/>
        <v>0.75707605316072957</v>
      </c>
      <c r="P37" s="277">
        <f t="shared" si="3"/>
        <v>0.77221445670477817</v>
      </c>
      <c r="Q37" s="277">
        <f t="shared" si="4"/>
        <v>0.77563888338262321</v>
      </c>
      <c r="R37" s="277">
        <f t="shared" si="5"/>
        <v>0.77799894714327089</v>
      </c>
      <c r="S37" s="235">
        <f t="shared" si="6"/>
        <v>0.59764002983808417</v>
      </c>
      <c r="T37" s="278">
        <v>0.2</v>
      </c>
      <c r="U37" s="30"/>
      <c r="V37" s="30"/>
    </row>
    <row r="38" spans="1:22" ht="17.25" customHeight="1">
      <c r="A38" s="232">
        <f>'Mapping Prob-Root'!A22</f>
        <v>21</v>
      </c>
      <c r="B38" s="233" t="str">
        <f>'Mapping Prob-Root'!O22</f>
        <v>SC4 – S04 - Actual - Not received because The Consol is not attached to shipment with "is Linked" Flag</v>
      </c>
      <c r="C38" s="236" t="s">
        <v>29</v>
      </c>
      <c r="D38" s="336" t="s">
        <v>11</v>
      </c>
      <c r="E38" s="337"/>
      <c r="F38" s="338"/>
      <c r="G38" s="234">
        <f>'SC4 Data'!F15</f>
        <v>0.96</v>
      </c>
      <c r="H38" s="234">
        <f>'SC4 Data'!K15</f>
        <v>0.93</v>
      </c>
      <c r="I38" s="234">
        <f>'SC4 Data'!P15</f>
        <v>0.83</v>
      </c>
      <c r="J38" s="234">
        <f>'SC4 Data'!U15</f>
        <v>0.88</v>
      </c>
      <c r="K38" s="234">
        <f>'SC4 Data'!Z15</f>
        <v>0.89373814041745703</v>
      </c>
      <c r="L38" s="234">
        <f>'SC4 Data'!AE15</f>
        <v>0.88</v>
      </c>
      <c r="M38" s="248">
        <f>'SC4 Data'!AJ15</f>
        <v>0.92756183745582999</v>
      </c>
      <c r="N38" s="277">
        <f t="shared" si="1"/>
        <v>0.93756691989459584</v>
      </c>
      <c r="O38" s="277">
        <f t="shared" si="2"/>
        <v>0.9470742612695362</v>
      </c>
      <c r="P38" s="277">
        <f t="shared" si="3"/>
        <v>0.95601749610547437</v>
      </c>
      <c r="Q38" s="277">
        <f t="shared" si="4"/>
        <v>0.95981158392542698</v>
      </c>
      <c r="R38" s="277">
        <f t="shared" si="5"/>
        <v>0.96277753912953778</v>
      </c>
      <c r="S38" s="235">
        <f t="shared" si="6"/>
        <v>0.92204564818315482</v>
      </c>
      <c r="T38" s="278">
        <v>0.4</v>
      </c>
      <c r="U38" s="276"/>
      <c r="V38" s="30"/>
    </row>
    <row r="39" spans="1:22" ht="17.25" customHeight="1">
      <c r="A39" s="232">
        <f>'Mapping Prob-Root'!A23</f>
        <v>22</v>
      </c>
      <c r="B39" s="233" t="str">
        <f>'Mapping Prob-Root'!O23</f>
        <v>SC4 – S04 - Actual - Not received because The Consol is not attached to shipment with "is Linked" Flag</v>
      </c>
      <c r="C39" s="236" t="s">
        <v>29</v>
      </c>
      <c r="D39" s="336" t="s">
        <v>12</v>
      </c>
      <c r="E39" s="337"/>
      <c r="F39" s="338"/>
      <c r="G39" s="234">
        <f>'SC4 Data'!G15</f>
        <v>0.83</v>
      </c>
      <c r="H39" s="234">
        <f>'SC4 Data'!L15</f>
        <v>0.55000000000000004</v>
      </c>
      <c r="I39" s="234">
        <f>'SC4 Data'!Q15</f>
        <v>0.52</v>
      </c>
      <c r="J39" s="234">
        <f>'SC4 Data'!V15</f>
        <v>0.54</v>
      </c>
      <c r="K39" s="234">
        <f>'SC4 Data'!AA15</f>
        <v>0.49146110056926001</v>
      </c>
      <c r="L39" s="234">
        <f>'SC4 Data'!AF15</f>
        <v>0.57999999999999996</v>
      </c>
      <c r="M39" s="248">
        <f>'SC4 Data'!AK15</f>
        <v>0.63427561837455804</v>
      </c>
      <c r="N39" s="277">
        <f t="shared" si="1"/>
        <v>0.66616785458056438</v>
      </c>
      <c r="O39" s="277">
        <f t="shared" si="2"/>
        <v>0.69528564691578176</v>
      </c>
      <c r="P39" s="277">
        <f t="shared" si="3"/>
        <v>0.71449992140174534</v>
      </c>
      <c r="Q39" s="277">
        <f t="shared" si="4"/>
        <v>0.72787063857294321</v>
      </c>
      <c r="R39" s="277">
        <f t="shared" si="5"/>
        <v>0.73815443590500629</v>
      </c>
      <c r="S39" s="235">
        <f t="shared" si="6"/>
        <v>0.64064293469332156</v>
      </c>
      <c r="T39" s="278">
        <v>0.5</v>
      </c>
      <c r="U39" s="30"/>
      <c r="V39" s="30"/>
    </row>
    <row r="40" spans="1:22" ht="17.25" customHeight="1">
      <c r="A40" s="232">
        <f>'Mapping Prob-Root'!A24</f>
        <v>23</v>
      </c>
      <c r="B40" s="233" t="str">
        <f>'Mapping Prob-Root'!O24</f>
        <v>SC4 – S07 - Estimated - Not received because The Consol is not attached to shipment with "is Linked" Flag</v>
      </c>
      <c r="C40" s="236" t="s">
        <v>29</v>
      </c>
      <c r="D40" s="336" t="s">
        <v>11</v>
      </c>
      <c r="E40" s="337"/>
      <c r="F40" s="338"/>
      <c r="G40" s="234">
        <f>'SC4 Data'!F16</f>
        <v>1</v>
      </c>
      <c r="H40" s="234">
        <f>'SC4 Data'!K16</f>
        <v>0.96</v>
      </c>
      <c r="I40" s="234">
        <f>'SC4 Data'!P16</f>
        <v>0.93</v>
      </c>
      <c r="J40" s="234">
        <f>'SC4 Data'!U16</f>
        <v>0.94</v>
      </c>
      <c r="K40" s="234">
        <f>'SC4 Data'!Z16</f>
        <v>0.92789373814041698</v>
      </c>
      <c r="L40" s="234">
        <f>'SC4 Data'!AE16</f>
        <v>0.96</v>
      </c>
      <c r="M40" s="248">
        <f>'SC4 Data'!AJ16</f>
        <v>0.97526501766784501</v>
      </c>
      <c r="N40" s="277">
        <f t="shared" si="1"/>
        <v>0.97724760238074537</v>
      </c>
      <c r="O40" s="277">
        <f t="shared" si="2"/>
        <v>0.9788927311887563</v>
      </c>
      <c r="P40" s="277">
        <f t="shared" si="3"/>
        <v>0.97952248889504823</v>
      </c>
      <c r="Q40" s="277">
        <f t="shared" si="4"/>
        <v>0.97966440460262172</v>
      </c>
      <c r="R40" s="277">
        <f t="shared" si="5"/>
        <v>0.97974496467668426</v>
      </c>
      <c r="S40" s="235">
        <f t="shared" si="6"/>
        <v>0.96568591229600986</v>
      </c>
      <c r="T40" s="278">
        <v>0.1</v>
      </c>
      <c r="U40" s="276"/>
      <c r="V40" s="30"/>
    </row>
    <row r="41" spans="1:22" ht="17.25" customHeight="1">
      <c r="A41" s="232">
        <f>'Mapping Prob-Root'!A25</f>
        <v>24</v>
      </c>
      <c r="B41" s="233" t="str">
        <f>'Mapping Prob-Root'!O25</f>
        <v>SC4 – S07 - Estimated - Not received because The Consol is not attached to shipment with "is Linked" Flag</v>
      </c>
      <c r="C41" s="236" t="s">
        <v>29</v>
      </c>
      <c r="D41" s="336" t="s">
        <v>12</v>
      </c>
      <c r="E41" s="337"/>
      <c r="F41" s="338"/>
      <c r="G41" s="234">
        <f>'SC4 Data'!G16</f>
        <v>0.26</v>
      </c>
      <c r="H41" s="234">
        <f>'SC4 Data'!L16</f>
        <v>0.21</v>
      </c>
      <c r="I41" s="234">
        <f>'SC4 Data'!Q16</f>
        <v>0.18</v>
      </c>
      <c r="J41" s="234">
        <f>'SC4 Data'!V16</f>
        <v>0.22</v>
      </c>
      <c r="K41" s="234">
        <f>'SC4 Data'!AA16</f>
        <v>0.214421252371917</v>
      </c>
      <c r="L41" s="234">
        <f>'SC4 Data'!AF16</f>
        <v>0.13</v>
      </c>
      <c r="M41" s="248">
        <f>'SC4 Data'!AK16</f>
        <v>0.245583038869258</v>
      </c>
      <c r="N41" s="277">
        <f t="shared" si="1"/>
        <v>0.32096348645465261</v>
      </c>
      <c r="O41" s="277">
        <f t="shared" si="2"/>
        <v>0.42193789069106147</v>
      </c>
      <c r="P41" s="277">
        <f t="shared" si="3"/>
        <v>0.52898178394445072</v>
      </c>
      <c r="Q41" s="277">
        <f t="shared" si="4"/>
        <v>0.63289465713868809</v>
      </c>
      <c r="R41" s="277">
        <f t="shared" si="5"/>
        <v>0.74726941972283445</v>
      </c>
      <c r="S41" s="235">
        <f t="shared" si="6"/>
        <v>0.34267096076607184</v>
      </c>
      <c r="T41" s="278">
        <v>1.1000000000000001</v>
      </c>
      <c r="U41" s="30"/>
      <c r="V41" s="30"/>
    </row>
    <row r="42" spans="1:22" ht="17.25" customHeight="1">
      <c r="A42" s="232">
        <f>'Mapping Prob-Root'!A26</f>
        <v>25</v>
      </c>
      <c r="B42" s="233" t="str">
        <f>'Mapping Prob-Root'!O26</f>
        <v>SC4 – S07 - Actual - Not received because The Consol is not attached to shipment with "is Linked" Flag</v>
      </c>
      <c r="C42" s="236" t="s">
        <v>29</v>
      </c>
      <c r="D42" s="336" t="s">
        <v>11</v>
      </c>
      <c r="E42" s="337"/>
      <c r="F42" s="338"/>
      <c r="G42" s="234">
        <f>'SC4 Data'!F17</f>
        <v>0.83</v>
      </c>
      <c r="H42" s="234">
        <f>'SC4 Data'!K17</f>
        <v>0.83</v>
      </c>
      <c r="I42" s="234">
        <f>'SC4 Data'!P17</f>
        <v>0.81</v>
      </c>
      <c r="J42" s="234">
        <f>'SC4 Data'!U17</f>
        <v>0.84</v>
      </c>
      <c r="K42" s="234">
        <f>'SC4 Data'!Z17</f>
        <v>0.817836812144213</v>
      </c>
      <c r="L42" s="234">
        <f>'SC4 Data'!AE17</f>
        <v>0.88</v>
      </c>
      <c r="M42" s="248">
        <f>'SC4 Data'!AJ17</f>
        <v>0.86219081272084797</v>
      </c>
      <c r="N42" s="277">
        <f t="shared" si="1"/>
        <v>0.88942696285170819</v>
      </c>
      <c r="O42" s="277">
        <f t="shared" si="2"/>
        <v>0.91801590292258795</v>
      </c>
      <c r="P42" s="277">
        <f t="shared" si="3"/>
        <v>0.93765171025082583</v>
      </c>
      <c r="Q42" s="277">
        <f t="shared" si="4"/>
        <v>0.95777461625881988</v>
      </c>
      <c r="R42" s="277">
        <f t="shared" si="5"/>
        <v>0.97600065716738305</v>
      </c>
      <c r="S42" s="235">
        <f t="shared" si="6"/>
        <v>0.87907478952636542</v>
      </c>
      <c r="T42" s="278">
        <v>0.8</v>
      </c>
      <c r="U42" s="276"/>
      <c r="V42" s="30"/>
    </row>
    <row r="43" spans="1:22" ht="17.25" customHeight="1">
      <c r="A43" s="232">
        <f>'Mapping Prob-Root'!A27</f>
        <v>26</v>
      </c>
      <c r="B43" s="233" t="str">
        <f>'Mapping Prob-Root'!O27</f>
        <v>SC4 – S07 - Actual - Not received because The Consol is not attached to shipment with "is Linked" Flag</v>
      </c>
      <c r="C43" s="236" t="s">
        <v>29</v>
      </c>
      <c r="D43" s="336" t="s">
        <v>12</v>
      </c>
      <c r="E43" s="337"/>
      <c r="F43" s="338"/>
      <c r="G43" s="234">
        <f>'SC4 Data'!G17</f>
        <v>0.33</v>
      </c>
      <c r="H43" s="234">
        <f>'SC4 Data'!L17</f>
        <v>0.66</v>
      </c>
      <c r="I43" s="234">
        <f>'SC4 Data'!Q17</f>
        <v>0.61</v>
      </c>
      <c r="J43" s="234">
        <f>'SC4 Data'!V17</f>
        <v>0.52</v>
      </c>
      <c r="K43" s="234">
        <f>'SC4 Data'!AA17</f>
        <v>0.43833017077798903</v>
      </c>
      <c r="L43" s="234">
        <f>'SC4 Data'!AF17</f>
        <v>0.46</v>
      </c>
      <c r="M43" s="248">
        <f>'SC4 Data'!AK17</f>
        <v>0.45583038869258002</v>
      </c>
      <c r="N43" s="277">
        <f t="shared" si="1"/>
        <v>0.50958502356830104</v>
      </c>
      <c r="O43" s="277">
        <f t="shared" si="2"/>
        <v>0.54938206127087708</v>
      </c>
      <c r="P43" s="277">
        <f t="shared" si="3"/>
        <v>0.59824270321373563</v>
      </c>
      <c r="Q43" s="277">
        <f t="shared" si="4"/>
        <v>0.6694488604743134</v>
      </c>
      <c r="R43" s="277">
        <f t="shared" si="5"/>
        <v>0.74938077892731958</v>
      </c>
      <c r="S43" s="235">
        <f t="shared" si="6"/>
        <v>0.54584999891042629</v>
      </c>
      <c r="T43" s="278">
        <v>1.5</v>
      </c>
      <c r="U43" s="30"/>
      <c r="V43" s="30"/>
    </row>
    <row r="44" spans="1:22" ht="17.25" customHeight="1">
      <c r="A44" s="232">
        <f>'Mapping Prob-Root'!A28</f>
        <v>27</v>
      </c>
      <c r="B44" s="233" t="str">
        <f>'Mapping Prob-Root'!O28</f>
        <v>SC4 – S51 - Actual - Not received because The Automation of the Milestones is not working based the DEX events</v>
      </c>
      <c r="C44" s="236" t="s">
        <v>33</v>
      </c>
      <c r="D44" s="336" t="s">
        <v>14</v>
      </c>
      <c r="E44" s="337"/>
      <c r="F44" s="338"/>
      <c r="G44" s="234">
        <f>'SC4 Data'!F18</f>
        <v>0.65</v>
      </c>
      <c r="H44" s="234">
        <f>'SC4 Data'!K18</f>
        <v>0.38</v>
      </c>
      <c r="I44" s="234">
        <f>'SC4 Data'!P18</f>
        <v>0.28999999999999998</v>
      </c>
      <c r="J44" s="234">
        <f>'SC4 Data'!U18</f>
        <v>0.41</v>
      </c>
      <c r="K44" s="234">
        <f>'SC4 Data'!Z18</f>
        <v>0.34977578475336302</v>
      </c>
      <c r="L44" s="234">
        <f>'SC4 Data'!AE18</f>
        <v>0.4</v>
      </c>
      <c r="M44" s="248">
        <f>'SC4 Data'!AJ18</f>
        <v>0.58174904942965799</v>
      </c>
      <c r="N44" s="277">
        <f t="shared" si="1"/>
        <v>0.65966837740910655</v>
      </c>
      <c r="O44" s="277">
        <f t="shared" si="2"/>
        <v>0.74230640211730481</v>
      </c>
      <c r="P44" s="277">
        <f t="shared" si="3"/>
        <v>0.83358810934858607</v>
      </c>
      <c r="Q44" s="277">
        <f t="shared" si="4"/>
        <v>0.90074519199363356</v>
      </c>
      <c r="R44" s="277">
        <f t="shared" si="5"/>
        <v>0.96503234254950743</v>
      </c>
      <c r="S44" s="235">
        <f t="shared" si="6"/>
        <v>0.59690543813343</v>
      </c>
      <c r="T44" s="278">
        <v>0.8</v>
      </c>
      <c r="U44" s="30"/>
      <c r="V44" s="30"/>
    </row>
    <row r="45" spans="1:22" ht="17.25" customHeight="1">
      <c r="A45" s="232">
        <f>'Mapping Prob-Root'!A29</f>
        <v>28</v>
      </c>
      <c r="B45" s="233" t="str">
        <f>'Mapping Prob-Root'!O29</f>
        <v>SC4 – S51 - Actual - Not received because The Automation of the Milestones is not working based the DEX events</v>
      </c>
      <c r="C45" s="236" t="s">
        <v>33</v>
      </c>
      <c r="D45" s="336" t="s">
        <v>16</v>
      </c>
      <c r="E45" s="337"/>
      <c r="F45" s="338"/>
      <c r="G45" s="234">
        <f>'SC4 Data'!G18</f>
        <v>0.6</v>
      </c>
      <c r="H45" s="234">
        <f>'SC4 Data'!L18</f>
        <v>0.31</v>
      </c>
      <c r="I45" s="234">
        <f>'SC4 Data'!Q18</f>
        <v>0.06</v>
      </c>
      <c r="J45" s="234">
        <f>'SC4 Data'!V18</f>
        <v>0.26</v>
      </c>
      <c r="K45" s="234">
        <f>'SC4 Data'!AA18</f>
        <v>0.139013452914798</v>
      </c>
      <c r="L45" s="234">
        <f>'SC4 Data'!AF18</f>
        <v>0.28000000000000003</v>
      </c>
      <c r="M45" s="248">
        <f>'SC4 Data'!AK18</f>
        <v>0.31939163498098899</v>
      </c>
      <c r="N45" s="277">
        <f t="shared" si="1"/>
        <v>0.41984654469811999</v>
      </c>
      <c r="O45" s="277">
        <f t="shared" si="2"/>
        <v>0.51345757529256064</v>
      </c>
      <c r="P45" s="277">
        <f t="shared" si="3"/>
        <v>0.59127676705674748</v>
      </c>
      <c r="Q45" s="277">
        <f t="shared" si="4"/>
        <v>0.68190514441533367</v>
      </c>
      <c r="R45" s="277">
        <f t="shared" si="5"/>
        <v>0.76925801098773827</v>
      </c>
      <c r="S45" s="235">
        <f t="shared" si="6"/>
        <v>0.41201242752885725</v>
      </c>
      <c r="T45" s="278">
        <v>1</v>
      </c>
      <c r="U45" s="30"/>
      <c r="V45" s="30"/>
    </row>
    <row r="46" spans="1:22" ht="17.25" customHeight="1">
      <c r="A46" s="232">
        <f>'Mapping Prob-Root'!A30</f>
        <v>29</v>
      </c>
      <c r="B46" s="233" t="str">
        <f>'Mapping Prob-Root'!O30</f>
        <v>SC4 – S18 - Actual - Not received because CW1 configurations are not set up correctly to handle Bosch requirements</v>
      </c>
      <c r="C46" s="236" t="s">
        <v>33</v>
      </c>
      <c r="D46" s="336" t="s">
        <v>14</v>
      </c>
      <c r="E46" s="337"/>
      <c r="F46" s="338"/>
      <c r="G46" s="234">
        <f>'SC4 Data'!F19</f>
        <v>0.23</v>
      </c>
      <c r="H46" s="234">
        <f>'SC4 Data'!K19</f>
        <v>0.13</v>
      </c>
      <c r="I46" s="234">
        <f>'SC4 Data'!P19</f>
        <v>0.31</v>
      </c>
      <c r="J46" s="234">
        <f>'SC4 Data'!U19</f>
        <v>0.61</v>
      </c>
      <c r="K46" s="234">
        <f>'SC4 Data'!Z19</f>
        <v>0.63815789473684204</v>
      </c>
      <c r="L46" s="234">
        <f>'SC4 Data'!AE19</f>
        <v>0.82</v>
      </c>
      <c r="M46" s="248">
        <f>'SC4 Data'!AJ19</f>
        <v>0.80528052805280503</v>
      </c>
      <c r="N46" s="277">
        <f t="shared" si="1"/>
        <v>0.85022442244224405</v>
      </c>
      <c r="O46" s="277">
        <f t="shared" si="2"/>
        <v>0.89852551676220238</v>
      </c>
      <c r="P46" s="277">
        <f t="shared" si="3"/>
        <v>0.92011840889352081</v>
      </c>
      <c r="Q46" s="277">
        <f t="shared" si="4"/>
        <v>0.94308598506166397</v>
      </c>
      <c r="R46" s="277">
        <f t="shared" si="5"/>
        <v>0.96165829758554799</v>
      </c>
      <c r="S46" s="235">
        <f t="shared" si="6"/>
        <v>0.67642092112790209</v>
      </c>
      <c r="T46" s="278">
        <v>0.6</v>
      </c>
      <c r="U46" s="30"/>
      <c r="V46" s="30"/>
    </row>
    <row r="47" spans="1:22" ht="17.25" customHeight="1">
      <c r="A47" s="232">
        <f>'Mapping Prob-Root'!A31</f>
        <v>30</v>
      </c>
      <c r="B47" s="233" t="str">
        <f>'Mapping Prob-Root'!O31</f>
        <v>SC4 – S18 - Actual - Not received because CW1 configurations are not set up correctly to handle Bosch requirements</v>
      </c>
      <c r="C47" s="236" t="s">
        <v>33</v>
      </c>
      <c r="D47" s="336" t="s">
        <v>16</v>
      </c>
      <c r="E47" s="337"/>
      <c r="F47" s="338"/>
      <c r="G47" s="234">
        <f>'SC4 Data'!G19</f>
        <v>0.04</v>
      </c>
      <c r="H47" s="234">
        <f>'SC4 Data'!L19</f>
        <v>0.06</v>
      </c>
      <c r="I47" s="234">
        <f>'SC4 Data'!Q19</f>
        <v>0.18</v>
      </c>
      <c r="J47" s="234">
        <f>'SC4 Data'!V19</f>
        <v>0.38</v>
      </c>
      <c r="K47" s="234">
        <f>'SC4 Data'!AA19</f>
        <v>0.30592105263157898</v>
      </c>
      <c r="L47" s="234">
        <f>'SC4 Data'!AF19</f>
        <v>0.38</v>
      </c>
      <c r="M47" s="248">
        <f>'SC4 Data'!AK19</f>
        <v>0.39933993399339901</v>
      </c>
      <c r="N47" s="277">
        <f t="shared" si="1"/>
        <v>0.46633906548549542</v>
      </c>
      <c r="O47" s="277">
        <f t="shared" si="2"/>
        <v>0.53050627062706202</v>
      </c>
      <c r="P47" s="277">
        <f t="shared" si="3"/>
        <v>0.59070877887788686</v>
      </c>
      <c r="Q47" s="277">
        <f t="shared" si="4"/>
        <v>0.66725631683168196</v>
      </c>
      <c r="R47" s="277">
        <f t="shared" si="5"/>
        <v>0.74762321737015658</v>
      </c>
      <c r="S47" s="235">
        <f t="shared" si="6"/>
        <v>0.39564121965143845</v>
      </c>
      <c r="T47" s="278">
        <v>1.2</v>
      </c>
      <c r="U47" s="30"/>
      <c r="V47" s="30"/>
    </row>
    <row r="48" spans="1:22" ht="17.25" customHeight="1">
      <c r="A48" s="232">
        <f>'Mapping Prob-Root'!A32</f>
        <v>31</v>
      </c>
      <c r="B48" s="233" t="str">
        <f>'Mapping Prob-Root'!O32</f>
        <v>SC4 – S12 - Actual - Not received because Milestone is dependent on Manual input and is missed due to Lack of resources</v>
      </c>
      <c r="C48" s="236" t="s">
        <v>33</v>
      </c>
      <c r="D48" s="336" t="s">
        <v>14</v>
      </c>
      <c r="E48" s="337"/>
      <c r="F48" s="338"/>
      <c r="G48" s="234">
        <f>'SC4 Data'!F20</f>
        <v>0.28000000000000003</v>
      </c>
      <c r="H48" s="234">
        <f>'SC4 Data'!K20</f>
        <v>0.34</v>
      </c>
      <c r="I48" s="234">
        <f>'SC4 Data'!P20</f>
        <v>0.49</v>
      </c>
      <c r="J48" s="234">
        <f>'SC4 Data'!U20</f>
        <v>0.73</v>
      </c>
      <c r="K48" s="234">
        <f>'SC4 Data'!Z20</f>
        <v>0.69736842105263197</v>
      </c>
      <c r="L48" s="234">
        <f>'SC4 Data'!AE20</f>
        <v>0.87</v>
      </c>
      <c r="M48" s="248">
        <f>'SC4 Data'!AJ20</f>
        <v>0.84488448844884501</v>
      </c>
      <c r="N48" s="277">
        <f t="shared" si="1"/>
        <v>0.88328093335649349</v>
      </c>
      <c r="O48" s="277">
        <f t="shared" si="2"/>
        <v>0.92263818925752206</v>
      </c>
      <c r="P48" s="277">
        <f t="shared" si="3"/>
        <v>0.93978305798416073</v>
      </c>
      <c r="Q48" s="277">
        <f t="shared" si="4"/>
        <v>0.95559948624004665</v>
      </c>
      <c r="R48" s="277">
        <f t="shared" si="5"/>
        <v>0.96765257838730556</v>
      </c>
      <c r="S48" s="235">
        <f t="shared" si="6"/>
        <v>0.74343392956058374</v>
      </c>
      <c r="T48" s="278">
        <v>0.5</v>
      </c>
      <c r="U48" s="30"/>
      <c r="V48" s="30"/>
    </row>
    <row r="49" spans="1:22" ht="17.25" customHeight="1">
      <c r="A49" s="232">
        <f>'Mapping Prob-Root'!A33</f>
        <v>32</v>
      </c>
      <c r="B49" s="233" t="str">
        <f>'Mapping Prob-Root'!O33</f>
        <v>SC4 – S12 - Actual - Not received because Milestone is dependent on Manual input and is missed due to Lack of resources</v>
      </c>
      <c r="C49" s="236" t="s">
        <v>33</v>
      </c>
      <c r="D49" s="336" t="s">
        <v>16</v>
      </c>
      <c r="E49" s="337"/>
      <c r="F49" s="338"/>
      <c r="G49" s="234">
        <f>'SC4 Data'!G20</f>
        <v>0.06</v>
      </c>
      <c r="H49" s="234">
        <f>'SC4 Data'!L20</f>
        <v>0.15</v>
      </c>
      <c r="I49" s="234">
        <f>'SC4 Data'!Q20</f>
        <v>0.25</v>
      </c>
      <c r="J49" s="234">
        <f>'SC4 Data'!V20</f>
        <v>0.41</v>
      </c>
      <c r="K49" s="234">
        <f>'SC4 Data'!AA20</f>
        <v>0.3125</v>
      </c>
      <c r="L49" s="234">
        <f>'SC4 Data'!AF20</f>
        <v>0.37</v>
      </c>
      <c r="M49" s="248">
        <f>'SC4 Data'!AK20</f>
        <v>0.41584158415841599</v>
      </c>
      <c r="N49" s="277">
        <f t="shared" si="1"/>
        <v>0.48278877887788796</v>
      </c>
      <c r="O49" s="277">
        <f t="shared" si="2"/>
        <v>0.53955170517051732</v>
      </c>
      <c r="P49" s="277">
        <f t="shared" si="3"/>
        <v>0.59606894022735646</v>
      </c>
      <c r="Q49" s="277">
        <f t="shared" si="4"/>
        <v>0.65614472558366999</v>
      </c>
      <c r="R49" s="277">
        <f t="shared" si="5"/>
        <v>0.71393004115226399</v>
      </c>
      <c r="S49" s="235">
        <f t="shared" si="6"/>
        <v>0.41306881459750927</v>
      </c>
      <c r="T49" s="278">
        <v>1</v>
      </c>
      <c r="U49" s="30"/>
      <c r="V49" s="30"/>
    </row>
    <row r="50" spans="1:22" ht="17.25" customHeight="1">
      <c r="A50" s="232">
        <f>'Mapping Prob-Root'!A34</f>
        <v>33</v>
      </c>
      <c r="B50" s="233" t="str">
        <f>'Mapping Prob-Root'!O34</f>
        <v>SC4 – S13 - Actual - Not received because SOP to fill CW1 fields are not followed by Operators due to lack of resources</v>
      </c>
      <c r="C50" s="236" t="s">
        <v>33</v>
      </c>
      <c r="D50" s="336" t="s">
        <v>14</v>
      </c>
      <c r="E50" s="337"/>
      <c r="F50" s="338"/>
      <c r="G50" s="234">
        <f>'SC4 Data'!F21</f>
        <v>0.28000000000000003</v>
      </c>
      <c r="H50" s="234">
        <f>'SC4 Data'!K21</f>
        <v>0.14000000000000001</v>
      </c>
      <c r="I50" s="234">
        <f>'SC4 Data'!P21</f>
        <v>0.34</v>
      </c>
      <c r="J50" s="234">
        <f>'SC4 Data'!U21</f>
        <v>0.66</v>
      </c>
      <c r="K50" s="234">
        <f>'SC4 Data'!Z21</f>
        <v>0.70065789473684204</v>
      </c>
      <c r="L50" s="234">
        <f>'SC4 Data'!AE21</f>
        <v>0.87</v>
      </c>
      <c r="M50" s="248">
        <f>'SC4 Data'!AJ21</f>
        <v>0.87788778877887796</v>
      </c>
      <c r="N50" s="277">
        <f t="shared" si="1"/>
        <v>0.90693949394939499</v>
      </c>
      <c r="O50" s="277">
        <f t="shared" si="2"/>
        <v>0.93444370717773539</v>
      </c>
      <c r="P50" s="277">
        <f t="shared" si="3"/>
        <v>0.94303620146810008</v>
      </c>
      <c r="Q50" s="277">
        <f t="shared" si="4"/>
        <v>0.95172265649332966</v>
      </c>
      <c r="R50" s="277">
        <f t="shared" si="5"/>
        <v>0.9576937448325209</v>
      </c>
      <c r="S50" s="235">
        <f t="shared" si="6"/>
        <v>0.71353179061973349</v>
      </c>
      <c r="T50" s="278">
        <v>0.4</v>
      </c>
      <c r="U50" s="30"/>
      <c r="V50" s="30"/>
    </row>
    <row r="51" spans="1:22" ht="17.25" customHeight="1">
      <c r="A51" s="232">
        <f>'Mapping Prob-Root'!A35</f>
        <v>34</v>
      </c>
      <c r="B51" s="233" t="str">
        <f>'Mapping Prob-Root'!O35</f>
        <v>SC4 – S13 - Actual - Not received because Milestone is dependent on Manual input and is missed due to Lack of resources</v>
      </c>
      <c r="C51" s="236" t="s">
        <v>33</v>
      </c>
      <c r="D51" s="336" t="s">
        <v>16</v>
      </c>
      <c r="E51" s="337"/>
      <c r="F51" s="338"/>
      <c r="G51" s="234">
        <f>'SC4 Data'!G21</f>
        <v>0.04</v>
      </c>
      <c r="H51" s="234">
        <f>'SC4 Data'!L21</f>
        <v>0.08</v>
      </c>
      <c r="I51" s="234">
        <f>'SC4 Data'!Q21</f>
        <v>0.22</v>
      </c>
      <c r="J51" s="234">
        <f>'SC4 Data'!V21</f>
        <v>0.5</v>
      </c>
      <c r="K51" s="234">
        <f>'SC4 Data'!AA21</f>
        <v>0.45394736842105299</v>
      </c>
      <c r="L51" s="234">
        <f>'SC4 Data'!AF21</f>
        <v>0.61</v>
      </c>
      <c r="M51" s="248">
        <f>'SC4 Data'!AK21</f>
        <v>0.65346534653465305</v>
      </c>
      <c r="N51" s="277">
        <f t="shared" si="1"/>
        <v>0.69439378148341091</v>
      </c>
      <c r="O51" s="277">
        <f t="shared" si="2"/>
        <v>0.73446818366047051</v>
      </c>
      <c r="P51" s="277">
        <f t="shared" si="3"/>
        <v>0.75521288093721561</v>
      </c>
      <c r="Q51" s="277">
        <f t="shared" si="4"/>
        <v>0.77217080333764265</v>
      </c>
      <c r="R51" s="277">
        <f t="shared" si="5"/>
        <v>0.78513364031334798</v>
      </c>
      <c r="S51" s="235">
        <f t="shared" si="6"/>
        <v>0.52489933372398279</v>
      </c>
      <c r="T51" s="278">
        <v>0.5</v>
      </c>
      <c r="U51" s="30"/>
      <c r="V51" s="30"/>
    </row>
    <row r="52" spans="1:22" ht="17.25" customHeight="1">
      <c r="A52" s="232">
        <f>'Mapping Prob-Root'!A36</f>
        <v>35</v>
      </c>
      <c r="B52" s="233" t="str">
        <f>'Mapping Prob-Root'!O36</f>
        <v>SC4 – S45 - Actual - Not received because The HBL div mode is changed after receiving</v>
      </c>
      <c r="C52" s="236" t="s">
        <v>29</v>
      </c>
      <c r="D52" s="336" t="s">
        <v>11</v>
      </c>
      <c r="E52" s="337"/>
      <c r="F52" s="338"/>
      <c r="G52" s="234">
        <f>'SC4 Data'!F22</f>
        <v>1</v>
      </c>
      <c r="H52" s="234">
        <f>'SC4 Data'!K22</f>
        <v>1</v>
      </c>
      <c r="I52" s="234">
        <f>'SC4 Data'!P22</f>
        <v>0.56000000000000005</v>
      </c>
      <c r="J52" s="234">
        <f>'SC4 Data'!U22</f>
        <v>0.42</v>
      </c>
      <c r="K52" s="234">
        <f>'SC4 Data'!Z22</f>
        <v>0.47706422018348599</v>
      </c>
      <c r="L52" s="234">
        <f>'SC4 Data'!AE22</f>
        <v>0.21</v>
      </c>
      <c r="M52" s="248">
        <f>'SC4 Data'!AJ22</f>
        <v>0.29015544041450803</v>
      </c>
      <c r="N52" s="277">
        <f t="shared" si="1"/>
        <v>0.42491673400833474</v>
      </c>
      <c r="O52" s="277">
        <f t="shared" si="2"/>
        <v>0.58557705207227495</v>
      </c>
      <c r="P52" s="277">
        <f t="shared" si="3"/>
        <v>0.71076940276303324</v>
      </c>
      <c r="Q52" s="277">
        <f t="shared" si="4"/>
        <v>0.85097405687920835</v>
      </c>
      <c r="R52" s="277">
        <f t="shared" si="5"/>
        <v>0.99299316450283293</v>
      </c>
      <c r="S52" s="235">
        <f t="shared" si="6"/>
        <v>0.62687083923530651</v>
      </c>
      <c r="T52" s="278">
        <v>1</v>
      </c>
      <c r="U52" s="276"/>
      <c r="V52" s="30"/>
    </row>
    <row r="53" spans="1:22" ht="17.25" customHeight="1">
      <c r="A53" s="232">
        <f>'Mapping Prob-Root'!A37</f>
        <v>36</v>
      </c>
      <c r="B53" s="233" t="str">
        <f>'Mapping Prob-Root'!O37</f>
        <v>SC4 – S45 - Actual - Not received because The HBL div mode is changed after receiving</v>
      </c>
      <c r="C53" s="236" t="s">
        <v>29</v>
      </c>
      <c r="D53" s="336" t="s">
        <v>12</v>
      </c>
      <c r="E53" s="337"/>
      <c r="F53" s="338"/>
      <c r="G53" s="234">
        <f>'SC4 Data'!G22</f>
        <v>1</v>
      </c>
      <c r="H53" s="234">
        <f>'SC4 Data'!L22</f>
        <v>0.92</v>
      </c>
      <c r="I53" s="234">
        <f>'SC4 Data'!Q22</f>
        <v>0.54</v>
      </c>
      <c r="J53" s="234">
        <f>'SC4 Data'!V22</f>
        <v>0.37</v>
      </c>
      <c r="K53" s="234">
        <f>'SC4 Data'!AA22</f>
        <v>0.47706422018348599</v>
      </c>
      <c r="L53" s="234">
        <f>'SC4 Data'!AF22</f>
        <v>0.21</v>
      </c>
      <c r="M53" s="248">
        <f>'SC4 Data'!AK22</f>
        <v>0.27979274611399002</v>
      </c>
      <c r="N53" s="277">
        <f t="shared" si="1"/>
        <v>0.39817172917557986</v>
      </c>
      <c r="O53" s="277">
        <f t="shared" si="2"/>
        <v>0.51956798233799739</v>
      </c>
      <c r="P53" s="277">
        <f t="shared" si="3"/>
        <v>0.60211944429479669</v>
      </c>
      <c r="Q53" s="277">
        <f t="shared" si="4"/>
        <v>0.68807323047634517</v>
      </c>
      <c r="R53" s="277">
        <f t="shared" si="5"/>
        <v>0.76538029748988257</v>
      </c>
      <c r="S53" s="235">
        <f t="shared" si="6"/>
        <v>0.56418080417267313</v>
      </c>
      <c r="T53" s="278">
        <v>0.8</v>
      </c>
      <c r="U53" s="30"/>
      <c r="V53" s="30"/>
    </row>
    <row r="54" spans="1:22" ht="17.25" customHeight="1">
      <c r="A54" s="232">
        <f>'Mapping Prob-Root'!A38</f>
        <v>37</v>
      </c>
      <c r="B54" s="233" t="str">
        <f>'Mapping Prob-Root'!O38</f>
        <v>SC4 – S05 - Actual - Not received because CW1 configurations are not set up correctly to handle Bosch requirements</v>
      </c>
      <c r="C54" s="236" t="s">
        <v>33</v>
      </c>
      <c r="D54" s="336" t="s">
        <v>14</v>
      </c>
      <c r="E54" s="337"/>
      <c r="F54" s="338"/>
      <c r="G54" s="234">
        <f>'SC4 Data'!F23</f>
        <v>0.2</v>
      </c>
      <c r="H54" s="234">
        <f>'SC4 Data'!K23</f>
        <v>0.08</v>
      </c>
      <c r="I54" s="234">
        <f>'SC4 Data'!P23</f>
        <v>0.11</v>
      </c>
      <c r="J54" s="234">
        <f>'SC4 Data'!U23</f>
        <v>0.13</v>
      </c>
      <c r="K54" s="234">
        <f>'SC4 Data'!Z23</f>
        <v>0.17464114832535901</v>
      </c>
      <c r="L54" s="234">
        <f>'SC4 Data'!AE23</f>
        <v>0.12</v>
      </c>
      <c r="M54" s="248">
        <f>'SC4 Data'!AJ23</f>
        <v>0.20911528150134001</v>
      </c>
      <c r="N54" s="277">
        <f t="shared" si="1"/>
        <v>0.30331407057736903</v>
      </c>
      <c r="O54" s="277">
        <f t="shared" si="2"/>
        <v>0.42229168002873307</v>
      </c>
      <c r="P54" s="277">
        <f t="shared" si="3"/>
        <v>0.57343752004309967</v>
      </c>
      <c r="Q54" s="277">
        <f t="shared" si="4"/>
        <v>0.75559863931397953</v>
      </c>
      <c r="R54" s="277">
        <f t="shared" si="5"/>
        <v>0.98174092368228472</v>
      </c>
      <c r="S54" s="235">
        <f t="shared" si="6"/>
        <v>0.33834493862268039</v>
      </c>
      <c r="T54" s="278">
        <v>1.5</v>
      </c>
      <c r="U54" s="30"/>
      <c r="V54" s="30"/>
    </row>
    <row r="55" spans="1:22" ht="17.25" customHeight="1">
      <c r="A55" s="232">
        <f>'Mapping Prob-Root'!A39</f>
        <v>38</v>
      </c>
      <c r="B55" s="233" t="str">
        <f>'Mapping Prob-Root'!O39</f>
        <v>SC4 – S05 - Actual - Not received because CW1 configurations are not set up correctly to handle Bosch requirements</v>
      </c>
      <c r="C55" s="236" t="s">
        <v>33</v>
      </c>
      <c r="D55" s="336" t="s">
        <v>16</v>
      </c>
      <c r="E55" s="337"/>
      <c r="F55" s="338"/>
      <c r="G55" s="234">
        <f>'SC4 Data'!G23</f>
        <v>0.18</v>
      </c>
      <c r="H55" s="234">
        <f>'SC4 Data'!L23</f>
        <v>7.0000000000000007E-2</v>
      </c>
      <c r="I55" s="234">
        <f>'SC4 Data'!Q23</f>
        <v>0.04</v>
      </c>
      <c r="J55" s="234">
        <f>'SC4 Data'!V23</f>
        <v>0.02</v>
      </c>
      <c r="K55" s="234">
        <f>'SC4 Data'!AA23</f>
        <v>8.8516746411483299E-2</v>
      </c>
      <c r="L55" s="234">
        <f>'SC4 Data'!AF23</f>
        <v>0.05</v>
      </c>
      <c r="M55" s="248">
        <f>'SC4 Data'!AK23</f>
        <v>7.2386058981233306E-2</v>
      </c>
      <c r="N55" s="277">
        <f t="shared" si="1"/>
        <v>0.15003779006375323</v>
      </c>
      <c r="O55" s="277">
        <f t="shared" si="2"/>
        <v>0.23317051194889515</v>
      </c>
      <c r="P55" s="277">
        <f t="shared" si="3"/>
        <v>0.34307281911823223</v>
      </c>
      <c r="Q55" s="277">
        <f t="shared" si="4"/>
        <v>0.50548487520043162</v>
      </c>
      <c r="R55" s="277">
        <f t="shared" si="5"/>
        <v>0.7187531262824387</v>
      </c>
      <c r="S55" s="235">
        <f t="shared" si="6"/>
        <v>0.20595182733387229</v>
      </c>
      <c r="T55" s="278">
        <v>1.8</v>
      </c>
      <c r="U55" s="30"/>
      <c r="V55" s="30"/>
    </row>
    <row r="56" spans="1:22" ht="17.25" customHeight="1">
      <c r="A56" s="232">
        <f>'Mapping Prob-Root'!A40</f>
        <v>39</v>
      </c>
      <c r="B56" s="233" t="str">
        <f>'Mapping Prob-Root'!O40</f>
        <v>SC4 – S31 - Estimated - Not received because Milestone is dependent on Manual input and is missed due to Lack of resources</v>
      </c>
      <c r="C56" s="236" t="s">
        <v>29</v>
      </c>
      <c r="D56" s="336" t="s">
        <v>11</v>
      </c>
      <c r="E56" s="337"/>
      <c r="F56" s="338"/>
      <c r="G56" s="234">
        <f>'SC4 Data'!F24</f>
        <v>0.96</v>
      </c>
      <c r="H56" s="234">
        <f>'SC4 Data'!K24</f>
        <v>0.99</v>
      </c>
      <c r="I56" s="234">
        <f>'SC4 Data'!P24</f>
        <v>0.97</v>
      </c>
      <c r="J56" s="234">
        <f>'SC4 Data'!U24</f>
        <v>0.98</v>
      </c>
      <c r="K56" s="234">
        <f>'SC4 Data'!Z24</f>
        <v>0.95693779904306198</v>
      </c>
      <c r="L56" s="234">
        <f>'SC4 Data'!AE24</f>
        <v>0.94</v>
      </c>
      <c r="M56" s="248">
        <f>'SC4 Data'!AJ24</f>
        <v>0.95174262734584403</v>
      </c>
      <c r="N56" s="277">
        <f t="shared" si="1"/>
        <v>0.95346738159070554</v>
      </c>
      <c r="O56" s="277">
        <f t="shared" si="2"/>
        <v>0.95448088761183114</v>
      </c>
      <c r="P56" s="277">
        <f t="shared" si="3"/>
        <v>0.9549635838655588</v>
      </c>
      <c r="Q56" s="277">
        <f t="shared" si="4"/>
        <v>0.95507094908288259</v>
      </c>
      <c r="R56" s="277">
        <f t="shared" si="5"/>
        <v>0.95512440133262178</v>
      </c>
      <c r="S56" s="235">
        <f t="shared" si="6"/>
        <v>0.96014896915604231</v>
      </c>
      <c r="T56" s="278">
        <v>0.1</v>
      </c>
      <c r="U56" s="276"/>
      <c r="V56" s="30"/>
    </row>
    <row r="57" spans="1:22" ht="17.25" customHeight="1">
      <c r="A57" s="232">
        <f>'Mapping Prob-Root'!A41</f>
        <v>40</v>
      </c>
      <c r="B57" s="233" t="str">
        <f>'Mapping Prob-Root'!O41</f>
        <v>SC4 – S31 - Estimated - Not received because Milestone is dependent on Manual input and is missed due to Lack of resources</v>
      </c>
      <c r="C57" s="236" t="s">
        <v>29</v>
      </c>
      <c r="D57" s="336" t="s">
        <v>12</v>
      </c>
      <c r="E57" s="337"/>
      <c r="F57" s="338"/>
      <c r="G57" s="234">
        <f>'SC4 Data'!G24</f>
        <v>0.8</v>
      </c>
      <c r="H57" s="234">
        <f>'SC4 Data'!L24</f>
        <v>0.82</v>
      </c>
      <c r="I57" s="234">
        <f>'SC4 Data'!Q24</f>
        <v>0.7</v>
      </c>
      <c r="J57" s="234">
        <f>'SC4 Data'!V24</f>
        <v>0.67</v>
      </c>
      <c r="K57" s="234">
        <f>'SC4 Data'!AA24</f>
        <v>0.68899521531100505</v>
      </c>
      <c r="L57" s="234">
        <f>'SC4 Data'!AF24</f>
        <v>0.67</v>
      </c>
      <c r="M57" s="248">
        <f>'SC4 Data'!AK24</f>
        <v>0.72654155495978601</v>
      </c>
      <c r="N57" s="277">
        <f t="shared" si="1"/>
        <v>0.74229688589008536</v>
      </c>
      <c r="O57" s="277">
        <f t="shared" si="2"/>
        <v>0.75751223609026708</v>
      </c>
      <c r="P57" s="277">
        <f t="shared" si="3"/>
        <v>0.77209760877197819</v>
      </c>
      <c r="Q57" s="277">
        <f t="shared" si="4"/>
        <v>0.77969028440734356</v>
      </c>
      <c r="R57" s="277">
        <f t="shared" si="5"/>
        <v>0.78592251749355324</v>
      </c>
      <c r="S57" s="235">
        <f t="shared" si="6"/>
        <v>0.74275469191033483</v>
      </c>
      <c r="T57" s="278">
        <v>0.5</v>
      </c>
      <c r="U57" s="30"/>
      <c r="V57" s="30"/>
    </row>
    <row r="58" spans="1:22" ht="17.25" customHeight="1">
      <c r="A58" s="232">
        <f>'Mapping Prob-Root'!A42</f>
        <v>41</v>
      </c>
      <c r="B58" s="233" t="str">
        <f>'Mapping Prob-Root'!O42</f>
        <v>SC4 – S31 - Actual - Not received because Milestone is dependent on Manual input and is missed due to Lack of resources</v>
      </c>
      <c r="C58" s="236" t="s">
        <v>29</v>
      </c>
      <c r="D58" s="336" t="s">
        <v>11</v>
      </c>
      <c r="E58" s="337"/>
      <c r="F58" s="338"/>
      <c r="G58" s="234">
        <f>'SC4 Data'!F25</f>
        <v>1</v>
      </c>
      <c r="H58" s="234">
        <f>'SC4 Data'!K25</f>
        <v>1</v>
      </c>
      <c r="I58" s="234">
        <f>'SC4 Data'!P25</f>
        <v>0.76</v>
      </c>
      <c r="J58" s="234">
        <f>'SC4 Data'!U25</f>
        <v>0.83</v>
      </c>
      <c r="K58" s="234">
        <f>'SC4 Data'!Z25</f>
        <v>0.83971291866028697</v>
      </c>
      <c r="L58" s="234">
        <f>'SC4 Data'!AE25</f>
        <v>0.66</v>
      </c>
      <c r="M58" s="248">
        <f>'SC4 Data'!AJ25</f>
        <v>0.715817694369973</v>
      </c>
      <c r="N58" s="277">
        <f t="shared" si="1"/>
        <v>0.77304118509776731</v>
      </c>
      <c r="O58" s="277">
        <f t="shared" si="2"/>
        <v>0.84135047597464663</v>
      </c>
      <c r="P58" s="277">
        <f t="shared" si="3"/>
        <v>0.88366558703539755</v>
      </c>
      <c r="Q58" s="277">
        <f t="shared" si="4"/>
        <v>0.92283009532399662</v>
      </c>
      <c r="R58" s="277">
        <f t="shared" si="5"/>
        <v>0.95778084104345007</v>
      </c>
      <c r="S58" s="235">
        <f t="shared" si="6"/>
        <v>0.84868323312545979</v>
      </c>
      <c r="T58" s="278">
        <v>0.7</v>
      </c>
      <c r="U58" s="276"/>
      <c r="V58" s="30"/>
    </row>
    <row r="59" spans="1:22" ht="17.25" customHeight="1">
      <c r="A59" s="232">
        <f>'Mapping Prob-Root'!A43</f>
        <v>42</v>
      </c>
      <c r="B59" s="233" t="str">
        <f>'Mapping Prob-Root'!O43</f>
        <v>SC4 – S31 - Actual - Not received because Milestone is dependent on Manual input and is missed due to Lack of resources</v>
      </c>
      <c r="C59" s="236" t="s">
        <v>29</v>
      </c>
      <c r="D59" s="336" t="s">
        <v>12</v>
      </c>
      <c r="E59" s="337"/>
      <c r="F59" s="338"/>
      <c r="G59" s="234">
        <f>'SC4 Data'!G25</f>
        <v>0.04</v>
      </c>
      <c r="H59" s="234">
        <f>'SC4 Data'!L25</f>
        <v>0.12</v>
      </c>
      <c r="I59" s="234">
        <f>'SC4 Data'!Q25</f>
        <v>0.28999999999999998</v>
      </c>
      <c r="J59" s="234">
        <f>'SC4 Data'!V25</f>
        <v>0.09</v>
      </c>
      <c r="K59" s="234">
        <f>'SC4 Data'!AA25</f>
        <v>0.105263157894737</v>
      </c>
      <c r="L59" s="234">
        <f>'SC4 Data'!AF25</f>
        <v>0.16</v>
      </c>
      <c r="M59" s="248">
        <f>'SC4 Data'!AK25</f>
        <v>0.13136729222520099</v>
      </c>
      <c r="N59" s="277">
        <f t="shared" si="1"/>
        <v>0.19054691689008041</v>
      </c>
      <c r="O59" s="277">
        <f t="shared" si="2"/>
        <v>0.27607642161704526</v>
      </c>
      <c r="P59" s="277">
        <f t="shared" si="3"/>
        <v>0.38008152391703121</v>
      </c>
      <c r="Q59" s="277">
        <f t="shared" si="4"/>
        <v>0.52931006293212934</v>
      </c>
      <c r="R59" s="277">
        <f t="shared" si="5"/>
        <v>0.73256795055735868</v>
      </c>
      <c r="S59" s="235">
        <f t="shared" si="6"/>
        <v>0.25376777716946525</v>
      </c>
      <c r="T59" s="278">
        <v>1.8</v>
      </c>
      <c r="U59" s="30"/>
      <c r="V59" s="30"/>
    </row>
    <row r="60" spans="1:22" ht="17.25" customHeight="1">
      <c r="A60" s="232">
        <f>'Mapping Prob-Root'!A44</f>
        <v>43</v>
      </c>
      <c r="B60" s="233" t="str">
        <f>'Mapping Prob-Root'!O44</f>
        <v>SC3 – S60 - Actual - No RCA</v>
      </c>
      <c r="C60" s="236" t="s">
        <v>33</v>
      </c>
      <c r="D60" s="336" t="s">
        <v>14</v>
      </c>
      <c r="E60" s="337"/>
      <c r="F60" s="338"/>
      <c r="G60" s="234">
        <f>'SC3 Data'!F5</f>
        <v>0.93100000000000005</v>
      </c>
      <c r="H60" s="234">
        <f>'SC3 Data'!K5</f>
        <v>0.91700000000000004</v>
      </c>
      <c r="I60" s="234">
        <f>'SC3 Data'!P5</f>
        <v>0.92200000000000004</v>
      </c>
      <c r="J60" s="234">
        <f>'SC3 Data'!U5</f>
        <v>0.95499999999999996</v>
      </c>
      <c r="K60" s="234">
        <f>'SC3 Data'!Z5</f>
        <v>0.92307692307692302</v>
      </c>
      <c r="L60" s="234">
        <f>'SC3 Data'!AE5</f>
        <v>0.92105263157894735</v>
      </c>
      <c r="M60" s="248">
        <f>'SC3 Data'!AJ5</f>
        <v>0.93243243243243201</v>
      </c>
      <c r="N60" s="277">
        <f t="shared" si="1"/>
        <v>0.93394333807491658</v>
      </c>
      <c r="O60" s="277">
        <f t="shared" si="2"/>
        <v>0.93444050467471473</v>
      </c>
      <c r="P60" s="277">
        <f t="shared" si="3"/>
        <v>0.9348867671112403</v>
      </c>
      <c r="Q60" s="277">
        <f t="shared" si="4"/>
        <v>0.93496857826720059</v>
      </c>
      <c r="R60" s="277">
        <f t="shared" si="5"/>
        <v>0.93500275294027668</v>
      </c>
      <c r="S60" s="235">
        <f t="shared" si="6"/>
        <v>0.93123366067972091</v>
      </c>
      <c r="T60" s="278">
        <v>0.1</v>
      </c>
      <c r="U60" s="30"/>
      <c r="V60" s="30"/>
    </row>
    <row r="61" spans="1:22" ht="17.25" customHeight="1">
      <c r="A61" s="232">
        <f>'Mapping Prob-Root'!A45</f>
        <v>44</v>
      </c>
      <c r="B61" s="233" t="str">
        <f>'Mapping Prob-Root'!O45</f>
        <v>SC3 – S60 - Actual - No RCA</v>
      </c>
      <c r="C61" s="236" t="s">
        <v>33</v>
      </c>
      <c r="D61" s="336" t="s">
        <v>16</v>
      </c>
      <c r="E61" s="337"/>
      <c r="F61" s="338"/>
      <c r="G61" s="234">
        <f>'SC3 Data'!G5</f>
        <v>0.93100000000000005</v>
      </c>
      <c r="H61" s="234">
        <f>'SC3 Data'!L5</f>
        <v>0.91700000000000004</v>
      </c>
      <c r="I61" s="234">
        <f>'SC3 Data'!Q5</f>
        <v>0.92200000000000004</v>
      </c>
      <c r="J61" s="234">
        <f>'SC3 Data'!V5</f>
        <v>0.93899999999999995</v>
      </c>
      <c r="K61" s="234">
        <f>'SC3 Data'!AA5</f>
        <v>0.92307692307692302</v>
      </c>
      <c r="L61" s="234">
        <f>'SC3 Data'!AF5</f>
        <v>0.92105263157894735</v>
      </c>
      <c r="M61" s="248">
        <f>'SC3 Data'!AK5</f>
        <v>0.90540540540540504</v>
      </c>
      <c r="N61" s="277">
        <f t="shared" si="1"/>
        <v>0.91100450450450421</v>
      </c>
      <c r="O61" s="277">
        <f t="shared" si="2"/>
        <v>0.9148829406329404</v>
      </c>
      <c r="P61" s="277">
        <f t="shared" si="3"/>
        <v>0.91907040086645331</v>
      </c>
      <c r="Q61" s="277">
        <f t="shared" si="4"/>
        <v>0.92134790010996137</v>
      </c>
      <c r="R61" s="277">
        <f t="shared" si="5"/>
        <v>0.92307179937753758</v>
      </c>
      <c r="S61" s="235">
        <f t="shared" si="6"/>
        <v>0.92065937546272247</v>
      </c>
      <c r="T61" s="278">
        <v>0.5</v>
      </c>
      <c r="U61" s="30"/>
      <c r="V61" s="30"/>
    </row>
    <row r="62" spans="1:22" ht="17.25" customHeight="1">
      <c r="A62" s="232">
        <f>'Mapping Prob-Root'!A46</f>
        <v>45</v>
      </c>
      <c r="B62" s="233" t="str">
        <f>'Mapping Prob-Root'!O46</f>
        <v>SC3 – S52 - Actual - Not received because CW1 configurations are not set up correctly to handle Bosch requirements</v>
      </c>
      <c r="C62" s="236" t="s">
        <v>33</v>
      </c>
      <c r="D62" s="336" t="s">
        <v>14</v>
      </c>
      <c r="E62" s="337"/>
      <c r="F62" s="338"/>
      <c r="G62" s="234">
        <f>'SC3 Data'!F6</f>
        <v>0.26900000000000002</v>
      </c>
      <c r="H62" s="234">
        <f>'SC3 Data'!K6</f>
        <v>0.29599999999999999</v>
      </c>
      <c r="I62" s="234">
        <f>'SC3 Data'!P6</f>
        <v>0.29799999999999999</v>
      </c>
      <c r="J62" s="234">
        <f>'SC3 Data'!U6</f>
        <v>0.192</v>
      </c>
      <c r="K62" s="234">
        <f>'SC3 Data'!Z6</f>
        <v>0.28888888888888897</v>
      </c>
      <c r="L62" s="234">
        <f>'SC3 Data'!AE6</f>
        <v>0.30434782608695654</v>
      </c>
      <c r="M62" s="248">
        <f>'SC3 Data'!AJ6</f>
        <v>0.34375</v>
      </c>
      <c r="N62" s="277">
        <f t="shared" si="1"/>
        <v>0.42468333333333336</v>
      </c>
      <c r="O62" s="277">
        <f t="shared" si="2"/>
        <v>0.49710703703703701</v>
      </c>
      <c r="P62" s="277">
        <f t="shared" si="3"/>
        <v>0.5999119495437466</v>
      </c>
      <c r="Q62" s="277">
        <f t="shared" si="4"/>
        <v>0.73653165596707815</v>
      </c>
      <c r="R62" s="277">
        <f t="shared" si="5"/>
        <v>0.90285076137174203</v>
      </c>
      <c r="S62" s="235">
        <f t="shared" si="6"/>
        <v>0.42942262101906525</v>
      </c>
      <c r="T62" s="278">
        <v>1.6</v>
      </c>
      <c r="U62" s="30"/>
      <c r="V62" s="30"/>
    </row>
    <row r="63" spans="1:22" ht="17.25" customHeight="1">
      <c r="A63" s="232">
        <f>'Mapping Prob-Root'!A47</f>
        <v>46</v>
      </c>
      <c r="B63" s="233" t="str">
        <f>'Mapping Prob-Root'!O47</f>
        <v>SC3 – S52 - Actual - Not received because CW1 configurations are not set up correctly to handle Bosch requirements</v>
      </c>
      <c r="C63" s="236" t="s">
        <v>33</v>
      </c>
      <c r="D63" s="336" t="s">
        <v>16</v>
      </c>
      <c r="E63" s="337"/>
      <c r="F63" s="338"/>
      <c r="G63" s="234">
        <f>'SC3 Data'!G6</f>
        <v>0.192</v>
      </c>
      <c r="H63" s="234">
        <f>'SC3 Data'!L6</f>
        <v>0.222</v>
      </c>
      <c r="I63" s="234">
        <f>'SC3 Data'!Q6</f>
        <v>0.255</v>
      </c>
      <c r="J63" s="234">
        <f>'SC3 Data'!V6</f>
        <v>0.115</v>
      </c>
      <c r="K63" s="234">
        <f>'SC3 Data'!AA6</f>
        <v>0.24444444444444399</v>
      </c>
      <c r="L63" s="234">
        <f>'SC3 Data'!AF6</f>
        <v>0.13043478260869565</v>
      </c>
      <c r="M63" s="248">
        <f>'SC3 Data'!AK6</f>
        <v>0.25</v>
      </c>
      <c r="N63" s="277">
        <f t="shared" si="1"/>
        <v>0.35890579710144899</v>
      </c>
      <c r="O63" s="277">
        <f t="shared" si="2"/>
        <v>0.46164999999999951</v>
      </c>
      <c r="P63" s="277">
        <f t="shared" si="3"/>
        <v>0.56101456521739068</v>
      </c>
      <c r="Q63" s="277">
        <f t="shared" si="4"/>
        <v>0.65431893478260794</v>
      </c>
      <c r="R63" s="277">
        <f t="shared" si="5"/>
        <v>0.74294287608695564</v>
      </c>
      <c r="S63" s="235">
        <f t="shared" si="6"/>
        <v>0.3489759500201286</v>
      </c>
      <c r="T63" s="278">
        <v>0.9</v>
      </c>
      <c r="U63" s="30"/>
      <c r="V63" s="30"/>
    </row>
    <row r="64" spans="1:22" ht="17.25" customHeight="1">
      <c r="A64" s="232">
        <f>'Mapping Prob-Root'!A48</f>
        <v>47</v>
      </c>
      <c r="B64" s="233" t="str">
        <f>'Mapping Prob-Root'!O48</f>
        <v>SC3 – S02 - Actual - Not received because Manual milestones not updated on time by Operators due to lack of resources</v>
      </c>
      <c r="C64" s="236" t="s">
        <v>29</v>
      </c>
      <c r="D64" s="336" t="s">
        <v>11</v>
      </c>
      <c r="E64" s="337"/>
      <c r="F64" s="338"/>
      <c r="G64" s="234">
        <f>'SC3 Data'!F7</f>
        <v>0.81299999999999994</v>
      </c>
      <c r="H64" s="234">
        <f>'SC3 Data'!K7</f>
        <v>0.79200000000000004</v>
      </c>
      <c r="I64" s="234">
        <f>'SC3 Data'!P7</f>
        <v>0.73</v>
      </c>
      <c r="J64" s="234">
        <f>'SC3 Data'!U7</f>
        <v>0.79100000000000004</v>
      </c>
      <c r="K64" s="234">
        <f>'SC3 Data'!Z7</f>
        <v>0.75684931506849296</v>
      </c>
      <c r="L64" s="234">
        <f>'SC3 Data'!AE7</f>
        <v>0.78618421052631582</v>
      </c>
      <c r="M64" s="248">
        <f>'SC3 Data'!AJ7</f>
        <v>0.77950310559006197</v>
      </c>
      <c r="N64" s="277">
        <f t="shared" si="1"/>
        <v>0.80756977972029553</v>
      </c>
      <c r="O64" s="277">
        <f t="shared" si="2"/>
        <v>0.83320284953001966</v>
      </c>
      <c r="P64" s="277">
        <f t="shared" si="3"/>
        <v>0.85735518908050423</v>
      </c>
      <c r="Q64" s="277">
        <f t="shared" si="4"/>
        <v>0.88849602247668114</v>
      </c>
      <c r="R64" s="277">
        <f t="shared" si="5"/>
        <v>0.92086651957923538</v>
      </c>
      <c r="S64" s="235">
        <f t="shared" si="6"/>
        <v>0.81300224929763376</v>
      </c>
      <c r="T64" s="278">
        <v>1.2</v>
      </c>
      <c r="U64" s="276"/>
      <c r="V64" s="30"/>
    </row>
    <row r="65" spans="1:22" ht="17.25" customHeight="1">
      <c r="A65" s="232">
        <f>'Mapping Prob-Root'!A49</f>
        <v>48</v>
      </c>
      <c r="B65" s="233" t="str">
        <f>'Mapping Prob-Root'!O49</f>
        <v>SC3 – S02 - Actual - Not received because Manual milestones not updated on time by Operators due to lack of resources</v>
      </c>
      <c r="C65" s="236" t="s">
        <v>29</v>
      </c>
      <c r="D65" s="336" t="s">
        <v>12</v>
      </c>
      <c r="E65" s="337"/>
      <c r="F65" s="338"/>
      <c r="G65" s="234">
        <f>'SC3 Data'!G7</f>
        <v>0.317</v>
      </c>
      <c r="H65" s="234">
        <f>'SC3 Data'!L7</f>
        <v>0.39200000000000002</v>
      </c>
      <c r="I65" s="234">
        <f>'SC3 Data'!Q7</f>
        <v>0.318</v>
      </c>
      <c r="J65" s="234">
        <f>'SC3 Data'!V7</f>
        <v>0.317</v>
      </c>
      <c r="K65" s="234">
        <f>'SC3 Data'!AA7</f>
        <v>0.34246575342465801</v>
      </c>
      <c r="L65" s="234">
        <f>'SC3 Data'!AF7</f>
        <v>0.38486842105263158</v>
      </c>
      <c r="M65" s="248">
        <f>'SC3 Data'!AK7</f>
        <v>0.40683229813664601</v>
      </c>
      <c r="N65" s="277">
        <f t="shared" si="1"/>
        <v>0.4487540372670808</v>
      </c>
      <c r="O65" s="277">
        <f t="shared" si="2"/>
        <v>0.49835523639354473</v>
      </c>
      <c r="P65" s="277">
        <f t="shared" si="3"/>
        <v>0.55131575021930423</v>
      </c>
      <c r="Q65" s="277">
        <f t="shared" si="4"/>
        <v>0.61874136119121137</v>
      </c>
      <c r="R65" s="277">
        <f t="shared" si="5"/>
        <v>0.69806877902247233</v>
      </c>
      <c r="S65" s="235">
        <f t="shared" si="6"/>
        <v>0.44111680305896245</v>
      </c>
      <c r="T65" s="278">
        <v>1.4</v>
      </c>
      <c r="U65" s="30"/>
      <c r="V65" s="30"/>
    </row>
    <row r="66" spans="1:22" ht="17.25" customHeight="1">
      <c r="A66" s="232">
        <f>'Mapping Prob-Root'!A50</f>
        <v>49</v>
      </c>
      <c r="B66" s="233" t="str">
        <f>'Mapping Prob-Root'!O50</f>
        <v>SC3 – S02 - Estimated - Not received because Manual milestones not updated on time by Operators due to lack of resources</v>
      </c>
      <c r="C66" s="236" t="s">
        <v>29</v>
      </c>
      <c r="D66" s="336" t="s">
        <v>11</v>
      </c>
      <c r="E66" s="337"/>
      <c r="F66" s="338"/>
      <c r="G66" s="234">
        <f>'SC3 Data'!F8</f>
        <v>0.81299999999999994</v>
      </c>
      <c r="H66" s="234">
        <f>'SC3 Data'!K8</f>
        <v>0.80900000000000005</v>
      </c>
      <c r="I66" s="234">
        <f>'SC3 Data'!P8</f>
        <v>0.77700000000000002</v>
      </c>
      <c r="J66" s="234">
        <f>'SC3 Data'!U8</f>
        <v>0.83899999999999997</v>
      </c>
      <c r="K66" s="234">
        <f>'SC3 Data'!Z8</f>
        <v>0.82995951417003999</v>
      </c>
      <c r="L66" s="234">
        <f>'SC3 Data'!AE8</f>
        <v>0.84883720930232553</v>
      </c>
      <c r="M66" s="248">
        <f>'SC3 Data'!AJ8</f>
        <v>0.86434108527131803</v>
      </c>
      <c r="N66" s="277">
        <f t="shared" si="1"/>
        <v>0.88026250614610535</v>
      </c>
      <c r="O66" s="277">
        <f t="shared" si="2"/>
        <v>0.89870693653732936</v>
      </c>
      <c r="P66" s="277">
        <f t="shared" si="3"/>
        <v>0.91699250319016412</v>
      </c>
      <c r="Q66" s="277">
        <f t="shared" si="4"/>
        <v>0.93629802309374099</v>
      </c>
      <c r="R66" s="277">
        <f t="shared" si="5"/>
        <v>0.95684437930787403</v>
      </c>
      <c r="S66" s="235">
        <f t="shared" si="6"/>
        <v>0.86418684641824139</v>
      </c>
      <c r="T66" s="278">
        <v>1.1000000000000001</v>
      </c>
      <c r="U66" s="276"/>
      <c r="V66" s="30"/>
    </row>
    <row r="67" spans="1:22" ht="17.25" customHeight="1">
      <c r="A67" s="232">
        <f>'Mapping Prob-Root'!A51</f>
        <v>50</v>
      </c>
      <c r="B67" s="233" t="str">
        <f>'Mapping Prob-Root'!O51</f>
        <v>SC3 – S02 - Estimated - Not received because Manual milestones not updated on time by Operators due to lack of resources</v>
      </c>
      <c r="C67" s="236" t="s">
        <v>29</v>
      </c>
      <c r="D67" s="336" t="s">
        <v>12</v>
      </c>
      <c r="E67" s="337"/>
      <c r="F67" s="338"/>
      <c r="G67" s="234">
        <f>'SC3 Data'!G8</f>
        <v>0</v>
      </c>
      <c r="H67" s="234">
        <f>'SC3 Data'!L8</f>
        <v>0</v>
      </c>
      <c r="I67" s="234">
        <f>'SC3 Data'!Q8</f>
        <v>0</v>
      </c>
      <c r="J67" s="234">
        <f>'SC3 Data'!V8</f>
        <v>0</v>
      </c>
      <c r="K67" s="234">
        <f>'SC3 Data'!AA8</f>
        <v>0</v>
      </c>
      <c r="L67" s="234">
        <f>'SC3 Data'!AF8</f>
        <v>0</v>
      </c>
      <c r="M67" s="248">
        <f>'SC3 Data'!AK8</f>
        <v>0</v>
      </c>
      <c r="N67" s="277"/>
      <c r="O67" s="277"/>
      <c r="P67" s="277"/>
      <c r="Q67" s="277"/>
      <c r="R67" s="277"/>
      <c r="S67" s="235">
        <f t="shared" si="6"/>
        <v>0</v>
      </c>
      <c r="T67" s="278">
        <v>1.1000000000000001</v>
      </c>
      <c r="U67" s="30"/>
      <c r="V67" s="30"/>
    </row>
    <row r="68" spans="1:22" ht="17.25" customHeight="1">
      <c r="A68" s="232">
        <f>'Mapping Prob-Root'!A52</f>
        <v>51</v>
      </c>
      <c r="B68" s="233" t="str">
        <f>'Mapping Prob-Root'!O52</f>
        <v>SC3 – S10 - Actual - Not received because SOP to fill CW1 fields are not followed by Operators due to lack of resources</v>
      </c>
      <c r="C68" s="236" t="s">
        <v>33</v>
      </c>
      <c r="D68" s="336" t="s">
        <v>14</v>
      </c>
      <c r="E68" s="337"/>
      <c r="F68" s="338"/>
      <c r="G68" s="234">
        <f>'SC3 Data'!F9</f>
        <v>0.94499999999999995</v>
      </c>
      <c r="H68" s="234">
        <f>'SC3 Data'!K9</f>
        <v>0.93300000000000005</v>
      </c>
      <c r="I68" s="234">
        <f>'SC3 Data'!P9</f>
        <v>0.89500000000000002</v>
      </c>
      <c r="J68" s="234">
        <f>'SC3 Data'!U9</f>
        <v>0.88900000000000001</v>
      </c>
      <c r="K68" s="234">
        <f>'SC3 Data'!Z9</f>
        <v>0.93442622950819698</v>
      </c>
      <c r="L68" s="234">
        <f>'SC3 Data'!AE9</f>
        <v>0.90277777777777779</v>
      </c>
      <c r="M68" s="248">
        <f>'SC3 Data'!AJ9</f>
        <v>0.90140845070422504</v>
      </c>
      <c r="N68" s="277">
        <f t="shared" si="1"/>
        <v>0.91971205264373113</v>
      </c>
      <c r="O68" s="277">
        <f t="shared" si="2"/>
        <v>0.93168704148387604</v>
      </c>
      <c r="P68" s="277">
        <f t="shared" si="3"/>
        <v>0.93907155564962363</v>
      </c>
      <c r="Q68" s="277">
        <f t="shared" si="4"/>
        <v>0.94785961347021663</v>
      </c>
      <c r="R68" s="277">
        <f t="shared" si="5"/>
        <v>0.95442737766306329</v>
      </c>
      <c r="S68" s="235">
        <f t="shared" si="6"/>
        <v>0.92444750824172583</v>
      </c>
      <c r="T68" s="278">
        <v>0.7</v>
      </c>
      <c r="U68" s="30"/>
      <c r="V68" s="30"/>
    </row>
    <row r="69" spans="1:22" ht="17.25" customHeight="1">
      <c r="A69" s="232">
        <f>'Mapping Prob-Root'!A53</f>
        <v>52</v>
      </c>
      <c r="B69" s="233" t="str">
        <f>'Mapping Prob-Root'!O53</f>
        <v>SC3 – S10 - Actual - Not received because SOP to fill CW1 fields are not followed by Operators due to lack of resources</v>
      </c>
      <c r="C69" s="236" t="s">
        <v>33</v>
      </c>
      <c r="D69" s="336" t="s">
        <v>16</v>
      </c>
      <c r="E69" s="337"/>
      <c r="F69" s="338"/>
      <c r="G69" s="234">
        <f>'SC3 Data'!G9</f>
        <v>0.65100000000000002</v>
      </c>
      <c r="H69" s="234">
        <f>'SC3 Data'!L9</f>
        <v>0.54800000000000004</v>
      </c>
      <c r="I69" s="234">
        <f>'SC3 Data'!Q9</f>
        <v>0.57999999999999996</v>
      </c>
      <c r="J69" s="234">
        <f>'SC3 Data'!V9</f>
        <v>0.49</v>
      </c>
      <c r="K69" s="234">
        <f>'SC3 Data'!AA9</f>
        <v>0.59016393442622905</v>
      </c>
      <c r="L69" s="234">
        <f>'SC3 Data'!AF9</f>
        <v>0.48148148148148145</v>
      </c>
      <c r="M69" s="248">
        <f>'SC3 Data'!AK9</f>
        <v>0.53521126760563398</v>
      </c>
      <c r="N69" s="277">
        <f t="shared" si="1"/>
        <v>0.59647904142116415</v>
      </c>
      <c r="O69" s="277">
        <f t="shared" si="2"/>
        <v>0.64867104442753121</v>
      </c>
      <c r="P69" s="277">
        <f t="shared" si="3"/>
        <v>0.68768194244827618</v>
      </c>
      <c r="Q69" s="277">
        <f t="shared" si="4"/>
        <v>0.7232584332448927</v>
      </c>
      <c r="R69" s="277">
        <f t="shared" si="5"/>
        <v>0.75284029133709607</v>
      </c>
      <c r="S69" s="235">
        <f t="shared" si="6"/>
        <v>0.60706561969935879</v>
      </c>
      <c r="T69" s="278">
        <v>0.7</v>
      </c>
      <c r="U69" s="30"/>
      <c r="V69" s="30"/>
    </row>
    <row r="70" spans="1:22" ht="17.25" customHeight="1">
      <c r="A70" s="232">
        <f>'Mapping Prob-Root'!A54</f>
        <v>53</v>
      </c>
      <c r="B70" s="233" t="str">
        <f>'Mapping Prob-Root'!O54</f>
        <v>SC3 – S50 - Actual - Not received because Manual milestones not updated on time by Operators due to lack of resources</v>
      </c>
      <c r="C70" s="236" t="s">
        <v>33</v>
      </c>
      <c r="D70" s="336" t="s">
        <v>14</v>
      </c>
      <c r="E70" s="337"/>
      <c r="F70" s="338"/>
      <c r="G70" s="234">
        <f>'SC3 Data'!F10</f>
        <v>0.78500000000000003</v>
      </c>
      <c r="H70" s="234">
        <f>'SC3 Data'!K10</f>
        <v>0.78300000000000003</v>
      </c>
      <c r="I70" s="234">
        <f>'SC3 Data'!P10</f>
        <v>0.77600000000000002</v>
      </c>
      <c r="J70" s="234">
        <f>'SC3 Data'!U10</f>
        <v>0.69299999999999995</v>
      </c>
      <c r="K70" s="234">
        <f>'SC3 Data'!Z10</f>
        <v>0.79591836734693899</v>
      </c>
      <c r="L70" s="234">
        <f>'SC3 Data'!AE10</f>
        <v>0.64</v>
      </c>
      <c r="M70" s="248">
        <f>'SC3 Data'!AJ10</f>
        <v>0.60769230769230798</v>
      </c>
      <c r="N70" s="277">
        <f t="shared" si="1"/>
        <v>0.69503563579277894</v>
      </c>
      <c r="O70" s="277">
        <f t="shared" si="2"/>
        <v>0.77770645211930955</v>
      </c>
      <c r="P70" s="277">
        <f t="shared" si="3"/>
        <v>0.83840300313971761</v>
      </c>
      <c r="Q70" s="277">
        <f t="shared" si="4"/>
        <v>0.90761621177394047</v>
      </c>
      <c r="R70" s="277">
        <f t="shared" si="5"/>
        <v>0.97139038456828897</v>
      </c>
      <c r="S70" s="235">
        <f t="shared" si="6"/>
        <v>0.77256353020277357</v>
      </c>
      <c r="T70" s="278">
        <v>0.9</v>
      </c>
      <c r="U70" s="30"/>
      <c r="V70" s="30"/>
    </row>
    <row r="71" spans="1:22" ht="17.25" customHeight="1">
      <c r="A71" s="232">
        <f>'Mapping Prob-Root'!A55</f>
        <v>54</v>
      </c>
      <c r="B71" s="233" t="str">
        <f>'Mapping Prob-Root'!O55</f>
        <v>SC3 – S50 - Actual - Not received because Manual milestones not updated on time by Operators due to lack of resources</v>
      </c>
      <c r="C71" s="236" t="s">
        <v>33</v>
      </c>
      <c r="D71" s="336" t="s">
        <v>16</v>
      </c>
      <c r="E71" s="337"/>
      <c r="F71" s="338"/>
      <c r="G71" s="234">
        <f>'SC3 Data'!G10</f>
        <v>0.70099999999999996</v>
      </c>
      <c r="H71" s="234">
        <f>'SC3 Data'!L10</f>
        <v>0.71299999999999997</v>
      </c>
      <c r="I71" s="234">
        <f>'SC3 Data'!Q10</f>
        <v>0.67200000000000004</v>
      </c>
      <c r="J71" s="234">
        <f>'SC3 Data'!V10</f>
        <v>0.65400000000000003</v>
      </c>
      <c r="K71" s="234">
        <f>'SC3 Data'!AA10</f>
        <v>0.70748299319727903</v>
      </c>
      <c r="L71" s="234">
        <f>'SC3 Data'!AF10</f>
        <v>0.49333333333333335</v>
      </c>
      <c r="M71" s="248">
        <f>'SC3 Data'!AK10</f>
        <v>0.42307692307692302</v>
      </c>
      <c r="N71" s="277">
        <f t="shared" si="1"/>
        <v>0.50191770451770457</v>
      </c>
      <c r="O71" s="277">
        <f t="shared" si="2"/>
        <v>0.58667530321530337</v>
      </c>
      <c r="P71" s="277">
        <f t="shared" si="3"/>
        <v>0.64124142097408787</v>
      </c>
      <c r="Q71" s="277">
        <f t="shared" si="4"/>
        <v>0.69214647048342637</v>
      </c>
      <c r="R71" s="277">
        <f t="shared" si="5"/>
        <v>0.73653318254209477</v>
      </c>
      <c r="S71" s="235">
        <f t="shared" si="6"/>
        <v>0.62686727761167937</v>
      </c>
      <c r="T71" s="278">
        <v>0.7</v>
      </c>
      <c r="U71" s="30"/>
      <c r="V71" s="30"/>
    </row>
    <row r="72" spans="1:22" ht="17.25" customHeight="1">
      <c r="A72" s="232">
        <f>'Mapping Prob-Root'!A56</f>
        <v>55</v>
      </c>
      <c r="B72" s="233" t="str">
        <f>'Mapping Prob-Root'!O56</f>
        <v>SC3 – S53 - Actual - Not received because CW1 configurations are not set up correctly to handle Bosch requirements</v>
      </c>
      <c r="C72" s="236" t="s">
        <v>33</v>
      </c>
      <c r="D72" s="336" t="s">
        <v>14</v>
      </c>
      <c r="E72" s="337"/>
      <c r="F72" s="338"/>
      <c r="G72" s="234">
        <f>'SC3 Data'!F11</f>
        <v>0.41399999999999998</v>
      </c>
      <c r="H72" s="234">
        <f>'SC3 Data'!K11</f>
        <v>0.41699999999999998</v>
      </c>
      <c r="I72" s="234">
        <f>'SC3 Data'!P11</f>
        <v>0.51</v>
      </c>
      <c r="J72" s="234">
        <f>'SC3 Data'!U11</f>
        <v>0.42399999999999999</v>
      </c>
      <c r="K72" s="234">
        <f>'SC3 Data'!Z11</f>
        <v>0.68518518518518501</v>
      </c>
      <c r="L72" s="234">
        <f>'SC3 Data'!AE11</f>
        <v>0.58974358974358976</v>
      </c>
      <c r="M72" s="248">
        <f>'SC3 Data'!AJ11</f>
        <v>0.51219512195121997</v>
      </c>
      <c r="N72" s="277">
        <f t="shared" si="1"/>
        <v>0.62797518819632669</v>
      </c>
      <c r="O72" s="277">
        <f t="shared" si="2"/>
        <v>0.7049805560574125</v>
      </c>
      <c r="P72" s="277">
        <f t="shared" si="3"/>
        <v>0.77706959656369579</v>
      </c>
      <c r="Q72" s="277">
        <f t="shared" si="4"/>
        <v>0.84770278979368929</v>
      </c>
      <c r="R72" s="277">
        <f t="shared" si="5"/>
        <v>0.90629681688631936</v>
      </c>
      <c r="S72" s="235">
        <f t="shared" si="6"/>
        <v>0.61801240369811983</v>
      </c>
      <c r="T72" s="278">
        <v>0.8</v>
      </c>
      <c r="U72" s="30"/>
      <c r="V72" s="30"/>
    </row>
    <row r="73" spans="1:22" ht="17.25" customHeight="1">
      <c r="A73" s="232">
        <f>'Mapping Prob-Root'!A57</f>
        <v>56</v>
      </c>
      <c r="B73" s="233" t="str">
        <f>'Mapping Prob-Root'!O57</f>
        <v>SC3 – S53 - Actual - Not received because CW1 configurations are not set up correctly to handle Bosch requirements</v>
      </c>
      <c r="C73" s="236" t="s">
        <v>33</v>
      </c>
      <c r="D73" s="336" t="s">
        <v>16</v>
      </c>
      <c r="E73" s="337"/>
      <c r="F73" s="338"/>
      <c r="G73" s="234">
        <f>'SC3 Data'!G11</f>
        <v>0.379</v>
      </c>
      <c r="H73" s="234">
        <f>'SC3 Data'!L11</f>
        <v>0.38900000000000001</v>
      </c>
      <c r="I73" s="234">
        <f>'SC3 Data'!Q11</f>
        <v>0.49</v>
      </c>
      <c r="J73" s="234">
        <f>'SC3 Data'!V11</f>
        <v>0.34799999999999998</v>
      </c>
      <c r="K73" s="234">
        <f>'SC3 Data'!AA11</f>
        <v>0.62962962962962998</v>
      </c>
      <c r="L73" s="234">
        <f>'SC3 Data'!AF11</f>
        <v>0.55128205128205132</v>
      </c>
      <c r="M73" s="248">
        <f>'SC3 Data'!AK11</f>
        <v>0.36585365853658502</v>
      </c>
      <c r="N73" s="277">
        <f t="shared" si="1"/>
        <v>0.47493477868112</v>
      </c>
      <c r="O73" s="277">
        <f t="shared" si="2"/>
        <v>0.549506196928636</v>
      </c>
      <c r="P73" s="277">
        <f t="shared" si="3"/>
        <v>0.62332238315613941</v>
      </c>
      <c r="Q73" s="277">
        <f t="shared" si="4"/>
        <v>0.67481612808005031</v>
      </c>
      <c r="R73" s="277">
        <f t="shared" si="5"/>
        <v>0.7147923979598364</v>
      </c>
      <c r="S73" s="235">
        <f t="shared" si="6"/>
        <v>0.51584476868783735</v>
      </c>
      <c r="T73" s="278">
        <v>0.6</v>
      </c>
      <c r="U73" s="30"/>
      <c r="V73" s="30"/>
    </row>
    <row r="74" spans="1:22" ht="17.25" customHeight="1">
      <c r="A74" s="232">
        <f>'Mapping Prob-Root'!A58</f>
        <v>57</v>
      </c>
      <c r="B74" s="233" t="str">
        <f>'Mapping Prob-Root'!O58</f>
        <v>SC3 – S04 - Actual - Not received because The Consol is not attached to shipment with "is Linked" Flag</v>
      </c>
      <c r="C74" s="236" t="s">
        <v>29</v>
      </c>
      <c r="D74" s="336" t="s">
        <v>11</v>
      </c>
      <c r="E74" s="337"/>
      <c r="F74" s="338"/>
      <c r="G74" s="234">
        <f>'SC3 Data'!F12</f>
        <v>0.86599999999999999</v>
      </c>
      <c r="H74" s="234">
        <f>'SC3 Data'!K12</f>
        <v>0.86399999999999999</v>
      </c>
      <c r="I74" s="234">
        <f>'SC3 Data'!P12</f>
        <v>0.84299999999999997</v>
      </c>
      <c r="J74" s="234">
        <f>'SC3 Data'!U12</f>
        <v>0.80100000000000005</v>
      </c>
      <c r="K74" s="234">
        <f>'SC3 Data'!Z12</f>
        <v>0.912121212121212</v>
      </c>
      <c r="L74" s="234">
        <f>'SC3 Data'!AE12</f>
        <v>0.84972677595628421</v>
      </c>
      <c r="M74" s="248">
        <f>'SC3 Data'!AJ12</f>
        <v>0.82507288629737596</v>
      </c>
      <c r="N74" s="277">
        <f t="shared" si="1"/>
        <v>0.87131244515122053</v>
      </c>
      <c r="O74" s="277">
        <f t="shared" si="2"/>
        <v>0.90241295157601265</v>
      </c>
      <c r="P74" s="277">
        <f t="shared" si="3"/>
        <v>0.92621154106143977</v>
      </c>
      <c r="Q74" s="277">
        <f t="shared" si="4"/>
        <v>0.94981056050638801</v>
      </c>
      <c r="R74" s="277">
        <f t="shared" si="5"/>
        <v>0.96812678742259373</v>
      </c>
      <c r="S74" s="235">
        <f t="shared" si="6"/>
        <v>0.88156626334104393</v>
      </c>
      <c r="T74" s="278">
        <v>0.7</v>
      </c>
      <c r="U74" s="276"/>
      <c r="V74" s="30"/>
    </row>
    <row r="75" spans="1:22" ht="17.25" customHeight="1">
      <c r="A75" s="232">
        <f>'Mapping Prob-Root'!A59</f>
        <v>58</v>
      </c>
      <c r="B75" s="233" t="str">
        <f>'Mapping Prob-Root'!O59</f>
        <v>SC3 – S04 - Actual - Not received because The Consol is not attached to shipment with "is Linked" Flag</v>
      </c>
      <c r="C75" s="236" t="s">
        <v>29</v>
      </c>
      <c r="D75" s="336" t="s">
        <v>12</v>
      </c>
      <c r="E75" s="337"/>
      <c r="F75" s="338"/>
      <c r="G75" s="234">
        <f>'SC3 Data'!G12</f>
        <v>0.85799999999999998</v>
      </c>
      <c r="H75" s="234">
        <f>'SC3 Data'!L12</f>
        <v>0.85799999999999998</v>
      </c>
      <c r="I75" s="234">
        <f>'SC3 Data'!Q12</f>
        <v>0.81699999999999995</v>
      </c>
      <c r="J75" s="234">
        <f>'SC3 Data'!V12</f>
        <v>0.78100000000000003</v>
      </c>
      <c r="K75" s="234">
        <f>'SC3 Data'!AA12</f>
        <v>0.89090909090909098</v>
      </c>
      <c r="L75" s="234">
        <f>'SC3 Data'!AF12</f>
        <v>0.8306010928961749</v>
      </c>
      <c r="M75" s="248">
        <f>'SC3 Data'!AK12</f>
        <v>0.80758017492711398</v>
      </c>
      <c r="N75" s="277">
        <f t="shared" si="1"/>
        <v>0.82046270871985183</v>
      </c>
      <c r="O75" s="277">
        <f t="shared" si="2"/>
        <v>0.82687680537149943</v>
      </c>
      <c r="P75" s="277">
        <f t="shared" si="3"/>
        <v>0.82969797526572919</v>
      </c>
      <c r="Q75" s="277">
        <f t="shared" si="4"/>
        <v>0.8311724952883035</v>
      </c>
      <c r="R75" s="277">
        <f t="shared" si="5"/>
        <v>0.83188648105953367</v>
      </c>
      <c r="S75" s="235">
        <f t="shared" si="6"/>
        <v>0.8319322353697749</v>
      </c>
      <c r="T75" s="278">
        <v>0.2</v>
      </c>
      <c r="U75" s="30"/>
      <c r="V75" s="30"/>
    </row>
    <row r="76" spans="1:22" ht="17.25" customHeight="1">
      <c r="A76" s="232">
        <f>'Mapping Prob-Root'!A60</f>
        <v>59</v>
      </c>
      <c r="B76" s="233" t="str">
        <f>'Mapping Prob-Root'!O60</f>
        <v>SC3 – S04 - Estimated - Not received because The Consol is not attached to shipment with "is Linked" Flag</v>
      </c>
      <c r="C76" s="236" t="s">
        <v>29</v>
      </c>
      <c r="D76" s="336" t="s">
        <v>11</v>
      </c>
      <c r="E76" s="337"/>
      <c r="F76" s="338"/>
      <c r="G76" s="234">
        <f>'SC3 Data'!F13</f>
        <v>0.86599999999999999</v>
      </c>
      <c r="H76" s="234">
        <f>'SC3 Data'!K13</f>
        <v>0.89500000000000002</v>
      </c>
      <c r="I76" s="234">
        <f>'SC3 Data'!P13</f>
        <v>0.86299999999999999</v>
      </c>
      <c r="J76" s="234">
        <f>'SC3 Data'!U13</f>
        <v>0.84599999999999997</v>
      </c>
      <c r="K76" s="234">
        <f>'SC3 Data'!Z13</f>
        <v>0.912121212121212</v>
      </c>
      <c r="L76" s="234">
        <f>'SC3 Data'!AE13</f>
        <v>0.83879781420765032</v>
      </c>
      <c r="M76" s="248">
        <f>'SC3 Data'!AJ13</f>
        <v>0.839650145772595</v>
      </c>
      <c r="N76" s="277">
        <f t="shared" si="1"/>
        <v>0.87238609881252926</v>
      </c>
      <c r="O76" s="277">
        <f t="shared" si="2"/>
        <v>0.89733215806683209</v>
      </c>
      <c r="P76" s="277">
        <f t="shared" si="3"/>
        <v>0.91099017163397455</v>
      </c>
      <c r="Q76" s="277">
        <f t="shared" si="4"/>
        <v>0.92763617766829642</v>
      </c>
      <c r="R76" s="277">
        <f t="shared" si="5"/>
        <v>0.94052786273464206</v>
      </c>
      <c r="S76" s="235">
        <f t="shared" si="6"/>
        <v>0.8841201367514776</v>
      </c>
      <c r="T76" s="278">
        <v>0.7</v>
      </c>
      <c r="U76" s="276"/>
      <c r="V76" s="30"/>
    </row>
    <row r="77" spans="1:22" ht="17.25" customHeight="1">
      <c r="A77" s="232">
        <f>'Mapping Prob-Root'!A61</f>
        <v>60</v>
      </c>
      <c r="B77" s="233" t="str">
        <f>'Mapping Prob-Root'!O61</f>
        <v>SC3 – S04 - Estimated - Not received because The Consol is not attached to shipment with "is Linked" Flag</v>
      </c>
      <c r="C77" s="236" t="s">
        <v>29</v>
      </c>
      <c r="D77" s="336" t="s">
        <v>12</v>
      </c>
      <c r="E77" s="337"/>
      <c r="F77" s="338"/>
      <c r="G77" s="234">
        <f>'SC3 Data'!G13</f>
        <v>0.68799999999999994</v>
      </c>
      <c r="H77" s="234">
        <f>'SC3 Data'!L13</f>
        <v>0.72399999999999998</v>
      </c>
      <c r="I77" s="234">
        <f>'SC3 Data'!Q13</f>
        <v>0.70599999999999996</v>
      </c>
      <c r="J77" s="234">
        <f>'SC3 Data'!V13</f>
        <v>0.68100000000000005</v>
      </c>
      <c r="K77" s="234">
        <f>'SC3 Data'!AA13</f>
        <v>0.81212121212121202</v>
      </c>
      <c r="L77" s="234">
        <f>'SC3 Data'!AF13</f>
        <v>0.70765027322404372</v>
      </c>
      <c r="M77" s="248">
        <f>'SC3 Data'!AK13</f>
        <v>0.76093294460641403</v>
      </c>
      <c r="N77" s="277">
        <f t="shared" si="1"/>
        <v>0.78019126609979739</v>
      </c>
      <c r="O77" s="277">
        <f t="shared" si="2"/>
        <v>0.79199206155132551</v>
      </c>
      <c r="P77" s="277">
        <f t="shared" si="3"/>
        <v>0.79761484743981093</v>
      </c>
      <c r="Q77" s="277">
        <f t="shared" si="4"/>
        <v>0.80006030762870406</v>
      </c>
      <c r="R77" s="277">
        <f t="shared" si="5"/>
        <v>0.80138491039729787</v>
      </c>
      <c r="S77" s="235">
        <f t="shared" si="6"/>
        <v>0.7542456519223838</v>
      </c>
      <c r="T77" s="278">
        <v>0.2</v>
      </c>
      <c r="U77" s="30"/>
      <c r="V77" s="30"/>
    </row>
    <row r="78" spans="1:22" ht="17.25" customHeight="1">
      <c r="A78" s="232">
        <f>'Mapping Prob-Root'!A62</f>
        <v>61</v>
      </c>
      <c r="B78" s="233" t="str">
        <f>'Mapping Prob-Root'!O62</f>
        <v>SC3 – S07 - Actual - Not received because The Consol is not attached to shipment with "is Linked" Flag</v>
      </c>
      <c r="C78" s="236" t="s">
        <v>29</v>
      </c>
      <c r="D78" s="336" t="s">
        <v>11</v>
      </c>
      <c r="E78" s="337"/>
      <c r="F78" s="338"/>
      <c r="G78" s="234">
        <f>'SC3 Data'!F14</f>
        <v>0.90500000000000003</v>
      </c>
      <c r="H78" s="234">
        <f>'SC3 Data'!K14</f>
        <v>0.90100000000000002</v>
      </c>
      <c r="I78" s="234">
        <f>'SC3 Data'!P14</f>
        <v>0.86299999999999999</v>
      </c>
      <c r="J78" s="234">
        <f>'SC3 Data'!U14</f>
        <v>0.86</v>
      </c>
      <c r="K78" s="234">
        <f>'SC3 Data'!Z14</f>
        <v>0.93333333333333302</v>
      </c>
      <c r="L78" s="234">
        <f>'SC3 Data'!AE14</f>
        <v>0.87431693989071035</v>
      </c>
      <c r="M78" s="248">
        <f>'SC3 Data'!AJ14</f>
        <v>0.88338192419825101</v>
      </c>
      <c r="N78" s="277">
        <f t="shared" si="1"/>
        <v>0.91166486641495026</v>
      </c>
      <c r="O78" s="277">
        <f t="shared" si="2"/>
        <v>0.93093773040832273</v>
      </c>
      <c r="P78" s="277">
        <f t="shared" si="3"/>
        <v>0.94226188851184522</v>
      </c>
      <c r="Q78" s="277">
        <f t="shared" si="4"/>
        <v>0.95403788137456402</v>
      </c>
      <c r="R78" s="277">
        <f t="shared" si="5"/>
        <v>0.96251248436648673</v>
      </c>
      <c r="S78" s="235">
        <f t="shared" si="6"/>
        <v>0.910120587374872</v>
      </c>
      <c r="T78" s="278">
        <v>0.6</v>
      </c>
      <c r="U78" s="276"/>
      <c r="V78" s="30"/>
    </row>
    <row r="79" spans="1:22" ht="17.25" customHeight="1">
      <c r="A79" s="232">
        <f>'Mapping Prob-Root'!A63</f>
        <v>62</v>
      </c>
      <c r="B79" s="233" t="str">
        <f>'Mapping Prob-Root'!O63</f>
        <v>SC3 – S07 - Actual - Not received because The Consol is not attached to shipment with "is Linked" Flag</v>
      </c>
      <c r="C79" s="236" t="s">
        <v>29</v>
      </c>
      <c r="D79" s="336" t="s">
        <v>12</v>
      </c>
      <c r="E79" s="337"/>
      <c r="F79" s="338"/>
      <c r="G79" s="234">
        <f>'SC3 Data'!G14</f>
        <v>0.88500000000000001</v>
      </c>
      <c r="H79" s="234">
        <f>'SC3 Data'!L14</f>
        <v>0.88900000000000001</v>
      </c>
      <c r="I79" s="234">
        <f>'SC3 Data'!Q14</f>
        <v>0.85</v>
      </c>
      <c r="J79" s="234">
        <f>'SC3 Data'!V14</f>
        <v>0.84899999999999998</v>
      </c>
      <c r="K79" s="234">
        <f>'SC3 Data'!AA14</f>
        <v>0.93030303030302997</v>
      </c>
      <c r="L79" s="234">
        <f>'SC3 Data'!AF14</f>
        <v>0.86338797814207646</v>
      </c>
      <c r="M79" s="248">
        <f>'SC3 Data'!AK14</f>
        <v>0.87755102040816302</v>
      </c>
      <c r="N79" s="277">
        <f t="shared" si="1"/>
        <v>0.88296372456583205</v>
      </c>
      <c r="O79" s="277">
        <f t="shared" si="2"/>
        <v>0.8858467511853223</v>
      </c>
      <c r="P79" s="277">
        <f t="shared" si="3"/>
        <v>0.88659537695343049</v>
      </c>
      <c r="Q79" s="277">
        <f t="shared" si="4"/>
        <v>0.88689685550493946</v>
      </c>
      <c r="R79" s="277">
        <f t="shared" si="5"/>
        <v>0.88702795986957639</v>
      </c>
      <c r="S79" s="235">
        <f t="shared" si="6"/>
        <v>0.88113105807769732</v>
      </c>
      <c r="T79" s="278">
        <v>0.1</v>
      </c>
      <c r="U79" s="30"/>
      <c r="V79" s="30"/>
    </row>
    <row r="80" spans="1:22" ht="17.25" customHeight="1">
      <c r="A80" s="232">
        <f>'Mapping Prob-Root'!A64</f>
        <v>63</v>
      </c>
      <c r="B80" s="233" t="str">
        <f>'Mapping Prob-Root'!O64</f>
        <v>SC3 – S07 - Estimated - Not received because The Consol is not attached to shipment with "is Linked" Flag</v>
      </c>
      <c r="C80" s="236" t="s">
        <v>29</v>
      </c>
      <c r="D80" s="336" t="s">
        <v>11</v>
      </c>
      <c r="E80" s="337"/>
      <c r="F80" s="338"/>
      <c r="G80" s="234">
        <f>'SC3 Data'!F15</f>
        <v>0.88100000000000001</v>
      </c>
      <c r="H80" s="234">
        <f>'SC3 Data'!K15</f>
        <v>0.91300000000000003</v>
      </c>
      <c r="I80" s="234">
        <f>'SC3 Data'!P15</f>
        <v>0.879</v>
      </c>
      <c r="J80" s="234">
        <f>'SC3 Data'!U15</f>
        <v>0.86599999999999999</v>
      </c>
      <c r="K80" s="234">
        <f>'SC3 Data'!Z15</f>
        <v>0.93636363636363595</v>
      </c>
      <c r="L80" s="234">
        <f>'SC3 Data'!AE15</f>
        <v>0.88797814207650272</v>
      </c>
      <c r="M80" s="248">
        <f>'SC3 Data'!AJ15</f>
        <v>0.88338192419825101</v>
      </c>
      <c r="N80" s="277">
        <f t="shared" si="1"/>
        <v>0.90805099390405519</v>
      </c>
      <c r="O80" s="277">
        <f t="shared" si="2"/>
        <v>0.92358115027829302</v>
      </c>
      <c r="P80" s="277">
        <f t="shared" si="3"/>
        <v>0.93254023906995176</v>
      </c>
      <c r="Q80" s="277">
        <f t="shared" si="4"/>
        <v>0.94237190204429189</v>
      </c>
      <c r="R80" s="277">
        <f t="shared" si="5"/>
        <v>0.94923608367233925</v>
      </c>
      <c r="S80" s="235">
        <f t="shared" si="6"/>
        <v>0.90854200596727663</v>
      </c>
      <c r="T80" s="278">
        <v>0.6</v>
      </c>
      <c r="U80" s="276"/>
      <c r="V80" s="30"/>
    </row>
    <row r="81" spans="1:22" ht="17.25" customHeight="1">
      <c r="A81" s="232">
        <f>'Mapping Prob-Root'!A65</f>
        <v>64</v>
      </c>
      <c r="B81" s="233" t="str">
        <f>'Mapping Prob-Root'!O65</f>
        <v>SC3 – S07 - Estimated - Not received because The Consol is not attached to shipment with "is Linked" Flag</v>
      </c>
      <c r="C81" s="236" t="s">
        <v>29</v>
      </c>
      <c r="D81" s="336" t="s">
        <v>12</v>
      </c>
      <c r="E81" s="337"/>
      <c r="F81" s="338"/>
      <c r="G81" s="234">
        <f>'SC3 Data'!G15</f>
        <v>0.83399999999999996</v>
      </c>
      <c r="H81" s="234">
        <f>'SC3 Data'!L15</f>
        <v>0.86399999999999999</v>
      </c>
      <c r="I81" s="234">
        <f>'SC3 Data'!Q15</f>
        <v>0.83</v>
      </c>
      <c r="J81" s="234">
        <f>'SC3 Data'!V15</f>
        <v>0.82599999999999996</v>
      </c>
      <c r="K81" s="234">
        <f>'SC3 Data'!AA15</f>
        <v>0.89090909090909098</v>
      </c>
      <c r="L81" s="234">
        <f>'SC3 Data'!AF15</f>
        <v>0.82786885245901642</v>
      </c>
      <c r="M81" s="248">
        <f>'SC3 Data'!AK15</f>
        <v>0.79300291545189505</v>
      </c>
      <c r="N81" s="277">
        <f t="shared" si="1"/>
        <v>0.80385726654298084</v>
      </c>
      <c r="O81" s="277">
        <f t="shared" si="2"/>
        <v>0.81110796831286625</v>
      </c>
      <c r="P81" s="277">
        <f t="shared" si="3"/>
        <v>0.81463936763740574</v>
      </c>
      <c r="Q81" s="277">
        <f t="shared" si="4"/>
        <v>0.81608179778310641</v>
      </c>
      <c r="R81" s="277">
        <f t="shared" si="5"/>
        <v>0.81689676653244814</v>
      </c>
      <c r="S81" s="235">
        <f t="shared" si="6"/>
        <v>0.82736366880240075</v>
      </c>
      <c r="T81" s="278">
        <v>0.2</v>
      </c>
      <c r="U81" s="30"/>
      <c r="V81" s="30"/>
    </row>
    <row r="82" spans="1:22" ht="17.25" customHeight="1">
      <c r="A82" s="232">
        <f>'Mapping Prob-Root'!A66</f>
        <v>65</v>
      </c>
      <c r="B82" s="233" t="str">
        <f>'Mapping Prob-Root'!O66</f>
        <v>SC3 – S54 - Actual - Not received because CW1 configurations are not set up correctly to handle Bosch requirements</v>
      </c>
      <c r="C82" s="236" t="s">
        <v>33</v>
      </c>
      <c r="D82" s="336" t="s">
        <v>14</v>
      </c>
      <c r="E82" s="337"/>
      <c r="F82" s="338"/>
      <c r="G82" s="234">
        <f>'SC3 Data'!F16</f>
        <v>0.13800000000000001</v>
      </c>
      <c r="H82" s="234">
        <f>'SC3 Data'!K16</f>
        <v>0.13900000000000001</v>
      </c>
      <c r="I82" s="234">
        <f>'SC3 Data'!P16</f>
        <v>3.9E-2</v>
      </c>
      <c r="J82" s="234">
        <f>'SC3 Data'!U16</f>
        <v>4.4999999999999998E-2</v>
      </c>
      <c r="K82" s="234">
        <f>'SC3 Data'!Z16</f>
        <v>7.4074074074074098E-2</v>
      </c>
      <c r="L82" s="234">
        <f>'SC3 Data'!AE16</f>
        <v>2.564102564102564E-2</v>
      </c>
      <c r="M82" s="248">
        <f>'SC3 Data'!AJ16</f>
        <v>0.12195121951219499</v>
      </c>
      <c r="N82" s="277">
        <f t="shared" si="1"/>
        <v>0.21465378824728401</v>
      </c>
      <c r="O82" s="277">
        <f t="shared" si="2"/>
        <v>0.3412915541349143</v>
      </c>
      <c r="P82" s="277">
        <f t="shared" si="3"/>
        <v>0.50963850266498822</v>
      </c>
      <c r="Q82" s="277">
        <f t="shared" si="4"/>
        <v>0.71640505367981133</v>
      </c>
      <c r="R82" s="277">
        <f t="shared" si="5"/>
        <v>0.98400572857715929</v>
      </c>
      <c r="S82" s="235">
        <f t="shared" si="6"/>
        <v>0.27905507887762099</v>
      </c>
      <c r="T82" s="278">
        <v>1.6</v>
      </c>
      <c r="U82" s="30"/>
      <c r="V82" s="30"/>
    </row>
    <row r="83" spans="1:22" ht="17.25" customHeight="1">
      <c r="A83" s="232">
        <f>'Mapping Prob-Root'!A67</f>
        <v>66</v>
      </c>
      <c r="B83" s="233" t="str">
        <f>'Mapping Prob-Root'!O67</f>
        <v>SC3 – S54 - Actual - Not received because CW1 configurations are not set up correctly to handle Bosch requirements</v>
      </c>
      <c r="C83" s="236" t="s">
        <v>33</v>
      </c>
      <c r="D83" s="336" t="s">
        <v>16</v>
      </c>
      <c r="E83" s="337"/>
      <c r="F83" s="338"/>
      <c r="G83" s="234">
        <f>'SC3 Data'!G16</f>
        <v>6.9000000000000006E-2</v>
      </c>
      <c r="H83" s="234">
        <f>'SC3 Data'!L16</f>
        <v>0.13900000000000001</v>
      </c>
      <c r="I83" s="234">
        <f>'SC3 Data'!Q16</f>
        <v>0</v>
      </c>
      <c r="J83" s="234">
        <f>'SC3 Data'!V16</f>
        <v>4.4999999999999998E-2</v>
      </c>
      <c r="K83" s="234">
        <f>'SC3 Data'!AA16</f>
        <v>5.5555555555555601E-2</v>
      </c>
      <c r="L83" s="234">
        <f>'SC3 Data'!AF16</f>
        <v>2.564102564102564E-2</v>
      </c>
      <c r="M83" s="248">
        <f>'SC3 Data'!AK16</f>
        <v>7.3170731707317097E-2</v>
      </c>
      <c r="N83" s="277">
        <f t="shared" ref="N83:N99" si="7">(AVERAGE(IF((M83-L83)&lt;0,-(M83-L83),(M83-L83)),IF((L83-K83)&lt;0,-(L83-K83),(L83-K83)),IF((K83-J83)&lt;0,-(K83-J83),(K83-J83)))*$T83)+M83</f>
        <v>0.12890393301368921</v>
      </c>
      <c r="O83" s="277">
        <f t="shared" ref="O83:O99" si="8">(AVERAGE(IF((N83-M83)&lt;0,-(N83-M83),(N83-M83)),IF((M83-L83)&lt;0,-(M83-L83),(M83-L83)),IF((L83-K83)&lt;0,-(L83-K83),(L83-K83)))*$T83)+N83</f>
        <v>0.21324964329557847</v>
      </c>
      <c r="P83" s="277">
        <f t="shared" ref="P83:P99" si="9">(AVERAGE(IF((O83-N83)&lt;0,-(O83-N83),(O83-N83)),IF((N83-M83)&lt;0,-(N83-M83),(N83-M83)),IF((M83-L83)&lt;0,-(M83-L83),(M83-L83)))*$T83)+O83</f>
        <v>0.33206843447679524</v>
      </c>
      <c r="Q83" s="277">
        <f t="shared" ref="Q83:Q99" si="10">(AVERAGE(IF((P83-O83)&lt;0,-(P83-O83),(P83-O83)),IF((O83-N83)&lt;0,-(O83-N83),(O83-N83)),IF((N83-M83)&lt;0,-(N83-M83),(N83-M83)))*$T83)+P83</f>
        <v>0.4960369795641314</v>
      </c>
      <c r="R83" s="277">
        <f t="shared" ref="R83:R99" si="11">(AVERAGE(IF((Q83-P83)&lt;0,-(Q83-P83),(Q83-P83)),IF((P83-O83)&lt;0,-(P83-O83),(P83-O83)),IF((O83-N83)&lt;0,-(O83-N83),(O83-N83)))*$T83)+Q83</f>
        <v>0.72855457571274473</v>
      </c>
      <c r="S83" s="235">
        <f t="shared" ref="S83:S99" si="12">AVERAGE(G83:R83)</f>
        <v>0.19218173991390311</v>
      </c>
      <c r="T83" s="278">
        <v>1.9</v>
      </c>
      <c r="U83" s="30"/>
      <c r="V83" s="30"/>
    </row>
    <row r="84" spans="1:22" ht="17.25" customHeight="1">
      <c r="A84" s="232">
        <f>'Mapping Prob-Root'!A68</f>
        <v>67</v>
      </c>
      <c r="B84" s="233" t="str">
        <f>'Mapping Prob-Root'!O68</f>
        <v>SC3 – S51 - Actual - Not received because CW1 configurations are not set up correctly to handle Bosch requirements</v>
      </c>
      <c r="C84" s="236" t="s">
        <v>33</v>
      </c>
      <c r="D84" s="336" t="s">
        <v>14</v>
      </c>
      <c r="E84" s="337"/>
      <c r="F84" s="338"/>
      <c r="G84" s="234">
        <f>'SC3 Data'!F17</f>
        <v>0.41099999999999998</v>
      </c>
      <c r="H84" s="234">
        <f>'SC3 Data'!K17</f>
        <v>0.42599999999999999</v>
      </c>
      <c r="I84" s="234">
        <f>'SC3 Data'!P17</f>
        <v>0.312</v>
      </c>
      <c r="J84" s="234">
        <f>'SC3 Data'!U17</f>
        <v>0.39900000000000002</v>
      </c>
      <c r="K84" s="234">
        <f>'SC3 Data'!Z17</f>
        <v>0.42857142857142899</v>
      </c>
      <c r="L84" s="234">
        <f>'SC3 Data'!AE17</f>
        <v>0.31333333333333335</v>
      </c>
      <c r="M84" s="248">
        <f>'SC3 Data'!AJ17</f>
        <v>0.22307692307692301</v>
      </c>
      <c r="N84" s="277">
        <f t="shared" si="7"/>
        <v>0.32493882783882816</v>
      </c>
      <c r="O84" s="277">
        <f t="shared" si="8"/>
        <v>0.45812660561660634</v>
      </c>
      <c r="P84" s="277">
        <f t="shared" si="9"/>
        <v>0.59909257916158021</v>
      </c>
      <c r="Q84" s="277">
        <f t="shared" si="10"/>
        <v>0.76203269679826502</v>
      </c>
      <c r="R84" s="277">
        <f t="shared" si="11"/>
        <v>0.95144004001402105</v>
      </c>
      <c r="S84" s="235">
        <f t="shared" si="12"/>
        <v>0.46738436953424883</v>
      </c>
      <c r="T84" s="281">
        <v>1.3</v>
      </c>
      <c r="U84" s="30"/>
      <c r="V84" s="30"/>
    </row>
    <row r="85" spans="1:22" ht="17.25" customHeight="1">
      <c r="A85" s="232">
        <f>'Mapping Prob-Root'!A69</f>
        <v>68</v>
      </c>
      <c r="B85" s="233" t="str">
        <f>'Mapping Prob-Root'!O69</f>
        <v>SC3 – S51 - Actual - Not received because CW1 configurations are not set up correctly to handle Bosch requirements</v>
      </c>
      <c r="C85" s="236" t="s">
        <v>33</v>
      </c>
      <c r="D85" s="336" t="s">
        <v>16</v>
      </c>
      <c r="E85" s="337"/>
      <c r="F85" s="338"/>
      <c r="G85" s="234">
        <f>'SC3 Data'!G17</f>
        <v>8.4000000000000005E-2</v>
      </c>
      <c r="H85" s="234">
        <f>'SC3 Data'!L17</f>
        <v>7.0000000000000007E-2</v>
      </c>
      <c r="I85" s="234">
        <f>'SC3 Data'!Q17</f>
        <v>5.6000000000000001E-2</v>
      </c>
      <c r="J85" s="234">
        <f>'SC3 Data'!V17</f>
        <v>0.27500000000000002</v>
      </c>
      <c r="K85" s="234">
        <f>'SC3 Data'!AA17</f>
        <v>0.37414965986394599</v>
      </c>
      <c r="L85" s="234">
        <f>'SC3 Data'!AF17</f>
        <v>0.28000000000000003</v>
      </c>
      <c r="M85" s="248">
        <f>'SC3 Data'!AK17</f>
        <v>0.19230769230769201</v>
      </c>
      <c r="N85" s="277">
        <f t="shared" si="7"/>
        <v>0.29533795569509869</v>
      </c>
      <c r="O85" s="277">
        <f t="shared" si="8"/>
        <v>0.3997911070411076</v>
      </c>
      <c r="P85" s="277">
        <f t="shared" si="9"/>
        <v>0.50802220526387287</v>
      </c>
      <c r="Q85" s="277">
        <f t="shared" si="10"/>
        <v>0.62378419334780588</v>
      </c>
      <c r="R85" s="277">
        <f t="shared" si="11"/>
        <v>0.7442144804871319</v>
      </c>
      <c r="S85" s="235">
        <f t="shared" si="12"/>
        <v>0.3252172745005546</v>
      </c>
      <c r="T85" s="278">
        <v>1.1000000000000001</v>
      </c>
      <c r="U85" s="30"/>
      <c r="V85" s="30"/>
    </row>
    <row r="86" spans="1:22" ht="17.25" customHeight="1">
      <c r="A86" s="232">
        <f>'Mapping Prob-Root'!A70</f>
        <v>69</v>
      </c>
      <c r="B86" s="233" t="str">
        <f>'Mapping Prob-Root'!O70</f>
        <v>SC3 – S13 - Actual - Not received because Manual milestones not updated on time by Operators due to lack of resources</v>
      </c>
      <c r="C86" s="236" t="s">
        <v>33</v>
      </c>
      <c r="D86" s="336" t="s">
        <v>14</v>
      </c>
      <c r="E86" s="337"/>
      <c r="F86" s="338"/>
      <c r="G86" s="234">
        <f>'SC3 Data'!F18</f>
        <v>8.2000000000000003E-2</v>
      </c>
      <c r="H86" s="234">
        <f>'SC3 Data'!K18</f>
        <v>0.183</v>
      </c>
      <c r="I86" s="234">
        <f>'SC3 Data'!P18</f>
        <v>0.41399999999999998</v>
      </c>
      <c r="J86" s="234">
        <f>'SC3 Data'!U18</f>
        <v>0.59599999999999997</v>
      </c>
      <c r="K86" s="234">
        <f>'SC3 Data'!Z18</f>
        <v>0.80327868852458995</v>
      </c>
      <c r="L86" s="234">
        <f>'SC3 Data'!AE18</f>
        <v>0.84259259259259256</v>
      </c>
      <c r="M86" s="248">
        <f>'SC3 Data'!AJ18</f>
        <v>0.90140845070422504</v>
      </c>
      <c r="N86" s="277">
        <f t="shared" si="7"/>
        <v>0.92176901408450673</v>
      </c>
      <c r="O86" s="277">
        <f t="shared" si="8"/>
        <v>0.92966836912183448</v>
      </c>
      <c r="P86" s="277">
        <f t="shared" si="9"/>
        <v>0.9354734208904506</v>
      </c>
      <c r="Q86" s="277">
        <f t="shared" si="10"/>
        <v>0.93774441890286564</v>
      </c>
      <c r="R86" s="277">
        <f t="shared" si="11"/>
        <v>0.93880944589075621</v>
      </c>
      <c r="S86" s="235">
        <f t="shared" si="12"/>
        <v>0.70714536672598516</v>
      </c>
      <c r="T86" s="278">
        <v>0.2</v>
      </c>
      <c r="U86" s="30"/>
      <c r="V86" s="30"/>
    </row>
    <row r="87" spans="1:22" ht="17.25" customHeight="1">
      <c r="A87" s="232">
        <f>'Mapping Prob-Root'!A71</f>
        <v>70</v>
      </c>
      <c r="B87" s="233" t="str">
        <f>'Mapping Prob-Root'!O71</f>
        <v>SC3 – S13 - Actual - Not received because Manual milestones not updated on time by Operators due to lack of resources</v>
      </c>
      <c r="C87" s="236" t="s">
        <v>33</v>
      </c>
      <c r="D87" s="336" t="s">
        <v>16</v>
      </c>
      <c r="E87" s="337"/>
      <c r="F87" s="338"/>
      <c r="G87" s="234">
        <f>'SC3 Data'!G18</f>
        <v>6.2E-2</v>
      </c>
      <c r="H87" s="234">
        <f>'SC3 Data'!L18</f>
        <v>0.17299999999999999</v>
      </c>
      <c r="I87" s="234">
        <f>'SC3 Data'!Q18</f>
        <v>0.36499999999999999</v>
      </c>
      <c r="J87" s="234">
        <f>'SC3 Data'!V18</f>
        <v>0.54500000000000004</v>
      </c>
      <c r="K87" s="234">
        <f>'SC3 Data'!AA18</f>
        <v>0.72131147540983598</v>
      </c>
      <c r="L87" s="234">
        <f>'SC3 Data'!AF18</f>
        <v>0.78703703703703709</v>
      </c>
      <c r="M87" s="248">
        <f>'SC3 Data'!AK18</f>
        <v>0.84037558685446001</v>
      </c>
      <c r="N87" s="277">
        <f t="shared" si="7"/>
        <v>0.85022143974960862</v>
      </c>
      <c r="O87" s="277">
        <f t="shared" si="8"/>
        <v>0.85451843856093435</v>
      </c>
      <c r="P87" s="277">
        <f t="shared" si="9"/>
        <v>0.8567678186117309</v>
      </c>
      <c r="Q87" s="277">
        <f t="shared" si="10"/>
        <v>0.8573142263369733</v>
      </c>
      <c r="R87" s="277">
        <f t="shared" si="11"/>
        <v>0.85755065255655216</v>
      </c>
      <c r="S87" s="235">
        <f t="shared" si="12"/>
        <v>0.64750805625976104</v>
      </c>
      <c r="T87" s="278">
        <v>0.1</v>
      </c>
      <c r="U87" s="30"/>
      <c r="V87" s="30"/>
    </row>
    <row r="88" spans="1:22" ht="17.25" customHeight="1">
      <c r="A88" s="232">
        <f>'Mapping Prob-Root'!A72</f>
        <v>71</v>
      </c>
      <c r="B88" s="233" t="str">
        <f>'Mapping Prob-Root'!O72</f>
        <v>SC3 – S45 - Actual - Not received because The HBL div mode is changed after receiving</v>
      </c>
      <c r="C88" s="236" t="s">
        <v>29</v>
      </c>
      <c r="D88" s="336" t="s">
        <v>11</v>
      </c>
      <c r="E88" s="337"/>
      <c r="F88" s="338"/>
      <c r="G88" s="234">
        <f>'SC3 Data'!F19</f>
        <v>0.36899999999999999</v>
      </c>
      <c r="H88" s="234">
        <f>'SC3 Data'!K19</f>
        <v>0.27900000000000003</v>
      </c>
      <c r="I88" s="234">
        <f>'SC3 Data'!P19</f>
        <v>0.40600000000000003</v>
      </c>
      <c r="J88" s="234">
        <f>'SC3 Data'!U19</f>
        <v>0.46800000000000003</v>
      </c>
      <c r="K88" s="234">
        <f>'SC3 Data'!Z19</f>
        <v>0.440944881889764</v>
      </c>
      <c r="L88" s="234">
        <f>'SC3 Data'!AE19</f>
        <v>0.46086956521739131</v>
      </c>
      <c r="M88" s="248">
        <f>'SC3 Data'!AJ19</f>
        <v>0.42553191489361702</v>
      </c>
      <c r="N88" s="277">
        <f t="shared" si="7"/>
        <v>0.4749223859505996</v>
      </c>
      <c r="O88" s="277">
        <f t="shared" si="8"/>
        <v>0.53771406877563011</v>
      </c>
      <c r="P88" s="277">
        <f t="shared" si="9"/>
        <v>0.62622595129910252</v>
      </c>
      <c r="Q88" s="277">
        <f t="shared" si="10"/>
        <v>0.74664237314239379</v>
      </c>
      <c r="R88" s="277">
        <f t="shared" si="11"/>
        <v>0.90967436545747027</v>
      </c>
      <c r="S88" s="235">
        <f t="shared" si="12"/>
        <v>0.51204379221883078</v>
      </c>
      <c r="T88" s="278">
        <v>1.8</v>
      </c>
      <c r="U88" s="276"/>
      <c r="V88" s="30"/>
    </row>
    <row r="89" spans="1:22" ht="17.25" customHeight="1">
      <c r="A89" s="232">
        <f>'Mapping Prob-Root'!A73</f>
        <v>72</v>
      </c>
      <c r="B89" s="233" t="str">
        <f>'Mapping Prob-Root'!O73</f>
        <v>SC3 – S45 - Actual - Not received because The HBL div mode is changed after receiving</v>
      </c>
      <c r="C89" s="236" t="s">
        <v>29</v>
      </c>
      <c r="D89" s="336" t="s">
        <v>12</v>
      </c>
      <c r="E89" s="337"/>
      <c r="F89" s="338"/>
      <c r="G89" s="234">
        <f>'SC3 Data'!G19</f>
        <v>0.36899999999999999</v>
      </c>
      <c r="H89" s="234">
        <f>'SC3 Data'!L19</f>
        <v>0.27900000000000003</v>
      </c>
      <c r="I89" s="234">
        <f>'SC3 Data'!Q19</f>
        <v>0.39600000000000002</v>
      </c>
      <c r="J89" s="234">
        <f>'SC3 Data'!V19</f>
        <v>0.45200000000000001</v>
      </c>
      <c r="K89" s="234">
        <f>'SC3 Data'!AA19</f>
        <v>0.41732283464566899</v>
      </c>
      <c r="L89" s="234">
        <f>'SC3 Data'!AF19</f>
        <v>0.42608695652173911</v>
      </c>
      <c r="M89" s="248">
        <f>'SC3 Data'!AK19</f>
        <v>0.38297872340425498</v>
      </c>
      <c r="N89" s="277">
        <f t="shared" si="7"/>
        <v>0.42625348357819759</v>
      </c>
      <c r="O89" s="277">
        <f t="shared" si="8"/>
        <v>0.47382704116194602</v>
      </c>
      <c r="P89" s="277">
        <f t="shared" si="9"/>
        <v>0.54080531659953357</v>
      </c>
      <c r="Q89" s="277">
        <f t="shared" si="10"/>
        <v>0.61971861319717281</v>
      </c>
      <c r="R89" s="277">
        <f t="shared" si="11"/>
        <v>0.71645117800666047</v>
      </c>
      <c r="S89" s="235">
        <f t="shared" si="12"/>
        <v>0.45828701225959773</v>
      </c>
      <c r="T89" s="278">
        <v>1.5</v>
      </c>
      <c r="U89" s="30"/>
      <c r="V89" s="30"/>
    </row>
    <row r="90" spans="1:22" ht="17.25" customHeight="1">
      <c r="A90" s="232">
        <f>'Mapping Prob-Root'!A74</f>
        <v>73</v>
      </c>
      <c r="B90" s="233" t="str">
        <f>'Mapping Prob-Root'!O74</f>
        <v>SC3 – S45 - Estimated - Not received because The HBL div mode is changed after receiving</v>
      </c>
      <c r="C90" s="236" t="s">
        <v>29</v>
      </c>
      <c r="D90" s="336" t="s">
        <v>11</v>
      </c>
      <c r="E90" s="337"/>
      <c r="F90" s="338"/>
      <c r="G90" s="234">
        <f>'SC3 Data'!F20</f>
        <v>9.0999999999999998E-2</v>
      </c>
      <c r="H90" s="234">
        <f>'SC3 Data'!K20</f>
        <v>0.25</v>
      </c>
      <c r="I90" s="234">
        <f>'SC3 Data'!P20</f>
        <v>0.375</v>
      </c>
      <c r="J90" s="234">
        <f>'SC3 Data'!U20</f>
        <v>0.51400000000000001</v>
      </c>
      <c r="K90" s="234">
        <f>'SC3 Data'!Z20</f>
        <v>0.61764705882352899</v>
      </c>
      <c r="L90" s="234">
        <f>'SC3 Data'!AE20</f>
        <v>0.65116279069767447</v>
      </c>
      <c r="M90" s="248">
        <f>'SC3 Data'!AJ20</f>
        <v>0.47826086956521702</v>
      </c>
      <c r="N90" s="277">
        <f t="shared" si="7"/>
        <v>0.5712802831142566</v>
      </c>
      <c r="O90" s="277">
        <f t="shared" si="8"/>
        <v>0.6611114030809494</v>
      </c>
      <c r="P90" s="277">
        <f t="shared" si="9"/>
        <v>0.76783713947540633</v>
      </c>
      <c r="Q90" s="277">
        <f t="shared" si="10"/>
        <v>0.85471002044846311</v>
      </c>
      <c r="R90" s="277">
        <f t="shared" si="11"/>
        <v>0.93973894164872507</v>
      </c>
      <c r="S90" s="235">
        <f t="shared" si="12"/>
        <v>0.56431237557118508</v>
      </c>
      <c r="T90" s="278">
        <v>0.9</v>
      </c>
      <c r="U90" s="276"/>
      <c r="V90" s="30"/>
    </row>
    <row r="91" spans="1:22" ht="17.25" customHeight="1">
      <c r="A91" s="232">
        <f>'Mapping Prob-Root'!A75</f>
        <v>74</v>
      </c>
      <c r="B91" s="233" t="str">
        <f>'Mapping Prob-Root'!O75</f>
        <v>SC3 – S45 - Estimated - Not received because The HBL div mode is changed after receiving</v>
      </c>
      <c r="C91" s="236" t="s">
        <v>29</v>
      </c>
      <c r="D91" s="336" t="s">
        <v>12</v>
      </c>
      <c r="E91" s="337"/>
      <c r="F91" s="338"/>
      <c r="G91" s="234">
        <f>'SC3 Data'!G20</f>
        <v>9.0999999999999998E-2</v>
      </c>
      <c r="H91" s="234">
        <f>'SC3 Data'!L20</f>
        <v>0.25</v>
      </c>
      <c r="I91" s="234">
        <f>'SC3 Data'!Q20</f>
        <v>0.375</v>
      </c>
      <c r="J91" s="234">
        <f>'SC3 Data'!V20</f>
        <v>0.45900000000000002</v>
      </c>
      <c r="K91" s="234">
        <f>'SC3 Data'!AA20</f>
        <v>0.58823529411764697</v>
      </c>
      <c r="L91" s="234">
        <f>'SC3 Data'!AF20</f>
        <v>0.58139534883720934</v>
      </c>
      <c r="M91" s="248">
        <f>'SC3 Data'!AK20</f>
        <v>0.45652173913043498</v>
      </c>
      <c r="N91" s="277">
        <f t="shared" si="7"/>
        <v>0.52610809889173071</v>
      </c>
      <c r="O91" s="277">
        <f t="shared" si="8"/>
        <v>0.57978807615799943</v>
      </c>
      <c r="P91" s="277">
        <f t="shared" si="9"/>
        <v>0.64595872862048975</v>
      </c>
      <c r="Q91" s="277">
        <f t="shared" si="10"/>
        <v>0.69647525915117103</v>
      </c>
      <c r="R91" s="277">
        <f t="shared" si="11"/>
        <v>0.74190650188702179</v>
      </c>
      <c r="S91" s="235">
        <f t="shared" si="12"/>
        <v>0.49928242056614197</v>
      </c>
      <c r="T91" s="278">
        <v>0.8</v>
      </c>
      <c r="U91" s="30"/>
      <c r="V91" s="30"/>
    </row>
    <row r="92" spans="1:22" ht="17.25" customHeight="1">
      <c r="A92" s="232">
        <f>'Mapping Prob-Root'!A76</f>
        <v>75</v>
      </c>
      <c r="B92" s="233" t="str">
        <f>'Mapping Prob-Root'!O76</f>
        <v>SC3 – S05 - Actual - Not received because Milestone is dependent on Manual input and is missed due to Lack of resources</v>
      </c>
      <c r="C92" s="236" t="s">
        <v>33</v>
      </c>
      <c r="D92" s="336" t="s">
        <v>14</v>
      </c>
      <c r="E92" s="337"/>
      <c r="F92" s="338"/>
      <c r="G92" s="234">
        <f>'SC3 Data'!F21</f>
        <v>0.39600000000000002</v>
      </c>
      <c r="H92" s="234">
        <f>'SC3 Data'!K21</f>
        <v>0.52100000000000002</v>
      </c>
      <c r="I92" s="234">
        <f>'SC3 Data'!P21</f>
        <v>0.44</v>
      </c>
      <c r="J92" s="234">
        <f>'SC3 Data'!U21</f>
        <v>0.47799999999999998</v>
      </c>
      <c r="K92" s="234">
        <f>'SC3 Data'!Z21</f>
        <v>0.55426356589147296</v>
      </c>
      <c r="L92" s="234">
        <f>'SC3 Data'!AE21</f>
        <v>0.56730769230769229</v>
      </c>
      <c r="M92" s="248">
        <f>'SC3 Data'!AJ21</f>
        <v>0.64646464646464696</v>
      </c>
      <c r="N92" s="277">
        <f t="shared" si="7"/>
        <v>0.70823501683501755</v>
      </c>
      <c r="O92" s="277">
        <f t="shared" si="8"/>
        <v>0.76469121551431729</v>
      </c>
      <c r="P92" s="277">
        <f t="shared" si="9"/>
        <v>0.83706517402341318</v>
      </c>
      <c r="Q92" s="277">
        <f t="shared" si="10"/>
        <v>0.90695203412829417</v>
      </c>
      <c r="R92" s="277">
        <f t="shared" si="11"/>
        <v>0.97981494046916229</v>
      </c>
      <c r="S92" s="235">
        <f t="shared" si="12"/>
        <v>0.6499828571361681</v>
      </c>
      <c r="T92" s="278">
        <v>1.1000000000000001</v>
      </c>
      <c r="U92" s="30"/>
      <c r="V92" s="30"/>
    </row>
    <row r="93" spans="1:22" ht="17.25" customHeight="1">
      <c r="A93" s="232">
        <f>'Mapping Prob-Root'!A77</f>
        <v>76</v>
      </c>
      <c r="B93" s="233" t="str">
        <f>'Mapping Prob-Root'!O77</f>
        <v>SC3 – S05 - Actual - Not received because Milestone is dependent on Manual input and is missed due to Lack of resources</v>
      </c>
      <c r="C93" s="236" t="s">
        <v>33</v>
      </c>
      <c r="D93" s="336" t="s">
        <v>16</v>
      </c>
      <c r="E93" s="337"/>
      <c r="F93" s="338"/>
      <c r="G93" s="234">
        <f>'SC3 Data'!G21</f>
        <v>0.23499999999999999</v>
      </c>
      <c r="H93" s="234">
        <f>'SC3 Data'!L21</f>
        <v>0.22800000000000001</v>
      </c>
      <c r="I93" s="234">
        <f>'SC3 Data'!Q21</f>
        <v>0.254</v>
      </c>
      <c r="J93" s="234">
        <f>'SC3 Data'!V21</f>
        <v>0.34499999999999997</v>
      </c>
      <c r="K93" s="234">
        <f>'SC3 Data'!AA21</f>
        <v>0.43798449612403101</v>
      </c>
      <c r="L93" s="234">
        <f>'SC3 Data'!AF21</f>
        <v>0.51923076923076927</v>
      </c>
      <c r="M93" s="248">
        <f>'SC3 Data'!AK21</f>
        <v>0.57575757575757602</v>
      </c>
      <c r="N93" s="277">
        <f t="shared" si="7"/>
        <v>0.62960101010101044</v>
      </c>
      <c r="O93" s="277">
        <f t="shared" si="8"/>
        <v>0.67431153002897226</v>
      </c>
      <c r="P93" s="277">
        <f t="shared" si="9"/>
        <v>0.71049704088188625</v>
      </c>
      <c r="Q93" s="277">
        <f t="shared" si="10"/>
        <v>0.74193624941089198</v>
      </c>
      <c r="R93" s="277">
        <f t="shared" si="11"/>
        <v>0.76814780524986437</v>
      </c>
      <c r="S93" s="235">
        <f t="shared" si="12"/>
        <v>0.50995553973208341</v>
      </c>
      <c r="T93" s="278">
        <v>0.7</v>
      </c>
      <c r="U93" s="30"/>
      <c r="V93" s="30"/>
    </row>
    <row r="94" spans="1:22" ht="17.25" customHeight="1">
      <c r="A94" s="232">
        <f>'Mapping Prob-Root'!A78</f>
        <v>77</v>
      </c>
      <c r="B94" s="233" t="str">
        <f>'Mapping Prob-Root'!O78</f>
        <v>SC3 – S31 - Actual - Not received because Milestone is dependent on Manual input and is missed due to Lack of resources</v>
      </c>
      <c r="C94" s="236" t="s">
        <v>29</v>
      </c>
      <c r="D94" s="336" t="s">
        <v>11</v>
      </c>
      <c r="E94" s="337"/>
      <c r="F94" s="338"/>
      <c r="G94" s="234">
        <f>'SC3 Data'!F22</f>
        <v>0.42199999999999999</v>
      </c>
      <c r="H94" s="234">
        <f>'SC3 Data'!K22</f>
        <v>0.57499999999999996</v>
      </c>
      <c r="I94" s="234">
        <f>'SC3 Data'!P22</f>
        <v>0.54</v>
      </c>
      <c r="J94" s="234">
        <f>'SC3 Data'!U22</f>
        <v>0.58299999999999996</v>
      </c>
      <c r="K94" s="234">
        <f>'SC3 Data'!Z22</f>
        <v>0.56589147286821695</v>
      </c>
      <c r="L94" s="234">
        <f>'SC3 Data'!AE22</f>
        <v>0.57371794871794868</v>
      </c>
      <c r="M94" s="248">
        <f>'SC3 Data'!AJ22</f>
        <v>0.60606060606060597</v>
      </c>
      <c r="N94" s="277">
        <f t="shared" si="7"/>
        <v>0.64042720225510918</v>
      </c>
      <c r="O94" s="277">
        <f t="shared" si="8"/>
        <v>0.6851486398872445</v>
      </c>
      <c r="P94" s="277">
        <f t="shared" si="9"/>
        <v>0.752007054588822</v>
      </c>
      <c r="Q94" s="277">
        <f t="shared" si="10"/>
        <v>0.8395749237057516</v>
      </c>
      <c r="R94" s="277">
        <f t="shared" si="11"/>
        <v>0.95906355657613707</v>
      </c>
      <c r="S94" s="235">
        <f t="shared" si="12"/>
        <v>0.64515761705498631</v>
      </c>
      <c r="T94" s="278">
        <v>1.8</v>
      </c>
      <c r="U94" s="276"/>
      <c r="V94" s="30"/>
    </row>
    <row r="95" spans="1:22" ht="17.25" customHeight="1">
      <c r="A95" s="232">
        <f>'Mapping Prob-Root'!A79</f>
        <v>78</v>
      </c>
      <c r="B95" s="233" t="str">
        <f>'Mapping Prob-Root'!O79</f>
        <v>SC3 – S31 - Actual - Not received because Milestone is dependent on Manual input and is missed due to Lack of resources</v>
      </c>
      <c r="C95" s="236" t="s">
        <v>29</v>
      </c>
      <c r="D95" s="336" t="s">
        <v>12</v>
      </c>
      <c r="E95" s="337"/>
      <c r="F95" s="338"/>
      <c r="G95" s="234">
        <f>'SC3 Data'!G22</f>
        <v>0.14399999999999999</v>
      </c>
      <c r="H95" s="234">
        <f>'SC3 Data'!L22</f>
        <v>0.154</v>
      </c>
      <c r="I95" s="234">
        <f>'SC3 Data'!Q22</f>
        <v>0.10100000000000001</v>
      </c>
      <c r="J95" s="234">
        <f>'SC3 Data'!V22</f>
        <v>9.4E-2</v>
      </c>
      <c r="K95" s="234">
        <f>'SC3 Data'!AA22</f>
        <v>0.127906976744186</v>
      </c>
      <c r="L95" s="234">
        <f>'SC3 Data'!AF22</f>
        <v>0.1891025641025641</v>
      </c>
      <c r="M95" s="248">
        <f>'SC3 Data'!AK22</f>
        <v>0.14141414141414099</v>
      </c>
      <c r="N95" s="277">
        <f t="shared" si="7"/>
        <v>0.21280963480963461</v>
      </c>
      <c r="O95" s="277">
        <f t="shared" si="8"/>
        <v>0.30294938653078202</v>
      </c>
      <c r="P95" s="277">
        <f t="shared" si="9"/>
        <v>0.40756122043331411</v>
      </c>
      <c r="Q95" s="277">
        <f t="shared" si="10"/>
        <v>0.54063475994290067</v>
      </c>
      <c r="R95" s="277">
        <f t="shared" si="11"/>
        <v>0.70454732250953367</v>
      </c>
      <c r="S95" s="235">
        <f t="shared" si="12"/>
        <v>0.25999383387392133</v>
      </c>
      <c r="T95" s="278">
        <v>1.5</v>
      </c>
      <c r="U95" s="30"/>
      <c r="V95" s="30"/>
    </row>
    <row r="96" spans="1:22" ht="17.25" customHeight="1">
      <c r="A96" s="232">
        <f>'Mapping Prob-Root'!A80</f>
        <v>79</v>
      </c>
      <c r="B96" s="233" t="str">
        <f>'Mapping Prob-Root'!O80</f>
        <v>SC3 – S31 - Estimated - Not received because Milestone is dependent on Manual input and is missed due to Lack of resources</v>
      </c>
      <c r="C96" s="236" t="s">
        <v>29</v>
      </c>
      <c r="D96" s="336" t="s">
        <v>11</v>
      </c>
      <c r="E96" s="337"/>
      <c r="F96" s="338"/>
      <c r="G96" s="234">
        <f>'SC3 Data'!F23</f>
        <v>0.72199999999999998</v>
      </c>
      <c r="H96" s="234">
        <f>'SC3 Data'!K23</f>
        <v>0.76400000000000001</v>
      </c>
      <c r="I96" s="234">
        <f>'SC3 Data'!P23</f>
        <v>0.69399999999999995</v>
      </c>
      <c r="J96" s="234">
        <f>'SC3 Data'!U23</f>
        <v>0.70899999999999996</v>
      </c>
      <c r="K96" s="234">
        <f>'SC3 Data'!Z23</f>
        <v>0.67054263565891503</v>
      </c>
      <c r="L96" s="234">
        <f>'SC3 Data'!AE23</f>
        <v>0.64743589743589747</v>
      </c>
      <c r="M96" s="248">
        <f>'SC3 Data'!AJ23</f>
        <v>0.65656565656565702</v>
      </c>
      <c r="N96" s="277">
        <f t="shared" si="7"/>
        <v>0.69662551152551222</v>
      </c>
      <c r="O96" s="277">
        <f t="shared" si="8"/>
        <v>0.7375934445026705</v>
      </c>
      <c r="P96" s="277">
        <f t="shared" si="9"/>
        <v>0.78868272117384186</v>
      </c>
      <c r="Q96" s="277">
        <f t="shared" si="10"/>
        <v>0.86354905778514657</v>
      </c>
      <c r="R96" s="277">
        <f t="shared" si="11"/>
        <v>0.95813906733227272</v>
      </c>
      <c r="S96" s="235">
        <f t="shared" si="12"/>
        <v>0.74234449933165958</v>
      </c>
      <c r="T96" s="278">
        <v>1.7</v>
      </c>
      <c r="U96" s="276"/>
      <c r="V96" s="30"/>
    </row>
    <row r="97" spans="1:22" ht="17.25" customHeight="1">
      <c r="A97" s="232">
        <f>'Mapping Prob-Root'!A81</f>
        <v>80</v>
      </c>
      <c r="B97" s="233" t="str">
        <f>'Mapping Prob-Root'!O81</f>
        <v>SC3 – S31 - Estimated - Not received because Milestone is dependent on Manual input and is missed due to Lack of resources</v>
      </c>
      <c r="C97" s="236" t="s">
        <v>29</v>
      </c>
      <c r="D97" s="336" t="s">
        <v>12</v>
      </c>
      <c r="E97" s="337"/>
      <c r="F97" s="338"/>
      <c r="G97" s="234">
        <f>'SC3 Data'!G23</f>
        <v>0.57799999999999996</v>
      </c>
      <c r="H97" s="234">
        <f>'SC3 Data'!L23</f>
        <v>0.58699999999999997</v>
      </c>
      <c r="I97" s="234">
        <f>'SC3 Data'!Q23</f>
        <v>0.504</v>
      </c>
      <c r="J97" s="234">
        <f>'SC3 Data'!V23</f>
        <v>0.46800000000000003</v>
      </c>
      <c r="K97" s="234">
        <f>'SC3 Data'!AA23</f>
        <v>0.484496124031008</v>
      </c>
      <c r="L97" s="234">
        <f>'SC3 Data'!AF23</f>
        <v>0.45192307692307693</v>
      </c>
      <c r="M97" s="248">
        <f>'SC3 Data'!AK23</f>
        <v>0.50168350168350195</v>
      </c>
      <c r="N97" s="277">
        <f t="shared" si="7"/>
        <v>0.53792102017993548</v>
      </c>
      <c r="O97" s="277">
        <f t="shared" si="8"/>
        <v>0.58139704998035835</v>
      </c>
      <c r="P97" s="277">
        <f t="shared" si="9"/>
        <v>0.62887084010136152</v>
      </c>
      <c r="Q97" s="277">
        <f t="shared" si="10"/>
        <v>0.67550619752124341</v>
      </c>
      <c r="R97" s="277">
        <f t="shared" si="11"/>
        <v>0.72595409587972304</v>
      </c>
      <c r="S97" s="235">
        <f t="shared" si="12"/>
        <v>0.56039599219168412</v>
      </c>
      <c r="T97" s="278">
        <v>1.1000000000000001</v>
      </c>
      <c r="U97" s="30"/>
      <c r="V97" s="30"/>
    </row>
    <row r="98" spans="1:22" ht="17.25" customHeight="1">
      <c r="A98" s="232">
        <f>'Mapping Prob-Root'!A82</f>
        <v>81</v>
      </c>
      <c r="B98" s="233" t="str">
        <f>'Mapping Prob-Root'!O82</f>
        <v>SC3 – S55 - Actual - Not received because Milestone is dependent on Manual input and is missed due to Lack of resources</v>
      </c>
      <c r="C98" s="236" t="s">
        <v>33</v>
      </c>
      <c r="D98" s="336" t="s">
        <v>14</v>
      </c>
      <c r="E98" s="337"/>
      <c r="F98" s="338"/>
      <c r="G98" s="234">
        <f>'SC3 Data'!F24</f>
        <v>0.35699999999999998</v>
      </c>
      <c r="H98" s="234">
        <f>'SC3 Data'!K24</f>
        <v>0.66700000000000004</v>
      </c>
      <c r="I98" s="234">
        <f>'SC3 Data'!P24</f>
        <v>0.62</v>
      </c>
      <c r="J98" s="234">
        <f>'SC3 Data'!U24</f>
        <v>0.65600000000000003</v>
      </c>
      <c r="K98" s="234">
        <f>'SC3 Data'!Z24</f>
        <v>0.76923076923076905</v>
      </c>
      <c r="L98" s="234">
        <f>'SC3 Data'!AE24</f>
        <v>0.79220779220779225</v>
      </c>
      <c r="M98" s="248">
        <f>'SC3 Data'!AJ24</f>
        <v>0.6875</v>
      </c>
      <c r="N98" s="277">
        <f t="shared" si="7"/>
        <v>0.75174415584415588</v>
      </c>
      <c r="O98" s="277">
        <f t="shared" si="8"/>
        <v>0.80292521478521495</v>
      </c>
      <c r="P98" s="277">
        <f t="shared" si="9"/>
        <v>0.86162734998335022</v>
      </c>
      <c r="Q98" s="277">
        <f t="shared" si="10"/>
        <v>0.90806130997891032</v>
      </c>
      <c r="R98" s="277">
        <f t="shared" si="11"/>
        <v>0.94974588441484487</v>
      </c>
      <c r="S98" s="235">
        <f t="shared" si="12"/>
        <v>0.73525353970375307</v>
      </c>
      <c r="T98" s="278">
        <v>0.8</v>
      </c>
      <c r="U98" s="30"/>
      <c r="V98" s="30"/>
    </row>
    <row r="99" spans="1:22" ht="17.25" customHeight="1">
      <c r="A99" s="232">
        <f>'Mapping Prob-Root'!A83</f>
        <v>82</v>
      </c>
      <c r="B99" s="233" t="str">
        <f>'Mapping Prob-Root'!O83</f>
        <v>SC3 – S55 - Actual - Not received because Milestone is dependent on Manual input and is missed due to Lack of resources</v>
      </c>
      <c r="C99" s="236" t="s">
        <v>33</v>
      </c>
      <c r="D99" s="336" t="s">
        <v>16</v>
      </c>
      <c r="E99" s="337"/>
      <c r="F99" s="338"/>
      <c r="G99" s="234">
        <f>'SC3 Data'!G24</f>
        <v>0.25</v>
      </c>
      <c r="H99" s="234">
        <f>'SC3 Data'!L24</f>
        <v>0.55600000000000005</v>
      </c>
      <c r="I99" s="234">
        <f>'SC3 Data'!Q24</f>
        <v>0.52</v>
      </c>
      <c r="J99" s="234">
        <f>'SC3 Data'!V24</f>
        <v>0.625</v>
      </c>
      <c r="K99" s="234">
        <f>'SC3 Data'!AA24</f>
        <v>0.76923076923076905</v>
      </c>
      <c r="L99" s="234">
        <f>'SC3 Data'!AF24</f>
        <v>0.77922077922077926</v>
      </c>
      <c r="M99" s="248">
        <f>'SC3 Data'!AK24</f>
        <v>0.67500000000000004</v>
      </c>
      <c r="N99" s="277">
        <f t="shared" si="7"/>
        <v>0.70945887445887446</v>
      </c>
      <c r="O99" s="277">
        <f t="shared" si="8"/>
        <v>0.7292814962814963</v>
      </c>
      <c r="P99" s="277">
        <f t="shared" si="9"/>
        <v>0.75041513301513307</v>
      </c>
      <c r="Q99" s="277">
        <f t="shared" si="10"/>
        <v>0.76047048408381746</v>
      </c>
      <c r="R99" s="277">
        <f t="shared" si="11"/>
        <v>0.76727203203380989</v>
      </c>
      <c r="S99" s="235">
        <f t="shared" si="12"/>
        <v>0.65761246402705664</v>
      </c>
      <c r="T99" s="278">
        <v>0.4</v>
      </c>
      <c r="U99" s="30"/>
      <c r="V99" s="30"/>
    </row>
    <row r="100" spans="1:22">
      <c r="A100" s="232">
        <f>'Mapping Prob-Root'!A84</f>
        <v>83</v>
      </c>
      <c r="B100" s="233" t="str">
        <f>'Mapping Prob-Root'!O84</f>
        <v>SC4 – S07 - Estimates are not received 7 days before of the Actual event - Not received because CW1 lacks chronological sequence validation</v>
      </c>
      <c r="C100" s="236" t="s">
        <v>33</v>
      </c>
      <c r="D100" s="252" t="s">
        <v>17</v>
      </c>
      <c r="E100" s="253"/>
      <c r="F100" s="254"/>
      <c r="G100" s="234">
        <v>0.223</v>
      </c>
      <c r="H100" s="234">
        <v>0.38600000000000001</v>
      </c>
      <c r="I100" s="234">
        <v>0.40300000000000002</v>
      </c>
      <c r="J100" s="234">
        <v>0.434</v>
      </c>
      <c r="K100" s="234">
        <v>0.435</v>
      </c>
      <c r="L100" s="234">
        <v>0.622</v>
      </c>
      <c r="M100" s="234">
        <v>0.39200000000000002</v>
      </c>
      <c r="N100" s="277">
        <f>(AVERAGE(IF((M100-L100)&lt;0,-(M100-L100),(M100-L100)),IF((L100-K100)&lt;0,-(L100-K100),(L100-K100)),IF((K100-J100)&lt;0,-(K100-J100),(K100-J100)))*$T100)+M100</f>
        <v>0.47560000000000002</v>
      </c>
      <c r="O100" s="277">
        <f>(AVERAGE(IF((N100-M100)&lt;0,-(N100-M100),(N100-M100)),IF((M100-L100)&lt;0,-(M100-L100),(M100-L100)),IF((L100-K100)&lt;0,-(L100-K100),(L100-K100)))*$T100)+N100</f>
        <v>0.57572000000000001</v>
      </c>
      <c r="P100" s="277">
        <f>(AVERAGE(IF((O100-N100)&lt;0,-(O100-N100),(O100-N100)),IF((N100-M100)&lt;0,-(N100-M100),(N100-M100)),IF((M100-L100)&lt;0,-(M100-L100),(M100-L100)))*$T100)+O100</f>
        <v>0.65846399999999994</v>
      </c>
      <c r="Q100" s="277">
        <f>(AVERAGE(IF((P100-O100)&lt;0,-(P100-O100),(P100-O100)),IF((O100-N100)&lt;0,-(O100-N100),(O100-N100)),IF((N100-M100)&lt;0,-(N100-M100),(N100-M100)))*$T100)+P100</f>
        <v>0.71175679999999997</v>
      </c>
      <c r="R100" s="277">
        <f>(AVERAGE(IF((Q100-P100)&lt;0,-(Q100-P100),(Q100-P100)),IF((P100-O100)&lt;0,-(P100-O100),(P100-O100)),IF((O100-N100)&lt;0,-(O100-N100),(O100-N100)))*$T100)+Q100</f>
        <v>0.75898815999999991</v>
      </c>
      <c r="S100" s="235">
        <f>AVERAGE(G100:R100)</f>
        <v>0.50629407999999998</v>
      </c>
      <c r="T100" s="278">
        <v>0.6</v>
      </c>
      <c r="U100" s="30"/>
      <c r="V100" s="30"/>
    </row>
    <row r="101" spans="1:22">
      <c r="A101" s="232">
        <f>'Mapping Prob-Root'!A85</f>
        <v>84</v>
      </c>
      <c r="B101" s="233" t="str">
        <f>'Mapping Prob-Root'!O85</f>
        <v>SC3 – S07 - Estimates are not received 7 days before of the Actual event - Not received because CW1 lacks chronological sequence validation</v>
      </c>
      <c r="C101" s="236" t="s">
        <v>33</v>
      </c>
      <c r="D101" s="252" t="s">
        <v>17</v>
      </c>
      <c r="E101" s="253"/>
      <c r="F101" s="254"/>
      <c r="G101" s="287" t="s">
        <v>15</v>
      </c>
      <c r="H101" s="287" t="s">
        <v>15</v>
      </c>
      <c r="I101" s="287" t="s">
        <v>15</v>
      </c>
      <c r="J101" s="287" t="s">
        <v>15</v>
      </c>
      <c r="K101" s="287" t="s">
        <v>15</v>
      </c>
      <c r="L101" s="287" t="s">
        <v>15</v>
      </c>
      <c r="M101" s="287" t="s">
        <v>15</v>
      </c>
      <c r="N101" s="287" t="s">
        <v>15</v>
      </c>
      <c r="O101" s="287" t="s">
        <v>15</v>
      </c>
      <c r="P101" s="287" t="s">
        <v>15</v>
      </c>
      <c r="Q101" s="287" t="s">
        <v>15</v>
      </c>
      <c r="R101" s="287" t="s">
        <v>15</v>
      </c>
      <c r="S101" s="235"/>
      <c r="T101" s="279"/>
      <c r="U101" s="30"/>
      <c r="V101" s="30"/>
    </row>
    <row r="102" spans="1:22">
      <c r="A102" s="232">
        <f>'Mapping Prob-Root'!A86</f>
        <v>85</v>
      </c>
      <c r="B102" s="233" t="str">
        <f>'Mapping Prob-Root'!O86</f>
        <v>SC4 – S31 - Estimates are not received 7 days before of the Actual event - Not received because CW1 lacks chronological sequence validation</v>
      </c>
      <c r="C102" s="236" t="s">
        <v>33</v>
      </c>
      <c r="D102" s="252" t="s">
        <v>30</v>
      </c>
      <c r="E102" s="253"/>
      <c r="F102" s="254"/>
      <c r="G102" s="234">
        <v>4.3999999999999997E-2</v>
      </c>
      <c r="H102" s="234">
        <v>0.13200000000000001</v>
      </c>
      <c r="I102" s="234">
        <v>7.0000000000000007E-2</v>
      </c>
      <c r="J102" s="234">
        <v>0.115</v>
      </c>
      <c r="K102" s="234">
        <v>0.125</v>
      </c>
      <c r="L102" s="234">
        <v>0.17399999999999999</v>
      </c>
      <c r="M102" s="234">
        <v>0.17399999999999999</v>
      </c>
      <c r="N102" s="277">
        <f>(AVERAGE(IF((M102-L102)&lt;0,-(M102-L102),(M102-L102)),IF((L102-K102)&lt;0,-(L102-K102),(L102-K102)),IF((K102-J102)&lt;0,-(K102-J102),(K102-J102)))*$T102)+M102</f>
        <v>0.21726666666666666</v>
      </c>
      <c r="O102" s="277">
        <f>(AVERAGE(IF((N102-M102)&lt;0,-(N102-M102),(N102-M102)),IF((M102-L102)&lt;0,-(M102-L102),(M102-L102)),IF((L102-K102)&lt;0,-(L102-K102),(L102-K102)))*$T102)+N102</f>
        <v>0.2849288888888889</v>
      </c>
      <c r="P102" s="277">
        <f>(AVERAGE(IF((O102-N102)&lt;0,-(O102-N102),(O102-N102)),IF((N102-M102)&lt;0,-(N102-M102),(N102-M102)),IF((M102-L102)&lt;0,-(M102-L102),(M102-L102)))*$T102)+O102</f>
        <v>0.36627674074074079</v>
      </c>
      <c r="Q102" s="277">
        <f>(AVERAGE(IF((P102-O102)&lt;0,-(P102-O102),(P102-O102)),IF((O102-N102)&lt;0,-(O102-N102),(O102-N102)),IF((N102-M102)&lt;0,-(N102-M102),(N102-M102)))*$T102)+P102</f>
        <v>0.5072796839506174</v>
      </c>
      <c r="R102" s="277">
        <f>(AVERAGE(IF((Q102-P102)&lt;0,-(Q102-P102),(Q102-P102)),IF((P102-O102)&lt;0,-(P102-O102),(P102-O102)),IF((O102-N102)&lt;0,-(O102-N102),(O102-N102)))*$T102)+Q102</f>
        <v>0.71995589662551462</v>
      </c>
      <c r="S102" s="235">
        <f>AVERAGE(G102:R102)</f>
        <v>0.24414232307270237</v>
      </c>
      <c r="T102" s="278">
        <v>2.2000000000000002</v>
      </c>
      <c r="U102" s="30"/>
      <c r="V102" s="30"/>
    </row>
    <row r="103" spans="1:22">
      <c r="A103" s="232">
        <f>'Mapping Prob-Root'!A87</f>
        <v>86</v>
      </c>
      <c r="B103" s="233" t="str">
        <f>'Mapping Prob-Root'!O87</f>
        <v>SC3 – S31 - Estimates are not received 7 days before of the Actual event - Not received because CW1 lacks chronological sequence validation</v>
      </c>
      <c r="C103" s="236" t="s">
        <v>33</v>
      </c>
      <c r="D103" s="336" t="s">
        <v>30</v>
      </c>
      <c r="E103" s="337"/>
      <c r="F103" s="338"/>
      <c r="G103" s="287" t="s">
        <v>15</v>
      </c>
      <c r="H103" s="287" t="s">
        <v>15</v>
      </c>
      <c r="I103" s="287" t="s">
        <v>15</v>
      </c>
      <c r="J103" s="287" t="s">
        <v>15</v>
      </c>
      <c r="K103" s="287" t="s">
        <v>15</v>
      </c>
      <c r="L103" s="287" t="s">
        <v>15</v>
      </c>
      <c r="M103" s="287" t="s">
        <v>15</v>
      </c>
      <c r="N103" s="287" t="s">
        <v>15</v>
      </c>
      <c r="O103" s="287" t="s">
        <v>15</v>
      </c>
      <c r="P103" s="287" t="s">
        <v>15</v>
      </c>
      <c r="Q103" s="287" t="s">
        <v>15</v>
      </c>
      <c r="R103" s="287" t="s">
        <v>15</v>
      </c>
      <c r="S103" s="235"/>
      <c r="T103" s="279"/>
      <c r="U103" s="30"/>
      <c r="V103" s="30"/>
    </row>
    <row r="104" spans="1:22" ht="14">
      <c r="A104" s="232">
        <v>87</v>
      </c>
      <c r="B104" s="237" t="s">
        <v>700</v>
      </c>
      <c r="C104" s="236" t="s">
        <v>29</v>
      </c>
      <c r="D104" s="252" t="s">
        <v>36</v>
      </c>
      <c r="E104" s="253"/>
      <c r="F104" s="254"/>
      <c r="G104" s="249">
        <v>0.71399999999999997</v>
      </c>
      <c r="H104" s="239">
        <v>0.63800000000000001</v>
      </c>
      <c r="I104" s="249">
        <v>0.72</v>
      </c>
      <c r="J104" s="249">
        <v>0.70199999999999996</v>
      </c>
      <c r="K104" s="249">
        <v>0.67900000000000005</v>
      </c>
      <c r="L104" s="249">
        <v>0.752</v>
      </c>
      <c r="M104" s="249">
        <v>0.77700000000000002</v>
      </c>
      <c r="N104" s="277">
        <f>(AVERAGE(IF((M104-L104)&lt;0,-(M104-L104),(M104-L104)),IF((L104-K104)&lt;0,-(L104-K104),(L104-K104)),IF((K104-J104)&lt;0,-(K104-J104),(K104-J104)))*$T104)+M104</f>
        <v>0.80926666666666669</v>
      </c>
      <c r="O104" s="277">
        <f t="shared" ref="O104:Q104" si="13">(AVERAGE(IF((N104-M104)&lt;0,-(N104-M104),(N104-M104)),IF((M104-L104)&lt;0,-(M104-L104),(M104-L104)),IF((L104-K104)&lt;0,-(L104-K104),(L104-K104)))*$T104)+N104</f>
        <v>0.84400444444444445</v>
      </c>
      <c r="P104" s="277">
        <f t="shared" si="13"/>
        <v>0.86853896296296296</v>
      </c>
      <c r="Q104" s="277">
        <f t="shared" si="13"/>
        <v>0.89294935308641976</v>
      </c>
      <c r="R104" s="277">
        <f>(AVERAGE(IF((Q104-P104)&lt;0,-(Q104-P104),(Q104-P104)),IF((P104-O104)&lt;0,-(P104-O104),(P104-O104)),IF((O104-N104)&lt;0,-(O104-N104),(O104-N104)))*$T104)+Q104</f>
        <v>0.91526473613168724</v>
      </c>
      <c r="S104" s="235">
        <f>AVERAGE(G104:R104)</f>
        <v>0.77600201360768184</v>
      </c>
      <c r="T104" s="278">
        <v>0.8</v>
      </c>
      <c r="U104" s="30"/>
      <c r="V104" s="30"/>
    </row>
    <row r="105" spans="1:22" ht="17.25" customHeight="1">
      <c r="A105" s="232">
        <v>88</v>
      </c>
      <c r="B105" s="237" t="s">
        <v>701</v>
      </c>
      <c r="C105" s="236" t="s">
        <v>33</v>
      </c>
      <c r="D105" s="336" t="s">
        <v>39</v>
      </c>
      <c r="E105" s="337"/>
      <c r="F105" s="338"/>
      <c r="G105" s="287" t="s">
        <v>15</v>
      </c>
      <c r="H105" s="287" t="s">
        <v>15</v>
      </c>
      <c r="I105" s="287" t="s">
        <v>15</v>
      </c>
      <c r="J105" s="287" t="s">
        <v>15</v>
      </c>
      <c r="K105" s="287" t="s">
        <v>15</v>
      </c>
      <c r="L105" s="287" t="s">
        <v>15</v>
      </c>
      <c r="M105" s="287" t="s">
        <v>15</v>
      </c>
      <c r="N105" s="287" t="s">
        <v>15</v>
      </c>
      <c r="O105" s="287" t="s">
        <v>15</v>
      </c>
      <c r="P105" s="287" t="s">
        <v>15</v>
      </c>
      <c r="Q105" s="287" t="s">
        <v>15</v>
      </c>
      <c r="R105" s="287" t="s">
        <v>15</v>
      </c>
      <c r="S105" s="235"/>
      <c r="T105" s="279"/>
      <c r="U105" s="30"/>
      <c r="V105" s="30"/>
    </row>
    <row r="106" spans="1:22" ht="28">
      <c r="A106" s="232">
        <v>89</v>
      </c>
      <c r="B106" s="237" t="s">
        <v>593</v>
      </c>
      <c r="C106" s="236" t="s">
        <v>33</v>
      </c>
      <c r="D106" s="336" t="s">
        <v>481</v>
      </c>
      <c r="E106" s="337"/>
      <c r="F106" s="338"/>
      <c r="G106" s="288">
        <v>0.25559999999999999</v>
      </c>
      <c r="H106" s="288">
        <v>0.17080000000000001</v>
      </c>
      <c r="I106" s="288">
        <v>0.14879999999999999</v>
      </c>
      <c r="J106" s="288">
        <v>0.14549999999999999</v>
      </c>
      <c r="K106" s="288">
        <v>0.1245</v>
      </c>
      <c r="L106" s="288">
        <v>7.0800000000000002E-2</v>
      </c>
      <c r="M106" s="288">
        <v>0.1019</v>
      </c>
      <c r="N106" s="277">
        <f>(AVERAGE(IF((M106-L106)&lt;0,-(M106-L106),(M106-L106)),IF((L106-K106)&lt;0,-(L106-K106),(L106-K106)),IF((K106-J106)&lt;0,-(K106-J106),(K106-J106)))*$T106)+M106</f>
        <v>8.7793333333333334E-2</v>
      </c>
      <c r="O106" s="277">
        <f t="shared" ref="O106:R106" si="14">(AVERAGE(IF((N106-M106)&lt;0,-(N106-M106),(N106-M106)),IF((M106-L106)&lt;0,-(M106-L106),(M106-L106)),IF((L106-K106)&lt;0,-(L106-K106),(L106-K106)))*$T106)+N106</f>
        <v>7.4605777777777771E-2</v>
      </c>
      <c r="P106" s="277">
        <f t="shared" si="14"/>
        <v>6.6819881481481477E-2</v>
      </c>
      <c r="Q106" s="277">
        <f t="shared" si="14"/>
        <v>6.2142532345679007E-2</v>
      </c>
      <c r="R106" s="277">
        <f t="shared" si="14"/>
        <v>5.8722425547325097E-2</v>
      </c>
      <c r="S106" s="235">
        <f>AVERAGE(G106:R106)</f>
        <v>0.11399866254046641</v>
      </c>
      <c r="T106" s="278">
        <v>-0.4</v>
      </c>
      <c r="U106" s="30"/>
      <c r="V106" s="30"/>
    </row>
    <row r="107" spans="1:22">
      <c r="A107" s="232"/>
      <c r="B107" s="237"/>
      <c r="C107" s="236"/>
      <c r="D107" s="336"/>
      <c r="E107" s="337"/>
      <c r="F107" s="338"/>
      <c r="G107" s="238"/>
      <c r="H107" s="238"/>
      <c r="I107" s="239"/>
      <c r="J107" s="240"/>
      <c r="K107" s="240"/>
      <c r="L107" s="240"/>
      <c r="M107" s="240"/>
      <c r="N107" s="275"/>
      <c r="O107" s="275"/>
      <c r="P107" s="275"/>
      <c r="Q107" s="275"/>
      <c r="R107" s="235"/>
      <c r="S107" s="235"/>
      <c r="T107" s="279"/>
      <c r="U107" s="30"/>
      <c r="V107" s="30"/>
    </row>
    <row r="108" spans="1:22" ht="17.25" customHeight="1">
      <c r="A108" s="232"/>
      <c r="B108" s="237"/>
      <c r="C108" s="236"/>
      <c r="D108" s="336"/>
      <c r="E108" s="337"/>
      <c r="F108" s="338"/>
      <c r="G108" s="250"/>
      <c r="H108" s="250"/>
      <c r="I108" s="250"/>
      <c r="J108" s="250"/>
      <c r="K108" s="250"/>
      <c r="L108" s="250"/>
      <c r="M108" s="250"/>
      <c r="N108" s="275"/>
      <c r="O108" s="275"/>
      <c r="P108" s="275"/>
      <c r="Q108" s="275"/>
      <c r="R108" s="235"/>
      <c r="S108" s="235"/>
      <c r="T108" s="279"/>
      <c r="U108" s="30"/>
      <c r="V108" s="30"/>
    </row>
    <row r="109" spans="1:22" ht="17.25" customHeight="1">
      <c r="A109" s="232"/>
      <c r="B109" s="237"/>
      <c r="C109" s="236"/>
      <c r="D109" s="336"/>
      <c r="E109" s="337"/>
      <c r="F109" s="338"/>
      <c r="G109" s="234"/>
      <c r="H109" s="234"/>
      <c r="I109" s="234"/>
      <c r="J109" s="234"/>
      <c r="K109" s="234"/>
      <c r="L109" s="234"/>
      <c r="M109" s="234"/>
      <c r="N109" s="240"/>
      <c r="O109" s="240"/>
      <c r="P109" s="240"/>
      <c r="Q109" s="240"/>
      <c r="R109" s="235"/>
      <c r="S109" s="235"/>
      <c r="T109" s="279"/>
      <c r="U109" s="30"/>
      <c r="V109" s="30"/>
    </row>
    <row r="110" spans="1:22" ht="17.25" customHeight="1">
      <c r="A110" s="232"/>
      <c r="B110" s="237"/>
      <c r="C110" s="236"/>
      <c r="D110" s="336"/>
      <c r="E110" s="337"/>
      <c r="F110" s="338"/>
      <c r="G110" s="234"/>
      <c r="H110" s="234"/>
      <c r="I110" s="234"/>
      <c r="J110" s="234"/>
      <c r="K110" s="234"/>
      <c r="L110" s="234"/>
      <c r="M110" s="234"/>
      <c r="N110" s="240"/>
      <c r="O110" s="240"/>
      <c r="P110" s="240"/>
      <c r="Q110" s="240"/>
      <c r="R110" s="240"/>
      <c r="S110" s="235"/>
      <c r="T110" s="279"/>
      <c r="U110" s="30"/>
      <c r="V110" s="30"/>
    </row>
    <row r="111" spans="1:22" ht="17.25" customHeight="1">
      <c r="A111" s="232"/>
      <c r="B111" s="237"/>
      <c r="C111" s="236"/>
      <c r="D111" s="241"/>
      <c r="E111" s="242"/>
      <c r="F111" s="243"/>
      <c r="G111" s="238"/>
      <c r="H111" s="238"/>
      <c r="I111" s="239"/>
      <c r="J111" s="240"/>
      <c r="K111" s="240"/>
      <c r="L111" s="240"/>
      <c r="M111" s="240"/>
      <c r="N111" s="240"/>
      <c r="O111" s="240"/>
      <c r="P111" s="240"/>
      <c r="Q111" s="240"/>
      <c r="R111" s="240"/>
      <c r="S111" s="235"/>
      <c r="T111" s="279"/>
      <c r="U111" s="30"/>
      <c r="V111" s="30"/>
    </row>
    <row r="112" spans="1:22" ht="17.25" customHeight="1">
      <c r="A112" s="232"/>
      <c r="B112" s="237"/>
      <c r="C112" s="236"/>
      <c r="D112" s="336"/>
      <c r="E112" s="337"/>
      <c r="F112" s="338"/>
      <c r="G112" s="250"/>
      <c r="H112" s="250"/>
      <c r="I112" s="250"/>
      <c r="J112" s="250"/>
      <c r="K112" s="250"/>
      <c r="L112" s="250"/>
      <c r="M112" s="250"/>
      <c r="N112" s="240"/>
      <c r="O112" s="240"/>
      <c r="P112" s="240"/>
      <c r="Q112" s="240"/>
      <c r="R112" s="240"/>
      <c r="S112" s="235"/>
      <c r="T112" s="279"/>
      <c r="U112" s="30"/>
      <c r="V112" s="30"/>
    </row>
    <row r="113" spans="1:24">
      <c r="A113" s="232"/>
      <c r="B113" s="237"/>
      <c r="C113" s="236"/>
      <c r="D113" s="336"/>
      <c r="E113" s="337"/>
      <c r="F113" s="338"/>
      <c r="G113" s="249"/>
      <c r="H113" s="239"/>
      <c r="I113" s="249"/>
      <c r="J113" s="249"/>
      <c r="K113" s="249"/>
      <c r="L113" s="249"/>
      <c r="M113" s="249"/>
      <c r="N113" s="240"/>
      <c r="O113" s="240"/>
      <c r="P113" s="240"/>
      <c r="Q113" s="240"/>
      <c r="R113" s="240"/>
      <c r="S113" s="235"/>
      <c r="T113" s="279"/>
      <c r="U113" s="30"/>
      <c r="V113" s="30"/>
    </row>
    <row r="114" spans="1:24">
      <c r="A114" s="232"/>
      <c r="B114" s="237"/>
      <c r="C114" s="236"/>
      <c r="D114" s="336"/>
      <c r="E114" s="337"/>
      <c r="F114" s="338"/>
      <c r="G114" s="238"/>
      <c r="H114" s="238"/>
      <c r="I114" s="239"/>
      <c r="J114" s="240"/>
      <c r="K114" s="240"/>
      <c r="L114" s="240"/>
      <c r="M114" s="240"/>
      <c r="N114" s="240"/>
      <c r="O114" s="240"/>
      <c r="P114" s="240"/>
      <c r="Q114" s="240"/>
      <c r="R114" s="240"/>
      <c r="S114" s="235"/>
      <c r="T114" s="279"/>
      <c r="U114" s="30"/>
      <c r="V114" s="30"/>
    </row>
    <row r="115" spans="1:24">
      <c r="A115" s="232"/>
      <c r="B115" s="237"/>
      <c r="C115" s="236"/>
      <c r="D115" s="336"/>
      <c r="E115" s="337"/>
      <c r="F115" s="338"/>
      <c r="G115" s="250"/>
      <c r="H115" s="250"/>
      <c r="I115" s="250"/>
      <c r="J115" s="250"/>
      <c r="K115" s="250"/>
      <c r="L115" s="250"/>
      <c r="M115" s="250"/>
      <c r="N115" s="240"/>
      <c r="O115" s="240"/>
      <c r="P115" s="240"/>
      <c r="Q115" s="240"/>
      <c r="R115" s="240"/>
      <c r="S115" s="235"/>
      <c r="T115" s="279"/>
      <c r="U115" s="30"/>
      <c r="V115" s="30"/>
    </row>
    <row r="116" spans="1:24" ht="17.25" customHeight="1">
      <c r="A116" s="202"/>
      <c r="B116" s="198"/>
      <c r="C116" s="201"/>
      <c r="D116" s="354"/>
      <c r="E116" s="354"/>
      <c r="F116" s="354"/>
      <c r="G116" s="200"/>
      <c r="H116" s="200"/>
      <c r="I116" s="200"/>
      <c r="J116" s="100"/>
      <c r="K116" s="100"/>
      <c r="L116" s="100"/>
      <c r="M116" s="100"/>
      <c r="N116" s="100"/>
      <c r="O116" s="100"/>
      <c r="P116" s="100"/>
      <c r="Q116" s="100"/>
      <c r="R116" s="100"/>
      <c r="S116" s="215"/>
      <c r="T116" s="279"/>
      <c r="U116" s="30"/>
      <c r="V116" s="30"/>
    </row>
    <row r="117" spans="1:24" ht="17.25" customHeight="1">
      <c r="A117" s="202"/>
      <c r="B117" s="198"/>
      <c r="C117" s="201"/>
      <c r="D117" s="354"/>
      <c r="E117" s="354"/>
      <c r="F117" s="354"/>
      <c r="G117" s="200"/>
      <c r="H117" s="200"/>
      <c r="I117" s="200"/>
      <c r="J117" s="100"/>
      <c r="K117" s="100"/>
      <c r="L117" s="100"/>
      <c r="M117" s="100"/>
      <c r="N117" s="100"/>
      <c r="O117" s="100"/>
      <c r="P117" s="100"/>
      <c r="Q117" s="100"/>
      <c r="R117" s="100"/>
      <c r="S117" s="215"/>
      <c r="T117" s="279"/>
      <c r="U117" s="30"/>
      <c r="V117" s="30"/>
    </row>
    <row r="118" spans="1:24" ht="17.25" customHeight="1">
      <c r="A118" s="202"/>
      <c r="B118" s="198"/>
      <c r="C118" s="201"/>
      <c r="D118" s="354"/>
      <c r="E118" s="354"/>
      <c r="F118" s="354"/>
      <c r="G118" s="200"/>
      <c r="H118" s="200"/>
      <c r="I118" s="200"/>
      <c r="J118" s="100"/>
      <c r="K118" s="100"/>
      <c r="L118" s="100"/>
      <c r="M118" s="100"/>
      <c r="N118" s="100"/>
      <c r="O118" s="100"/>
      <c r="P118" s="100"/>
      <c r="Q118" s="100"/>
      <c r="R118" s="100"/>
      <c r="S118" s="215"/>
      <c r="T118" s="279"/>
      <c r="U118" s="30"/>
      <c r="V118" s="30"/>
    </row>
    <row r="119" spans="1:24" ht="17.25" customHeight="1">
      <c r="A119" s="202"/>
      <c r="B119" s="198"/>
      <c r="C119" s="201"/>
      <c r="D119" s="354"/>
      <c r="E119" s="354"/>
      <c r="F119" s="354"/>
      <c r="G119" s="200"/>
      <c r="H119" s="200"/>
      <c r="I119" s="200"/>
      <c r="J119" s="100"/>
      <c r="K119" s="100"/>
      <c r="L119" s="100"/>
      <c r="M119" s="100"/>
      <c r="N119" s="100"/>
      <c r="O119" s="100"/>
      <c r="P119" s="100"/>
      <c r="Q119" s="100"/>
      <c r="R119" s="100"/>
      <c r="S119" s="215"/>
      <c r="T119" s="279"/>
      <c r="U119" s="30"/>
      <c r="V119" s="30"/>
    </row>
    <row r="120" spans="1:24" ht="17.25" customHeight="1">
      <c r="A120" s="202"/>
      <c r="B120" s="198"/>
      <c r="C120" s="201"/>
      <c r="D120" s="354"/>
      <c r="E120" s="354"/>
      <c r="F120" s="354"/>
      <c r="G120" s="200"/>
      <c r="H120" s="200"/>
      <c r="I120" s="200"/>
      <c r="J120" s="100"/>
      <c r="K120" s="100"/>
      <c r="L120" s="100"/>
      <c r="M120" s="100"/>
      <c r="N120" s="100"/>
      <c r="O120" s="100"/>
      <c r="P120" s="100"/>
      <c r="Q120" s="100"/>
      <c r="R120" s="100"/>
      <c r="S120" s="215"/>
      <c r="T120" s="279"/>
      <c r="U120" s="30"/>
      <c r="V120" s="30"/>
    </row>
    <row r="121" spans="1:24" ht="17.25" customHeight="1">
      <c r="A121" s="202"/>
      <c r="B121" s="198"/>
      <c r="C121" s="201"/>
      <c r="D121" s="354"/>
      <c r="E121" s="354"/>
      <c r="F121" s="354"/>
      <c r="G121" s="200"/>
      <c r="H121" s="200"/>
      <c r="I121" s="200"/>
      <c r="J121" s="100"/>
      <c r="K121" s="100"/>
      <c r="L121" s="100"/>
      <c r="M121" s="100"/>
      <c r="N121" s="100"/>
      <c r="O121" s="100"/>
      <c r="P121" s="100"/>
      <c r="Q121" s="100"/>
      <c r="R121" s="100"/>
      <c r="S121" s="215"/>
      <c r="T121" s="279"/>
      <c r="U121" s="30"/>
      <c r="V121" s="30"/>
    </row>
    <row r="122" spans="1:24" ht="17.25" customHeight="1">
      <c r="A122" s="202"/>
      <c r="B122" s="198"/>
      <c r="C122" s="201"/>
      <c r="D122" s="354"/>
      <c r="E122" s="354"/>
      <c r="F122" s="354"/>
      <c r="G122" s="200"/>
      <c r="H122" s="200"/>
      <c r="I122" s="200"/>
      <c r="J122" s="100"/>
      <c r="K122" s="100"/>
      <c r="L122" s="100"/>
      <c r="M122" s="100"/>
      <c r="N122" s="100"/>
      <c r="O122" s="100"/>
      <c r="P122" s="100"/>
      <c r="Q122" s="100"/>
      <c r="R122" s="100"/>
      <c r="S122" s="215"/>
      <c r="T122" s="279"/>
      <c r="U122" s="30"/>
      <c r="V122" s="30"/>
    </row>
    <row r="123" spans="1:24" ht="17.25" customHeight="1">
      <c r="A123" s="202"/>
      <c r="B123" s="198"/>
      <c r="C123" s="201"/>
      <c r="D123" s="354"/>
      <c r="E123" s="354"/>
      <c r="F123" s="354"/>
      <c r="G123" s="200"/>
      <c r="H123" s="200"/>
      <c r="I123" s="200"/>
      <c r="J123" s="100"/>
      <c r="K123" s="100"/>
      <c r="L123" s="100"/>
      <c r="M123" s="100"/>
      <c r="N123" s="100"/>
      <c r="O123" s="100"/>
      <c r="P123" s="100"/>
      <c r="Q123" s="100"/>
      <c r="R123" s="100"/>
      <c r="S123" s="215"/>
      <c r="T123" s="279"/>
      <c r="U123" s="30"/>
      <c r="V123" s="30"/>
    </row>
    <row r="124" spans="1:24" ht="17.25" customHeight="1">
      <c r="A124" s="202"/>
      <c r="B124" s="198"/>
      <c r="C124" s="201"/>
      <c r="D124" s="354"/>
      <c r="E124" s="354"/>
      <c r="F124" s="354"/>
      <c r="G124" s="219"/>
      <c r="H124" s="200"/>
      <c r="I124" s="200"/>
      <c r="J124" s="100"/>
      <c r="K124" s="100"/>
      <c r="L124" s="100"/>
      <c r="M124" s="100"/>
      <c r="N124" s="100"/>
      <c r="O124" s="100"/>
      <c r="P124" s="100"/>
      <c r="Q124" s="100"/>
      <c r="R124" s="100"/>
      <c r="S124" s="215"/>
      <c r="T124" s="279"/>
      <c r="U124" s="30"/>
      <c r="V124" s="30"/>
    </row>
    <row r="125" spans="1:24" ht="32.25" customHeight="1">
      <c r="A125" s="202"/>
      <c r="B125" s="198"/>
      <c r="C125" s="201"/>
      <c r="D125" s="354"/>
      <c r="E125" s="354"/>
      <c r="F125" s="354"/>
      <c r="G125" s="199"/>
      <c r="H125" s="200"/>
      <c r="I125" s="200"/>
      <c r="J125" s="100"/>
      <c r="K125" s="100"/>
      <c r="L125" s="100"/>
      <c r="M125" s="100"/>
      <c r="N125" s="100"/>
      <c r="O125" s="100"/>
      <c r="P125" s="100"/>
      <c r="Q125" s="100"/>
      <c r="R125" s="100"/>
      <c r="S125" s="215"/>
      <c r="T125" s="279"/>
      <c r="U125" s="30"/>
      <c r="V125" s="30"/>
    </row>
    <row r="126" spans="1:24" s="55" customFormat="1" ht="30.75" customHeight="1">
      <c r="A126" s="202"/>
      <c r="B126" s="198"/>
      <c r="C126" s="201"/>
      <c r="D126" s="354"/>
      <c r="E126" s="354"/>
      <c r="F126" s="354"/>
      <c r="G126" s="199"/>
      <c r="H126" s="200"/>
      <c r="I126" s="200"/>
      <c r="J126" s="100"/>
      <c r="K126" s="100"/>
      <c r="L126" s="100"/>
      <c r="M126" s="100"/>
      <c r="N126" s="100"/>
      <c r="O126" s="100"/>
      <c r="P126" s="100"/>
      <c r="Q126" s="100"/>
      <c r="R126" s="100"/>
      <c r="S126" s="215"/>
      <c r="T126" s="280"/>
      <c r="U126" s="54"/>
      <c r="V126" s="54"/>
      <c r="X126" s="4"/>
    </row>
    <row r="127" spans="1:24">
      <c r="A127" s="202"/>
      <c r="B127" s="198"/>
      <c r="C127" s="201"/>
      <c r="D127" s="354"/>
      <c r="E127" s="354"/>
      <c r="F127" s="354"/>
      <c r="G127" s="199"/>
      <c r="H127" s="200"/>
      <c r="I127" s="200"/>
      <c r="J127" s="100"/>
      <c r="K127" s="100"/>
      <c r="L127" s="100"/>
      <c r="M127" s="100"/>
      <c r="N127" s="100"/>
      <c r="O127" s="100"/>
      <c r="P127" s="100"/>
      <c r="Q127" s="100"/>
      <c r="R127" s="100"/>
      <c r="S127" s="215"/>
      <c r="T127" s="279"/>
      <c r="U127" s="30"/>
      <c r="V127" s="30"/>
    </row>
    <row r="128" spans="1:24">
      <c r="A128" s="202"/>
      <c r="B128" s="198"/>
      <c r="C128" s="201"/>
      <c r="D128" s="216"/>
      <c r="E128" s="217"/>
      <c r="F128" s="218"/>
      <c r="G128" s="199"/>
      <c r="H128" s="199"/>
      <c r="I128" s="200"/>
      <c r="J128" s="100"/>
      <c r="K128" s="100"/>
      <c r="L128" s="100"/>
      <c r="M128" s="100"/>
      <c r="N128" s="100"/>
      <c r="O128" s="100"/>
      <c r="P128" s="100"/>
      <c r="Q128" s="100"/>
      <c r="R128" s="100"/>
      <c r="S128" s="215"/>
      <c r="T128" s="279"/>
      <c r="U128" s="30"/>
      <c r="V128" s="30"/>
    </row>
    <row r="129" spans="1:24">
      <c r="A129" s="202"/>
      <c r="B129" s="198"/>
      <c r="C129" s="201"/>
      <c r="D129" s="216"/>
      <c r="E129" s="217"/>
      <c r="F129" s="218"/>
      <c r="G129" s="199"/>
      <c r="H129" s="199"/>
      <c r="I129" s="200"/>
      <c r="J129" s="100"/>
      <c r="K129" s="100"/>
      <c r="L129" s="100"/>
      <c r="M129" s="100"/>
      <c r="N129" s="100"/>
      <c r="O129" s="100"/>
      <c r="P129" s="100"/>
      <c r="Q129" s="100"/>
      <c r="R129" s="100"/>
      <c r="S129" s="215"/>
      <c r="T129" s="279"/>
      <c r="U129" s="30"/>
      <c r="V129" s="30"/>
    </row>
    <row r="130" spans="1:24">
      <c r="A130" s="202"/>
      <c r="B130" s="198"/>
      <c r="C130" s="201"/>
      <c r="D130" s="354"/>
      <c r="E130" s="354"/>
      <c r="F130" s="354"/>
      <c r="G130" s="219"/>
      <c r="H130" s="219"/>
      <c r="I130" s="200"/>
      <c r="J130" s="100"/>
      <c r="K130" s="100"/>
      <c r="L130" s="100"/>
      <c r="M130" s="100"/>
      <c r="N130" s="100"/>
      <c r="O130" s="100"/>
      <c r="P130" s="100"/>
      <c r="Q130" s="100"/>
      <c r="R130" s="100"/>
      <c r="S130" s="215"/>
      <c r="T130" s="279"/>
      <c r="U130" s="30"/>
      <c r="V130" s="30"/>
    </row>
    <row r="131" spans="1:24" ht="17.25" customHeight="1">
      <c r="A131" s="202"/>
      <c r="B131" s="198"/>
      <c r="C131" s="201"/>
      <c r="D131" s="354"/>
      <c r="E131" s="354"/>
      <c r="F131" s="354"/>
      <c r="G131" s="219"/>
      <c r="H131" s="219"/>
      <c r="I131" s="219"/>
      <c r="J131" s="100"/>
      <c r="K131" s="100"/>
      <c r="L131" s="100"/>
      <c r="M131" s="100"/>
      <c r="N131" s="100"/>
      <c r="O131" s="100"/>
      <c r="P131" s="100"/>
      <c r="Q131" s="100"/>
      <c r="R131" s="100"/>
      <c r="S131" s="215"/>
      <c r="T131" s="279"/>
      <c r="U131" s="30"/>
      <c r="V131" s="30"/>
    </row>
    <row r="132" spans="1:24">
      <c r="A132" s="202"/>
      <c r="B132" s="198"/>
      <c r="C132" s="201"/>
      <c r="D132" s="354"/>
      <c r="E132" s="354"/>
      <c r="F132" s="354"/>
      <c r="G132" s="199"/>
      <c r="H132" s="199"/>
      <c r="I132" s="199"/>
      <c r="J132" s="57"/>
      <c r="K132" s="57"/>
      <c r="L132" s="38"/>
      <c r="M132" s="38"/>
      <c r="N132" s="38"/>
      <c r="O132" s="57"/>
      <c r="P132" s="57"/>
      <c r="Q132" s="38"/>
      <c r="R132" s="37"/>
      <c r="S132" s="215"/>
      <c r="T132" s="279"/>
      <c r="U132" s="30"/>
      <c r="V132" s="30"/>
    </row>
    <row r="133" spans="1:24">
      <c r="A133" s="202"/>
      <c r="B133" s="198"/>
      <c r="C133" s="201"/>
      <c r="D133" s="354"/>
      <c r="E133" s="354"/>
      <c r="F133" s="354"/>
      <c r="G133" s="199"/>
      <c r="H133" s="199"/>
      <c r="I133" s="199"/>
      <c r="J133" s="38"/>
      <c r="K133" s="38"/>
      <c r="L133" s="38"/>
      <c r="M133" s="38"/>
      <c r="N133" s="38"/>
      <c r="O133" s="38"/>
      <c r="P133" s="38"/>
      <c r="Q133" s="38"/>
      <c r="R133" s="37"/>
      <c r="S133" s="215"/>
      <c r="T133" s="279"/>
      <c r="U133" s="30"/>
      <c r="V133" s="30"/>
    </row>
    <row r="134" spans="1:24">
      <c r="A134" s="202"/>
      <c r="B134" s="198"/>
      <c r="C134" s="201"/>
      <c r="D134" s="354"/>
      <c r="E134" s="354"/>
      <c r="F134" s="354"/>
      <c r="G134" s="199"/>
      <c r="H134" s="199"/>
      <c r="I134" s="199"/>
      <c r="J134" s="38"/>
      <c r="K134" s="38"/>
      <c r="L134" s="38"/>
      <c r="M134" s="38"/>
      <c r="N134" s="38"/>
      <c r="O134" s="38"/>
      <c r="P134" s="38"/>
      <c r="Q134" s="38"/>
      <c r="R134" s="37"/>
      <c r="S134" s="215"/>
      <c r="T134" s="29"/>
      <c r="U134" s="30"/>
      <c r="V134" s="30"/>
    </row>
    <row r="135" spans="1:24" ht="16.5" customHeight="1" thickBot="1">
      <c r="A135" s="52"/>
      <c r="B135" s="56"/>
      <c r="C135" s="53"/>
      <c r="D135" s="355"/>
      <c r="E135" s="356"/>
      <c r="F135" s="357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7"/>
      <c r="S135" s="215"/>
      <c r="T135" s="29"/>
      <c r="U135" s="30"/>
      <c r="V135" s="30"/>
    </row>
    <row r="136" spans="1:24" ht="15.75" customHeight="1" thickBot="1">
      <c r="A136" s="58"/>
      <c r="B136" s="59"/>
      <c r="C136" s="59"/>
      <c r="D136" s="60"/>
      <c r="E136" s="60"/>
      <c r="F136" s="60"/>
      <c r="G136" s="61"/>
      <c r="H136" s="61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1"/>
      <c r="T136" s="63"/>
      <c r="U136" s="64"/>
      <c r="V136" s="64"/>
    </row>
    <row r="137" spans="1:24" ht="18" customHeight="1">
      <c r="A137" s="368" t="s">
        <v>43</v>
      </c>
      <c r="B137" s="370" t="s">
        <v>44</v>
      </c>
      <c r="C137" s="372" t="s">
        <v>45</v>
      </c>
      <c r="D137" s="372" t="s">
        <v>22</v>
      </c>
      <c r="E137" s="350" t="s">
        <v>10</v>
      </c>
      <c r="F137" s="350"/>
      <c r="G137" s="350"/>
      <c r="H137" s="93"/>
      <c r="I137" s="65"/>
      <c r="J137" s="66"/>
      <c r="K137" s="66"/>
      <c r="L137" s="66"/>
      <c r="M137" s="66"/>
      <c r="N137" s="66"/>
      <c r="O137" s="66"/>
      <c r="P137" s="66"/>
      <c r="Q137" s="66"/>
      <c r="R137" s="66"/>
      <c r="S137" s="341" t="s">
        <v>46</v>
      </c>
      <c r="T137" s="343" t="s">
        <v>47</v>
      </c>
      <c r="U137" s="350" t="s">
        <v>48</v>
      </c>
      <c r="V137" s="352" t="s">
        <v>49</v>
      </c>
      <c r="W137" s="67"/>
    </row>
    <row r="138" spans="1:24" ht="33.75" customHeight="1">
      <c r="A138" s="369"/>
      <c r="B138" s="371"/>
      <c r="C138" s="373"/>
      <c r="D138" s="374"/>
      <c r="E138" s="351"/>
      <c r="F138" s="351"/>
      <c r="G138" s="351"/>
      <c r="H138" s="94"/>
      <c r="I138" s="68" t="s">
        <v>50</v>
      </c>
      <c r="J138" s="68" t="s">
        <v>51</v>
      </c>
      <c r="K138" s="68" t="s">
        <v>52</v>
      </c>
      <c r="L138" s="68" t="s">
        <v>53</v>
      </c>
      <c r="M138" s="68" t="s">
        <v>54</v>
      </c>
      <c r="N138" s="68" t="s">
        <v>55</v>
      </c>
      <c r="O138" s="68" t="s">
        <v>56</v>
      </c>
      <c r="P138" s="68" t="s">
        <v>57</v>
      </c>
      <c r="Q138" s="68" t="s">
        <v>58</v>
      </c>
      <c r="R138" s="68" t="s">
        <v>59</v>
      </c>
      <c r="S138" s="342"/>
      <c r="T138" s="344"/>
      <c r="U138" s="351"/>
      <c r="V138" s="353"/>
      <c r="W138" s="67"/>
    </row>
    <row r="139" spans="1:24" ht="28">
      <c r="A139" s="116">
        <f>Measures!A3</f>
        <v>1</v>
      </c>
      <c r="B139" s="198" t="str">
        <f>Measures!B3</f>
        <v>TS to review and address the data fields completition across Maersk systems (CW1, ALP, Seeburger) causing failures in the EDI delivery of critical milestones to Bosch system</v>
      </c>
      <c r="C139" s="293" t="str">
        <f>Measures!G3</f>
        <v xml:space="preserve">35, 36, 71, 72, 73, 74  </v>
      </c>
      <c r="D139" s="199" t="str">
        <f>Measures!C3</f>
        <v>Completeness</v>
      </c>
      <c r="E139" s="345" t="str">
        <f>Measures!D3</f>
        <v>Maersk ( Akhil)</v>
      </c>
      <c r="F139" s="345"/>
      <c r="G139" s="345"/>
      <c r="H139" s="74"/>
      <c r="I139" s="74"/>
      <c r="J139" s="74" t="s">
        <v>62</v>
      </c>
      <c r="K139" s="74" t="s">
        <v>63</v>
      </c>
      <c r="L139" s="74"/>
      <c r="M139" s="74"/>
      <c r="N139" s="69"/>
      <c r="O139" s="69"/>
      <c r="P139" s="69"/>
      <c r="Q139" s="69"/>
      <c r="R139" s="71"/>
      <c r="S139" s="203" t="s">
        <v>64</v>
      </c>
      <c r="T139" s="72" t="s">
        <v>65</v>
      </c>
      <c r="U139" s="201" t="s">
        <v>66</v>
      </c>
      <c r="V139" s="201" t="s">
        <v>52</v>
      </c>
    </row>
    <row r="140" spans="1:24" s="115" customFormat="1" ht="28">
      <c r="A140" s="116">
        <f>Measures!A4</f>
        <v>2</v>
      </c>
      <c r="B140" s="198" t="str">
        <f>Measures!B4</f>
        <v>TS to review and address the data fields completition across Maersk systems (CW1, ALP, Seeburger) causing failures in the EDI delivery of critical milestones to Bosch system</v>
      </c>
      <c r="C140" s="293" t="str">
        <f>Measures!G4</f>
        <v xml:space="preserve">35, 36, 71, 72, 73, 74  </v>
      </c>
      <c r="D140" s="199" t="str">
        <f>Measures!C4</f>
        <v>Timeliness</v>
      </c>
      <c r="E140" s="345" t="s">
        <v>61</v>
      </c>
      <c r="F140" s="345"/>
      <c r="G140" s="345"/>
      <c r="H140" s="74"/>
      <c r="I140" s="74"/>
      <c r="J140" s="74" t="s">
        <v>62</v>
      </c>
      <c r="K140" s="74" t="s">
        <v>63</v>
      </c>
      <c r="L140" s="74"/>
      <c r="M140" s="74"/>
      <c r="N140" s="127"/>
      <c r="O140" s="127"/>
      <c r="P140" s="127"/>
      <c r="Q140" s="127"/>
      <c r="R140" s="128"/>
      <c r="S140" s="203" t="s">
        <v>67</v>
      </c>
      <c r="T140" s="72" t="s">
        <v>65</v>
      </c>
      <c r="U140" s="201" t="s">
        <v>66</v>
      </c>
      <c r="V140" s="201" t="s">
        <v>52</v>
      </c>
      <c r="X140" s="4"/>
    </row>
    <row r="141" spans="1:24" ht="28">
      <c r="A141" s="116">
        <f>Measures!A5</f>
        <v>3</v>
      </c>
      <c r="B141" s="198" t="str">
        <f>Measures!B5</f>
        <v>Optmise automation flow of ETD / ETA Milestones in operation system (CW1)</v>
      </c>
      <c r="C141" s="293" t="str">
        <f>Measures!G5</f>
        <v xml:space="preserve"> 83, 84, 85, 86 </v>
      </c>
      <c r="D141" s="199" t="str">
        <f>Measures!C5</f>
        <v>ETA accuracy 2P</v>
      </c>
      <c r="E141" s="345" t="s">
        <v>69</v>
      </c>
      <c r="F141" s="345"/>
      <c r="G141" s="345"/>
      <c r="H141" s="74"/>
      <c r="I141" s="74"/>
      <c r="J141" s="69"/>
      <c r="K141" s="74" t="s">
        <v>62</v>
      </c>
      <c r="L141" s="74" t="s">
        <v>63</v>
      </c>
      <c r="M141" s="69"/>
      <c r="N141" s="129"/>
      <c r="O141" s="129"/>
      <c r="P141" s="69"/>
      <c r="Q141" s="69"/>
      <c r="R141" s="69"/>
      <c r="S141" s="203" t="s">
        <v>70</v>
      </c>
      <c r="T141" s="72" t="s">
        <v>65</v>
      </c>
      <c r="U141" s="201" t="s">
        <v>52</v>
      </c>
      <c r="V141" s="201" t="s">
        <v>52</v>
      </c>
    </row>
    <row r="142" spans="1:24" ht="28">
      <c r="A142" s="326">
        <f>Measures!A6</f>
        <v>4</v>
      </c>
      <c r="B142" s="327" t="str">
        <f>Measures!B6</f>
        <v>Ramp up SC3 Volume from 40% to 80%</v>
      </c>
      <c r="C142" s="328" t="str">
        <f>Measures!G6</f>
        <v xml:space="preserve">  87, 88</v>
      </c>
      <c r="D142" s="329" t="str">
        <f>Measures!C6</f>
        <v>Completeness (All)</v>
      </c>
      <c r="E142" s="349" t="s">
        <v>72</v>
      </c>
      <c r="F142" s="349"/>
      <c r="G142" s="349"/>
      <c r="H142" s="330"/>
      <c r="I142" s="330"/>
      <c r="J142" s="331"/>
      <c r="K142" s="330"/>
      <c r="L142" s="330"/>
      <c r="M142" s="331"/>
      <c r="N142" s="332"/>
      <c r="O142" s="332"/>
      <c r="P142" s="331"/>
      <c r="Q142" s="331"/>
      <c r="R142" s="331"/>
      <c r="S142" s="333" t="s">
        <v>73</v>
      </c>
      <c r="T142" s="334"/>
      <c r="U142" s="335"/>
      <c r="V142" s="335"/>
    </row>
    <row r="143" spans="1:24" ht="28">
      <c r="A143" s="326">
        <f>Measures!A7</f>
        <v>5</v>
      </c>
      <c r="B143" s="327" t="str">
        <f>Measures!B7</f>
        <v>Ramp up SC3 Volume from 40% to 80%</v>
      </c>
      <c r="C143" s="328" t="str">
        <f>Measures!G7</f>
        <v xml:space="preserve">  87, 88</v>
      </c>
      <c r="D143" s="329" t="str">
        <f>Measures!C7</f>
        <v>Timeliness (All)</v>
      </c>
      <c r="E143" s="349" t="s">
        <v>72</v>
      </c>
      <c r="F143" s="349"/>
      <c r="G143" s="349"/>
      <c r="H143" s="330"/>
      <c r="I143" s="330"/>
      <c r="J143" s="331"/>
      <c r="K143" s="330"/>
      <c r="L143" s="330"/>
      <c r="M143" s="331"/>
      <c r="N143" s="332"/>
      <c r="O143" s="332"/>
      <c r="P143" s="331"/>
      <c r="Q143" s="331"/>
      <c r="R143" s="331"/>
      <c r="S143" s="333" t="s">
        <v>74</v>
      </c>
      <c r="T143" s="334"/>
      <c r="U143" s="335"/>
      <c r="V143" s="335"/>
    </row>
    <row r="144" spans="1:24" ht="28">
      <c r="A144" s="326">
        <f>Measures!A8</f>
        <v>6</v>
      </c>
      <c r="B144" s="327" t="str">
        <f>Measures!B8</f>
        <v>Ramp up SC3 Volume from 40% to 80%</v>
      </c>
      <c r="C144" s="328" t="str">
        <f>Measures!G8</f>
        <v xml:space="preserve">  87, 88</v>
      </c>
      <c r="D144" s="329" t="str">
        <f>Measures!C8</f>
        <v>Reference Quality</v>
      </c>
      <c r="E144" s="349" t="s">
        <v>72</v>
      </c>
      <c r="F144" s="349"/>
      <c r="G144" s="349"/>
      <c r="H144" s="330"/>
      <c r="I144" s="330"/>
      <c r="J144" s="331"/>
      <c r="K144" s="330"/>
      <c r="L144" s="330"/>
      <c r="M144" s="331"/>
      <c r="N144" s="332"/>
      <c r="O144" s="332"/>
      <c r="P144" s="331"/>
      <c r="Q144" s="331"/>
      <c r="R144" s="331"/>
      <c r="S144" s="333" t="s">
        <v>76</v>
      </c>
      <c r="T144" s="334"/>
      <c r="U144" s="335"/>
      <c r="V144" s="335"/>
    </row>
    <row r="145" spans="1:24" ht="28" customHeight="1">
      <c r="A145" s="116">
        <f>Measures!A9</f>
        <v>7</v>
      </c>
      <c r="B145" s="198" t="str">
        <f>Measures!B9</f>
        <v>Optimise automation flow of ETD / ETA Milestones in operation system (CW1)</v>
      </c>
      <c r="C145" s="293" t="str">
        <f>Measures!G9</f>
        <v xml:space="preserve">19, 20, 21, 22, 23, 24, 25, 26, 57, 58, 59, 60, 61, 62, 63, 64  </v>
      </c>
      <c r="D145" s="199" t="str">
        <f>Measures!C9</f>
        <v>ETA accuracy 2D</v>
      </c>
      <c r="E145" s="345" t="s">
        <v>69</v>
      </c>
      <c r="F145" s="345"/>
      <c r="G145" s="345"/>
      <c r="H145" s="74"/>
      <c r="I145" s="74"/>
      <c r="J145" s="70"/>
      <c r="K145" s="74" t="s">
        <v>62</v>
      </c>
      <c r="L145" s="74" t="s">
        <v>63</v>
      </c>
      <c r="M145" s="69"/>
      <c r="N145" s="69"/>
      <c r="O145" s="69"/>
      <c r="P145" s="69"/>
      <c r="Q145" s="69"/>
      <c r="R145" s="69"/>
      <c r="S145" s="203" t="s">
        <v>64</v>
      </c>
      <c r="T145" s="72" t="s">
        <v>65</v>
      </c>
      <c r="U145" s="201" t="s">
        <v>52</v>
      </c>
      <c r="V145" s="201" t="s">
        <v>52</v>
      </c>
    </row>
    <row r="146" spans="1:24" s="55" customFormat="1" ht="28" customHeight="1">
      <c r="A146" s="116">
        <f>Measures!A10</f>
        <v>8</v>
      </c>
      <c r="B146" s="198" t="str">
        <f>Measures!B10</f>
        <v>Implement Mandatory Field Validation in CW1 , causing EDI faliure</v>
      </c>
      <c r="C146" s="293" t="str">
        <f>Measures!G10</f>
        <v xml:space="preserve">1, 2, 15, 16, 18, 29, 30, 37, 38, 45, 46, 55, 56, 65, 66, 67, 68  </v>
      </c>
      <c r="D146" s="199" t="str">
        <f>Measures!C10</f>
        <v>Timeliness</v>
      </c>
      <c r="E146" s="345" t="s">
        <v>69</v>
      </c>
      <c r="F146" s="345"/>
      <c r="G146" s="345"/>
      <c r="H146" s="74"/>
      <c r="I146" s="74"/>
      <c r="J146" s="70"/>
      <c r="K146" s="74" t="s">
        <v>62</v>
      </c>
      <c r="L146" s="74" t="s">
        <v>63</v>
      </c>
      <c r="M146" s="74"/>
      <c r="N146" s="74"/>
      <c r="O146" s="74"/>
      <c r="P146" s="74"/>
      <c r="Q146" s="74"/>
      <c r="R146" s="74"/>
      <c r="S146" s="203" t="s">
        <v>79</v>
      </c>
      <c r="T146" s="72" t="s">
        <v>65</v>
      </c>
      <c r="U146" s="201" t="s">
        <v>52</v>
      </c>
      <c r="V146" s="201" t="s">
        <v>52</v>
      </c>
      <c r="X146" s="4"/>
    </row>
    <row r="147" spans="1:24" s="55" customFormat="1" ht="28">
      <c r="A147" s="116">
        <f>Measures!A11</f>
        <v>9</v>
      </c>
      <c r="B147" s="198" t="str">
        <f>Measures!B11</f>
        <v>Review Feasibility of Compliance AI Tool Matching Invoice &amp; Delivery Note Numbers</v>
      </c>
      <c r="C147" s="293" t="str">
        <f>Measures!G11</f>
        <v xml:space="preserve">87, 88  </v>
      </c>
      <c r="D147" s="199" t="str">
        <f>Measures!C11</f>
        <v>Reference Quality</v>
      </c>
      <c r="E147" s="345" t="s">
        <v>81</v>
      </c>
      <c r="F147" s="345"/>
      <c r="G147" s="345"/>
      <c r="H147" s="74"/>
      <c r="I147" s="74"/>
      <c r="J147" s="70"/>
      <c r="K147" s="74" t="s">
        <v>62</v>
      </c>
      <c r="L147" s="74" t="s">
        <v>63</v>
      </c>
      <c r="M147" s="70"/>
      <c r="N147" s="74"/>
      <c r="O147" s="74"/>
      <c r="P147" s="74"/>
      <c r="Q147" s="74"/>
      <c r="R147" s="74"/>
      <c r="S147" s="203" t="s">
        <v>82</v>
      </c>
      <c r="T147" s="72" t="s">
        <v>65</v>
      </c>
      <c r="U147" s="201" t="s">
        <v>52</v>
      </c>
      <c r="V147" s="201" t="s">
        <v>52</v>
      </c>
      <c r="X147" s="4"/>
    </row>
    <row r="148" spans="1:24" s="55" customFormat="1" ht="28">
      <c r="A148" s="116">
        <f>Measures!A12</f>
        <v>10</v>
      </c>
      <c r="B148" s="198" t="str">
        <f>Measures!B12</f>
        <v>Review the legacy system shipments flow for the branch in Japan</v>
      </c>
      <c r="C148" s="293" t="str">
        <f>Measures!G12</f>
        <v xml:space="preserve">  1, 2, 15, 16, 18, 29, 30, 37, 38, 45, 46, 55, 56, 65, 66, 67, 68</v>
      </c>
      <c r="D148" s="199" t="str">
        <f>Measures!C12</f>
        <v>Completeness</v>
      </c>
      <c r="E148" s="345" t="s">
        <v>84</v>
      </c>
      <c r="F148" s="345"/>
      <c r="G148" s="345"/>
      <c r="H148" s="74"/>
      <c r="I148" s="74"/>
      <c r="J148" s="70"/>
      <c r="K148" s="74" t="s">
        <v>62</v>
      </c>
      <c r="L148" s="74" t="s">
        <v>63</v>
      </c>
      <c r="M148" s="74"/>
      <c r="N148" s="74"/>
      <c r="O148" s="74"/>
      <c r="P148" s="74"/>
      <c r="Q148" s="74"/>
      <c r="R148" s="74"/>
      <c r="S148" s="203" t="s">
        <v>85</v>
      </c>
      <c r="T148" s="72" t="s">
        <v>65</v>
      </c>
      <c r="U148" s="201" t="s">
        <v>52</v>
      </c>
      <c r="V148" s="201" t="s">
        <v>52</v>
      </c>
      <c r="X148" s="4"/>
    </row>
    <row r="149" spans="1:24" s="55" customFormat="1" ht="28">
      <c r="A149" s="116">
        <f>Measures!A13</f>
        <v>11</v>
      </c>
      <c r="B149" s="198" t="str">
        <f>Measures!B13</f>
        <v xml:space="preserve">Review the legacy system shipments flow for the branch in Japan </v>
      </c>
      <c r="C149" s="293" t="str">
        <f>Measures!G13</f>
        <v xml:space="preserve"> 1, 2, 15, 16, 18, 29, 30, 37, 38, 45, 46, 55, 56, 65, 66, 67, 68 </v>
      </c>
      <c r="D149" s="199" t="str">
        <f>Measures!C13</f>
        <v>Timeliness</v>
      </c>
      <c r="E149" s="345" t="s">
        <v>84</v>
      </c>
      <c r="F149" s="345"/>
      <c r="G149" s="345"/>
      <c r="H149" s="74"/>
      <c r="I149" s="74"/>
      <c r="J149" s="70"/>
      <c r="K149" s="74" t="s">
        <v>62</v>
      </c>
      <c r="L149" s="74" t="s">
        <v>63</v>
      </c>
      <c r="M149" s="74"/>
      <c r="N149" s="74"/>
      <c r="O149" s="74"/>
      <c r="P149" s="74"/>
      <c r="Q149" s="74"/>
      <c r="R149" s="74"/>
      <c r="S149" s="203" t="s">
        <v>85</v>
      </c>
      <c r="T149" s="72" t="s">
        <v>65</v>
      </c>
      <c r="U149" s="201" t="s">
        <v>52</v>
      </c>
      <c r="V149" s="201" t="s">
        <v>52</v>
      </c>
      <c r="X149" s="4"/>
    </row>
    <row r="150" spans="1:24" s="55" customFormat="1" ht="28">
      <c r="A150" s="116">
        <f>Measures!A14</f>
        <v>12</v>
      </c>
      <c r="B150" s="198" t="str">
        <f>Measures!B14</f>
        <v>Add Plausibility Measures into the Control Tower Dashboard</v>
      </c>
      <c r="C150" s="293" t="str">
        <f>Measures!G14</f>
        <v xml:space="preserve">  83, 84, 85, 86</v>
      </c>
      <c r="D150" s="199" t="str">
        <f>Measures!C14</f>
        <v>Plausability</v>
      </c>
      <c r="E150" s="345" t="s">
        <v>88</v>
      </c>
      <c r="F150" s="345"/>
      <c r="G150" s="345"/>
      <c r="H150" s="74"/>
      <c r="I150" s="74"/>
      <c r="J150" s="70"/>
      <c r="K150" s="74" t="s">
        <v>62</v>
      </c>
      <c r="L150" s="74" t="s">
        <v>63</v>
      </c>
      <c r="M150" s="74"/>
      <c r="N150" s="74"/>
      <c r="O150" s="74"/>
      <c r="P150" s="74"/>
      <c r="Q150" s="74"/>
      <c r="R150" s="74"/>
      <c r="S150" s="203" t="s">
        <v>82</v>
      </c>
      <c r="T150" s="72" t="s">
        <v>65</v>
      </c>
      <c r="U150" s="201" t="s">
        <v>52</v>
      </c>
      <c r="V150" s="201" t="s">
        <v>52</v>
      </c>
      <c r="X150" s="4"/>
    </row>
    <row r="151" spans="1:24" s="55" customFormat="1" ht="28">
      <c r="A151" s="116">
        <f>Measures!A15</f>
        <v>13</v>
      </c>
      <c r="B151" s="198" t="str">
        <f>Measures!B15</f>
        <v>Implement date sequence field validation in CW1 for Milestone</v>
      </c>
      <c r="C151" s="293" t="str">
        <f>Measures!G15</f>
        <v xml:space="preserve">83, 84, 85, 86  </v>
      </c>
      <c r="D151" s="199" t="str">
        <f>Measures!C15</f>
        <v>Plausability</v>
      </c>
      <c r="E151" s="345" t="s">
        <v>69</v>
      </c>
      <c r="F151" s="345"/>
      <c r="G151" s="345"/>
      <c r="H151" s="74"/>
      <c r="I151" s="74"/>
      <c r="J151" s="70"/>
      <c r="K151" s="74" t="s">
        <v>62</v>
      </c>
      <c r="L151" s="74" t="s">
        <v>63</v>
      </c>
      <c r="M151" s="74"/>
      <c r="N151" s="74"/>
      <c r="O151" s="74"/>
      <c r="P151" s="74"/>
      <c r="Q151" s="74"/>
      <c r="R151" s="74"/>
      <c r="S151" s="203" t="s">
        <v>82</v>
      </c>
      <c r="T151" s="72" t="s">
        <v>65</v>
      </c>
      <c r="U151" s="201" t="s">
        <v>52</v>
      </c>
      <c r="V151" s="201" t="s">
        <v>52</v>
      </c>
      <c r="X151" s="4"/>
    </row>
    <row r="152" spans="1:24" s="55" customFormat="1" ht="28">
      <c r="A152" s="116">
        <f>Measures!A16</f>
        <v>14</v>
      </c>
      <c r="B152" s="198" t="str">
        <f>Measures!B16</f>
        <v>Retrigger missing Milestones for delivered Shipments</v>
      </c>
      <c r="C152" s="293" t="str">
        <f>Measures!G16</f>
        <v xml:space="preserve">27, 28  </v>
      </c>
      <c r="D152" s="199" t="str">
        <f>Measures!C16</f>
        <v>Completeness</v>
      </c>
      <c r="E152" s="345" t="s">
        <v>91</v>
      </c>
      <c r="F152" s="345"/>
      <c r="G152" s="345"/>
      <c r="H152" s="74"/>
      <c r="I152" s="74"/>
      <c r="J152" s="70"/>
      <c r="K152" s="74" t="s">
        <v>62</v>
      </c>
      <c r="L152" s="74" t="s">
        <v>63</v>
      </c>
      <c r="M152" s="74"/>
      <c r="N152" s="74"/>
      <c r="O152" s="74"/>
      <c r="P152" s="74"/>
      <c r="Q152" s="74"/>
      <c r="R152" s="74"/>
      <c r="S152" s="203" t="s">
        <v>79</v>
      </c>
      <c r="T152" s="72" t="s">
        <v>65</v>
      </c>
      <c r="U152" s="201" t="s">
        <v>52</v>
      </c>
      <c r="V152" s="201" t="s">
        <v>52</v>
      </c>
      <c r="X152" s="4"/>
    </row>
    <row r="153" spans="1:24" s="55" customFormat="1" ht="70">
      <c r="A153" s="116">
        <f>Measures!A17</f>
        <v>15</v>
      </c>
      <c r="B153" s="198" t="str">
        <f>Measures!B17</f>
        <v>Dedicated Ops owner is 3 most afftected Regions (GCA + NEC + CSE) to focus on completness of Manual milestones S02, S31, S00</v>
      </c>
      <c r="C153" s="293" t="str">
        <f>Measures!G17</f>
        <v xml:space="preserve">3, 4, 5, 6, 7, 8, 9, 10, 12, 13, 14, 17, 31, 32, 33, 34, 39, 40, 41, 42, 47, 48, 49, 50, 51, 52, 53, 54, 69, 70, 75, 76, 77, 78, 79, 80, 81, 82  </v>
      </c>
      <c r="D153" s="199" t="str">
        <f>Measures!C17</f>
        <v>Completeness</v>
      </c>
      <c r="E153" s="345" t="s">
        <v>719</v>
      </c>
      <c r="F153" s="345"/>
      <c r="G153" s="345"/>
      <c r="H153" s="95"/>
      <c r="I153" s="74"/>
      <c r="J153" s="74" t="s">
        <v>62</v>
      </c>
      <c r="K153" s="204"/>
      <c r="L153" s="74" t="s">
        <v>63</v>
      </c>
      <c r="M153" s="74"/>
      <c r="N153" s="74"/>
      <c r="O153" s="74"/>
      <c r="P153" s="74"/>
      <c r="Q153" s="74"/>
      <c r="R153" s="74"/>
      <c r="S153" s="203" t="s">
        <v>79</v>
      </c>
      <c r="T153" s="72" t="s">
        <v>65</v>
      </c>
      <c r="U153" s="201" t="s">
        <v>52</v>
      </c>
      <c r="V153" s="201" t="s">
        <v>53</v>
      </c>
      <c r="X153" s="4"/>
    </row>
    <row r="154" spans="1:24" s="55" customFormat="1" ht="70">
      <c r="A154" s="116">
        <f>Measures!A18</f>
        <v>16</v>
      </c>
      <c r="B154" s="198" t="str">
        <f>Measures!B18</f>
        <v>Dedicated Ops owner is 3 most afftected Regions (GCA + NEC + CSE) to focus on Timeliness of Manual milestones S02, S31, S00</v>
      </c>
      <c r="C154" s="293" t="str">
        <f>Measures!G18</f>
        <v xml:space="preserve"> 3, 4, 5, 6, 9, 10, 12, 14, 31, 32, 34, 39, 40, 41, 42, 47, 48, 49, 50, 53, 54, 69, 70, 75, 76, 77, 78, 79, 80, 81, 82 7, 8, 13, 17, 33, 51, 52</v>
      </c>
      <c r="D154" s="199" t="str">
        <f>Measures!C18</f>
        <v>Timeliness</v>
      </c>
      <c r="E154" s="345" t="s">
        <v>719</v>
      </c>
      <c r="F154" s="345"/>
      <c r="G154" s="345"/>
      <c r="H154" s="95"/>
      <c r="I154" s="74"/>
      <c r="J154" s="74" t="s">
        <v>62</v>
      </c>
      <c r="K154" s="70"/>
      <c r="L154" s="74" t="s">
        <v>63</v>
      </c>
      <c r="M154" s="74"/>
      <c r="N154" s="74"/>
      <c r="O154" s="74"/>
      <c r="P154" s="74"/>
      <c r="Q154" s="74"/>
      <c r="R154" s="74"/>
      <c r="S154" s="203"/>
      <c r="T154" s="72"/>
      <c r="U154" s="201"/>
      <c r="V154" s="201"/>
      <c r="X154" s="4"/>
    </row>
    <row r="155" spans="1:24" s="55" customFormat="1" ht="28">
      <c r="A155" s="116">
        <f>Measures!A19</f>
        <v>17</v>
      </c>
      <c r="B155" s="198" t="str">
        <f>Measures!B19</f>
        <v>Ops retraining in Problemetic area</v>
      </c>
      <c r="C155" s="293" t="str">
        <f>Measures!G19</f>
        <v xml:space="preserve"> 7, 8, 13, 17, 33, 51, 52, 87, 88 </v>
      </c>
      <c r="D155" s="199" t="str">
        <f>Measures!C19</f>
        <v>Reference Quality</v>
      </c>
      <c r="E155" s="345" t="s">
        <v>719</v>
      </c>
      <c r="F155" s="345"/>
      <c r="G155" s="345"/>
      <c r="H155" s="95"/>
      <c r="I155" s="74"/>
      <c r="J155" s="74"/>
      <c r="K155" s="74" t="s">
        <v>62</v>
      </c>
      <c r="L155" s="74" t="s">
        <v>63</v>
      </c>
      <c r="M155" s="74"/>
      <c r="N155" s="74"/>
      <c r="O155" s="74"/>
      <c r="P155" s="74"/>
      <c r="Q155" s="74"/>
      <c r="R155" s="74"/>
      <c r="S155" s="203"/>
      <c r="T155" s="72"/>
      <c r="U155" s="201"/>
      <c r="V155" s="201"/>
      <c r="X155" s="4"/>
    </row>
    <row r="156" spans="1:24" s="55" customFormat="1" ht="28">
      <c r="A156" s="116">
        <f>Measures!A20</f>
        <v>18</v>
      </c>
      <c r="B156" s="198" t="str">
        <f>Measures!B20</f>
        <v>Fix S45 trigger based on the HBL div mode</v>
      </c>
      <c r="C156" s="293" t="str">
        <f>Measures!G20</f>
        <v xml:space="preserve"> 35, 36, 71, 72, 73, 74 </v>
      </c>
      <c r="D156" s="199" t="str">
        <f>Measures!C20</f>
        <v>Completeness (All)</v>
      </c>
      <c r="E156" s="345" t="s">
        <v>69</v>
      </c>
      <c r="F156" s="345"/>
      <c r="G156" s="345"/>
      <c r="H156" s="95"/>
      <c r="I156" s="74"/>
      <c r="J156" s="74"/>
      <c r="K156" s="74" t="s">
        <v>62</v>
      </c>
      <c r="L156" s="74" t="s">
        <v>63</v>
      </c>
      <c r="M156" s="74"/>
      <c r="N156" s="74"/>
      <c r="O156" s="74"/>
      <c r="P156" s="74"/>
      <c r="Q156" s="74"/>
      <c r="R156" s="74"/>
      <c r="S156" s="203"/>
      <c r="T156" s="72"/>
      <c r="U156" s="201"/>
      <c r="V156" s="201"/>
      <c r="X156" s="4"/>
    </row>
    <row r="157" spans="1:24" s="55" customFormat="1" ht="28">
      <c r="A157" s="116"/>
      <c r="B157" s="198"/>
      <c r="C157" s="293"/>
      <c r="D157" s="199"/>
      <c r="E157" s="282"/>
      <c r="F157" s="283"/>
      <c r="G157" s="284"/>
      <c r="H157" s="95"/>
      <c r="I157" s="74"/>
      <c r="J157" s="74"/>
      <c r="K157" s="204"/>
      <c r="L157" s="74"/>
      <c r="M157" s="74"/>
      <c r="N157" s="74"/>
      <c r="O157" s="74"/>
      <c r="P157" s="74"/>
      <c r="Q157" s="74"/>
      <c r="R157" s="74"/>
      <c r="S157" s="203"/>
      <c r="T157" s="72"/>
      <c r="U157" s="201"/>
      <c r="V157" s="201"/>
      <c r="X157" s="4"/>
    </row>
    <row r="158" spans="1:24" ht="28">
      <c r="A158" s="73"/>
      <c r="B158" s="198"/>
      <c r="C158" s="293"/>
      <c r="D158" s="199"/>
      <c r="E158" s="346"/>
      <c r="F158" s="347"/>
      <c r="G158" s="348"/>
      <c r="H158" s="95"/>
      <c r="I158" s="74"/>
      <c r="J158" s="74"/>
      <c r="K158" s="70"/>
      <c r="L158" s="74"/>
      <c r="M158" s="70"/>
      <c r="N158" s="74"/>
      <c r="O158" s="74"/>
      <c r="P158" s="74"/>
      <c r="Q158" s="74"/>
      <c r="R158" s="74"/>
      <c r="S158" s="203" t="s">
        <v>95</v>
      </c>
      <c r="T158" s="72" t="s">
        <v>65</v>
      </c>
      <c r="U158" s="201" t="s">
        <v>51</v>
      </c>
      <c r="V158" s="201" t="s">
        <v>54</v>
      </c>
    </row>
    <row r="159" spans="1:24" ht="20.25" customHeight="1">
      <c r="A159" s="76" t="s">
        <v>96</v>
      </c>
      <c r="B159" s="75"/>
      <c r="C159" s="75"/>
      <c r="D159" s="77"/>
      <c r="E159" s="75"/>
      <c r="F159" s="75"/>
      <c r="G159" s="75"/>
      <c r="H159" s="75"/>
      <c r="J159" s="78" t="s">
        <v>97</v>
      </c>
      <c r="K159" s="79"/>
      <c r="L159" s="79"/>
      <c r="M159" s="79"/>
      <c r="O159" s="80"/>
    </row>
    <row r="160" spans="1:24" ht="45" customHeight="1">
      <c r="A160" s="81" t="s">
        <v>98</v>
      </c>
      <c r="B160" s="82" t="s">
        <v>99</v>
      </c>
      <c r="C160" s="83" t="s">
        <v>100</v>
      </c>
      <c r="D160" s="5" t="s">
        <v>101</v>
      </c>
      <c r="E160" s="5"/>
      <c r="F160" s="5"/>
      <c r="J160" s="84" t="s">
        <v>62</v>
      </c>
      <c r="K160" s="85" t="s">
        <v>102</v>
      </c>
      <c r="L160" s="86"/>
      <c r="M160" s="86"/>
      <c r="O160" s="87" t="s">
        <v>63</v>
      </c>
      <c r="P160" s="85" t="s">
        <v>103</v>
      </c>
      <c r="S160" s="358"/>
      <c r="T160" s="358"/>
      <c r="U160" s="88"/>
      <c r="V160" s="88"/>
    </row>
    <row r="161" spans="1:24" s="5" customFormat="1" ht="35">
      <c r="A161" s="81" t="s">
        <v>104</v>
      </c>
      <c r="B161" s="5" t="s">
        <v>105</v>
      </c>
      <c r="C161" s="81" t="s">
        <v>106</v>
      </c>
      <c r="D161" s="5" t="s">
        <v>107</v>
      </c>
      <c r="G161" s="4"/>
      <c r="H161" s="4"/>
      <c r="I161" s="4"/>
      <c r="J161" s="89" t="s">
        <v>108</v>
      </c>
      <c r="K161" s="85" t="s">
        <v>109</v>
      </c>
      <c r="L161" s="85"/>
      <c r="M161" s="90"/>
      <c r="N161" s="4"/>
      <c r="O161" s="91" t="s">
        <v>110</v>
      </c>
      <c r="P161" s="85" t="s">
        <v>111</v>
      </c>
      <c r="Q161" s="90"/>
      <c r="R161" s="4"/>
      <c r="S161" s="358"/>
      <c r="T161" s="358"/>
      <c r="U161" s="88"/>
      <c r="V161" s="88"/>
      <c r="W161" s="4"/>
      <c r="X161" s="4"/>
    </row>
    <row r="162" spans="1:24" s="5" customForma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358"/>
      <c r="T162" s="358"/>
      <c r="U162" s="88"/>
      <c r="V162" s="88"/>
      <c r="W162" s="4"/>
      <c r="X162" s="4"/>
    </row>
    <row r="163" spans="1:24" s="5" customFormat="1">
      <c r="A163" s="9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339"/>
      <c r="T163" s="340"/>
      <c r="U163"/>
      <c r="V163"/>
      <c r="W163" s="4"/>
      <c r="X163" s="4"/>
    </row>
    <row r="164" spans="1:24" s="5" customForma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s="5" customFormat="1">
      <c r="A165" s="4"/>
      <c r="B165" s="4"/>
      <c r="C165" s="4"/>
      <c r="D165" s="4"/>
      <c r="E165" s="4"/>
      <c r="F165" s="4"/>
      <c r="G165" s="4"/>
      <c r="H165" s="4"/>
      <c r="I165" s="4" t="s">
        <v>112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s="5" customFormat="1">
      <c r="A166" s="4"/>
      <c r="B166" s="4"/>
      <c r="C166" s="4"/>
      <c r="D166" s="4"/>
      <c r="E166" s="4"/>
      <c r="F166" s="4"/>
      <c r="G166" s="4"/>
      <c r="H166" s="4"/>
      <c r="I166" s="4" t="s">
        <v>113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s="5" customFormat="1">
      <c r="A167" s="4"/>
      <c r="B167" s="4"/>
      <c r="C167" s="4"/>
      <c r="D167" s="4"/>
      <c r="E167" s="4"/>
      <c r="F167" s="4"/>
      <c r="G167" s="4"/>
      <c r="H167" s="4"/>
      <c r="I167" s="4" t="s">
        <v>114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</sheetData>
  <autoFilter ref="A17:S115" xr:uid="{4C691A70-5E89-4AE8-B9EB-0726FFA1F50D}">
    <filterColumn colId="3" showButton="0"/>
    <filterColumn colId="4" showButton="0"/>
  </autoFilter>
  <mergeCells count="151">
    <mergeCell ref="D108:F108"/>
    <mergeCell ref="D103:F103"/>
    <mergeCell ref="D123:F123"/>
    <mergeCell ref="D95:F95"/>
    <mergeCell ref="D96:F96"/>
    <mergeCell ref="D97:F97"/>
    <mergeCell ref="D98:F98"/>
    <mergeCell ref="D99:F99"/>
    <mergeCell ref="D114:F114"/>
    <mergeCell ref="D115:F115"/>
    <mergeCell ref="D122:F122"/>
    <mergeCell ref="D117:F117"/>
    <mergeCell ref="D118:F118"/>
    <mergeCell ref="D119:F119"/>
    <mergeCell ref="D120:F120"/>
    <mergeCell ref="D121:F121"/>
    <mergeCell ref="D116:F116"/>
    <mergeCell ref="D105:F105"/>
    <mergeCell ref="D109:F109"/>
    <mergeCell ref="D110:F110"/>
    <mergeCell ref="D112:F112"/>
    <mergeCell ref="D113:F113"/>
    <mergeCell ref="D106:F106"/>
    <mergeCell ref="D107:F107"/>
    <mergeCell ref="D93:F93"/>
    <mergeCell ref="D94:F94"/>
    <mergeCell ref="D72:F72"/>
    <mergeCell ref="D73:F73"/>
    <mergeCell ref="D74:F74"/>
    <mergeCell ref="D75:F75"/>
    <mergeCell ref="D76:F76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51:F51"/>
    <mergeCell ref="D52:F52"/>
    <mergeCell ref="D53:F53"/>
    <mergeCell ref="D78:F78"/>
    <mergeCell ref="D79:F79"/>
    <mergeCell ref="D80:F80"/>
    <mergeCell ref="D90:F90"/>
    <mergeCell ref="D91:F91"/>
    <mergeCell ref="D92:F92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37:F37"/>
    <mergeCell ref="D38:F38"/>
    <mergeCell ref="D58:F58"/>
    <mergeCell ref="D59:F59"/>
    <mergeCell ref="D77:F77"/>
    <mergeCell ref="D54:F54"/>
    <mergeCell ref="D55:F55"/>
    <mergeCell ref="D56:F56"/>
    <mergeCell ref="D57:F57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39:F39"/>
    <mergeCell ref="D40:F40"/>
    <mergeCell ref="D41:F41"/>
    <mergeCell ref="D33:F33"/>
    <mergeCell ref="D34:F34"/>
    <mergeCell ref="D35:F35"/>
    <mergeCell ref="D36:F36"/>
    <mergeCell ref="D27:F27"/>
    <mergeCell ref="D28:F28"/>
    <mergeCell ref="D29:F29"/>
    <mergeCell ref="D30:F30"/>
    <mergeCell ref="D31:F31"/>
    <mergeCell ref="A1:C1"/>
    <mergeCell ref="A2:B2"/>
    <mergeCell ref="D7:F7"/>
    <mergeCell ref="D8:F8"/>
    <mergeCell ref="A137:A138"/>
    <mergeCell ref="B137:B138"/>
    <mergeCell ref="C137:C138"/>
    <mergeCell ref="D137:D138"/>
    <mergeCell ref="E137:G138"/>
    <mergeCell ref="D10:F10"/>
    <mergeCell ref="D125:F125"/>
    <mergeCell ref="D18:F18"/>
    <mergeCell ref="D124:F124"/>
    <mergeCell ref="D126:F126"/>
    <mergeCell ref="D127:F127"/>
    <mergeCell ref="D19:F19"/>
    <mergeCell ref="D9:F9"/>
    <mergeCell ref="D11:F11"/>
    <mergeCell ref="D131:F131"/>
    <mergeCell ref="D130:F130"/>
    <mergeCell ref="D14:F14"/>
    <mergeCell ref="D15:F15"/>
    <mergeCell ref="D17:F17"/>
    <mergeCell ref="D20:F20"/>
    <mergeCell ref="U137:U138"/>
    <mergeCell ref="V137:V138"/>
    <mergeCell ref="E139:G139"/>
    <mergeCell ref="E141:G141"/>
    <mergeCell ref="D132:F132"/>
    <mergeCell ref="D135:F135"/>
    <mergeCell ref="D133:F133"/>
    <mergeCell ref="D134:F134"/>
    <mergeCell ref="S160:T162"/>
    <mergeCell ref="E154:G154"/>
    <mergeCell ref="E155:G155"/>
    <mergeCell ref="E156:G156"/>
    <mergeCell ref="D21:F21"/>
    <mergeCell ref="D22:F22"/>
    <mergeCell ref="D23:F23"/>
    <mergeCell ref="D24:F24"/>
    <mergeCell ref="D25:F25"/>
    <mergeCell ref="D26:F26"/>
    <mergeCell ref="S163:T163"/>
    <mergeCell ref="S137:S138"/>
    <mergeCell ref="T137:T138"/>
    <mergeCell ref="E146:G146"/>
    <mergeCell ref="E158:G158"/>
    <mergeCell ref="E145:G145"/>
    <mergeCell ref="E140:G140"/>
    <mergeCell ref="E147:G147"/>
    <mergeCell ref="E148:G148"/>
    <mergeCell ref="E149:G149"/>
    <mergeCell ref="E150:G150"/>
    <mergeCell ref="E151:G151"/>
    <mergeCell ref="E152:G152"/>
    <mergeCell ref="E153:G153"/>
    <mergeCell ref="E142:G142"/>
    <mergeCell ref="E143:G143"/>
    <mergeCell ref="E144:G144"/>
    <mergeCell ref="D32:F32"/>
  </mergeCells>
  <dataValidations count="2">
    <dataValidation type="list" allowBlank="1" showInputMessage="1" showErrorMessage="1" sqref="L139:M140 M141:M146 H152 H139:I151 J139:J144 K139:K152 L157:L158 K155:L156 L141:L154 J153:J158 N141:N158 O145:O158 P141:R158 I152:I158 M148:M157" xr:uid="{9FAE5212-0ED0-4955-B340-657F34183B56}">
      <formula1>"',r,s,p,q"</formula1>
    </dataValidation>
    <dataValidation type="list" allowBlank="1" showInputMessage="1" showErrorMessage="1" sqref="C18:C135" xr:uid="{87768A1E-7D1C-4FD7-8ABC-C49B29095FB5}">
      <formula1>"low,medium,high,unknown"</formula1>
    </dataValidation>
  </dataValidations>
  <printOptions horizontalCentered="1" verticalCentered="1"/>
  <pageMargins left="0.7" right="0.7" top="0.75" bottom="0.75" header="0.3" footer="0.3"/>
  <pageSetup paperSize="9" scale="49" orientation="landscape" r:id="rId1"/>
  <headerFooter alignWithMargins="0">
    <oddFooter>&amp;L_x000D_&amp;1#&amp;"Aptos"&amp;10&amp;K000000 Classification: Internal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23B4-D093-0546-9FB8-15523865D63F}">
  <sheetPr>
    <tabColor rgb="FF2F5496"/>
  </sheetPr>
  <dimension ref="A1:AK28"/>
  <sheetViews>
    <sheetView zoomScaleNormal="100" workbookViewId="0">
      <pane xSplit="2" ySplit="4" topLeftCell="M5" activePane="bottomRight" state="frozen"/>
      <selection activeCell="AJ23" activeCellId="9" sqref="AJ7 AJ8 AJ12 AJ13 AJ14 AJ15 AJ19 AJ20 AJ22 AJ23"/>
      <selection pane="topRight" activeCell="AJ23" activeCellId="9" sqref="AJ7 AJ8 AJ12 AJ13 AJ14 AJ15 AJ19 AJ20 AJ22 AJ23"/>
      <selection pane="bottomLeft" activeCell="AJ23" activeCellId="9" sqref="AJ7 AJ8 AJ12 AJ13 AJ14 AJ15 AJ19 AJ20 AJ22 AJ23"/>
      <selection pane="bottomRight" activeCell="AJ25" activeCellId="9" sqref="AJ5 AJ6 AJ7 AJ14 AJ15 AJ16 AJ17 AJ22 AJ24 AJ25"/>
    </sheetView>
  </sheetViews>
  <sheetFormatPr baseColWidth="10" defaultColWidth="8.6640625" defaultRowHeight="15" customHeight="1"/>
  <cols>
    <col min="1" max="1" width="38" style="149" customWidth="1"/>
    <col min="2" max="2" width="12" style="149" customWidth="1"/>
    <col min="3" max="37" width="7.1640625" style="149" customWidth="1"/>
    <col min="38" max="16384" width="8.6640625" style="149"/>
  </cols>
  <sheetData>
    <row r="1" spans="1:37" ht="30" customHeight="1">
      <c r="A1" s="384" t="s">
        <v>115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</row>
    <row r="2" spans="1:37">
      <c r="A2" s="385" t="s">
        <v>116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</row>
    <row r="3" spans="1:37">
      <c r="C3" s="383" t="s">
        <v>117</v>
      </c>
      <c r="D3" s="383"/>
      <c r="E3" s="383"/>
      <c r="F3" s="383"/>
      <c r="G3" s="383"/>
      <c r="H3" s="383" t="s">
        <v>118</v>
      </c>
      <c r="I3" s="383"/>
      <c r="J3" s="383"/>
      <c r="K3" s="383"/>
      <c r="L3" s="383"/>
      <c r="M3" s="383" t="s">
        <v>119</v>
      </c>
      <c r="N3" s="383"/>
      <c r="O3" s="383"/>
      <c r="P3" s="383"/>
      <c r="Q3" s="383"/>
      <c r="R3" s="383" t="s">
        <v>120</v>
      </c>
      <c r="S3" s="383"/>
      <c r="T3" s="383"/>
      <c r="U3" s="383"/>
      <c r="V3" s="383"/>
      <c r="W3" s="383" t="s">
        <v>121</v>
      </c>
      <c r="X3" s="383"/>
      <c r="Y3" s="383"/>
      <c r="Z3" s="383"/>
      <c r="AA3" s="383"/>
      <c r="AB3" s="383" t="s">
        <v>122</v>
      </c>
      <c r="AC3" s="383"/>
      <c r="AD3" s="383"/>
      <c r="AE3" s="383"/>
      <c r="AF3" s="383"/>
      <c r="AG3" s="383" t="s">
        <v>480</v>
      </c>
      <c r="AH3" s="383"/>
      <c r="AI3" s="383"/>
      <c r="AJ3" s="383"/>
      <c r="AK3" s="383"/>
    </row>
    <row r="4" spans="1:37" ht="34.5" customHeight="1">
      <c r="A4" s="150" t="s">
        <v>123</v>
      </c>
      <c r="B4" s="150" t="s">
        <v>124</v>
      </c>
      <c r="C4" s="151" t="s">
        <v>125</v>
      </c>
      <c r="D4" s="151" t="s">
        <v>126</v>
      </c>
      <c r="E4" s="151" t="s">
        <v>127</v>
      </c>
      <c r="F4" s="151" t="s">
        <v>41</v>
      </c>
      <c r="G4" s="151" t="s">
        <v>42</v>
      </c>
      <c r="H4" s="151" t="s">
        <v>125</v>
      </c>
      <c r="I4" s="151" t="s">
        <v>126</v>
      </c>
      <c r="J4" s="151" t="s">
        <v>127</v>
      </c>
      <c r="K4" s="151" t="s">
        <v>41</v>
      </c>
      <c r="L4" s="151" t="s">
        <v>42</v>
      </c>
      <c r="M4" s="151" t="s">
        <v>125</v>
      </c>
      <c r="N4" s="151" t="s">
        <v>126</v>
      </c>
      <c r="O4" s="151" t="s">
        <v>127</v>
      </c>
      <c r="P4" s="151" t="s">
        <v>41</v>
      </c>
      <c r="Q4" s="151" t="s">
        <v>42</v>
      </c>
      <c r="R4" s="151" t="s">
        <v>125</v>
      </c>
      <c r="S4" s="151" t="s">
        <v>126</v>
      </c>
      <c r="T4" s="151" t="s">
        <v>127</v>
      </c>
      <c r="U4" s="151" t="s">
        <v>41</v>
      </c>
      <c r="V4" s="151" t="s">
        <v>42</v>
      </c>
      <c r="W4" s="151" t="s">
        <v>125</v>
      </c>
      <c r="X4" s="151" t="s">
        <v>126</v>
      </c>
      <c r="Y4" s="151" t="s">
        <v>127</v>
      </c>
      <c r="Z4" s="151" t="s">
        <v>41</v>
      </c>
      <c r="AA4" s="151" t="s">
        <v>42</v>
      </c>
      <c r="AB4" s="151" t="s">
        <v>125</v>
      </c>
      <c r="AC4" s="151" t="s">
        <v>126</v>
      </c>
      <c r="AD4" s="151" t="s">
        <v>127</v>
      </c>
      <c r="AE4" s="151" t="s">
        <v>41</v>
      </c>
      <c r="AF4" s="151" t="s">
        <v>42</v>
      </c>
      <c r="AG4" s="151" t="s">
        <v>125</v>
      </c>
      <c r="AH4" s="151" t="s">
        <v>126</v>
      </c>
      <c r="AI4" s="151" t="s">
        <v>127</v>
      </c>
      <c r="AJ4" s="151" t="s">
        <v>41</v>
      </c>
      <c r="AK4" s="151" t="s">
        <v>42</v>
      </c>
    </row>
    <row r="5" spans="1:37">
      <c r="A5" s="152" t="s">
        <v>128</v>
      </c>
      <c r="B5" s="153" t="s">
        <v>129</v>
      </c>
      <c r="C5" s="154">
        <v>168</v>
      </c>
      <c r="D5" s="154">
        <v>88</v>
      </c>
      <c r="E5" s="154">
        <v>88</v>
      </c>
      <c r="F5" s="155">
        <v>0.52</v>
      </c>
      <c r="G5" s="155">
        <v>0.52</v>
      </c>
      <c r="H5" s="154">
        <v>390</v>
      </c>
      <c r="I5" s="154">
        <v>141</v>
      </c>
      <c r="J5" s="154">
        <v>139</v>
      </c>
      <c r="K5" s="155">
        <v>0.36</v>
      </c>
      <c r="L5" s="155">
        <v>0.36</v>
      </c>
      <c r="M5" s="154">
        <v>675</v>
      </c>
      <c r="N5" s="154">
        <v>236</v>
      </c>
      <c r="O5" s="154">
        <v>233</v>
      </c>
      <c r="P5" s="155">
        <v>0.35</v>
      </c>
      <c r="Q5" s="155">
        <v>0.35</v>
      </c>
      <c r="R5" s="154">
        <v>719</v>
      </c>
      <c r="S5" s="154">
        <v>358</v>
      </c>
      <c r="T5" s="154">
        <v>352</v>
      </c>
      <c r="U5" s="155">
        <v>0.5</v>
      </c>
      <c r="V5" s="155">
        <v>0.49</v>
      </c>
      <c r="W5" s="154">
        <v>527</v>
      </c>
      <c r="X5" s="154">
        <v>291</v>
      </c>
      <c r="Y5" s="154">
        <v>288</v>
      </c>
      <c r="Z5" s="155">
        <v>0.55218216318785596</v>
      </c>
      <c r="AA5" s="155">
        <v>0.546489563567362</v>
      </c>
      <c r="AB5" s="154">
        <v>569</v>
      </c>
      <c r="AC5" s="154">
        <v>349</v>
      </c>
      <c r="AD5" s="154">
        <v>341</v>
      </c>
      <c r="AE5" s="155">
        <v>0.61</v>
      </c>
      <c r="AF5" s="155">
        <v>0.6</v>
      </c>
      <c r="AG5" s="154">
        <v>566</v>
      </c>
      <c r="AH5" s="154">
        <v>436</v>
      </c>
      <c r="AI5" s="154">
        <v>423</v>
      </c>
      <c r="AJ5" s="155">
        <v>0.77031802120141302</v>
      </c>
      <c r="AK5" s="155">
        <v>0.74734982332155497</v>
      </c>
    </row>
    <row r="6" spans="1:37">
      <c r="A6" s="152" t="s">
        <v>130</v>
      </c>
      <c r="B6" s="153" t="s">
        <v>131</v>
      </c>
      <c r="C6" s="154">
        <v>145</v>
      </c>
      <c r="D6" s="154">
        <v>114</v>
      </c>
      <c r="E6" s="154">
        <v>59</v>
      </c>
      <c r="F6" s="155">
        <v>0.79</v>
      </c>
      <c r="G6" s="155">
        <v>0.41</v>
      </c>
      <c r="H6" s="154">
        <v>286</v>
      </c>
      <c r="I6" s="154">
        <v>237</v>
      </c>
      <c r="J6" s="154">
        <v>104</v>
      </c>
      <c r="K6" s="155">
        <v>0.83</v>
      </c>
      <c r="L6" s="155">
        <v>0.36</v>
      </c>
      <c r="M6" s="154">
        <v>496</v>
      </c>
      <c r="N6" s="154">
        <v>423</v>
      </c>
      <c r="O6" s="154">
        <v>167</v>
      </c>
      <c r="P6" s="155">
        <v>0.85</v>
      </c>
      <c r="Q6" s="155">
        <v>0.34</v>
      </c>
      <c r="R6" s="154">
        <v>514</v>
      </c>
      <c r="S6" s="154">
        <v>447</v>
      </c>
      <c r="T6" s="154">
        <v>220</v>
      </c>
      <c r="U6" s="155">
        <v>0.87</v>
      </c>
      <c r="V6" s="155">
        <v>0.43</v>
      </c>
      <c r="W6" s="154">
        <v>398</v>
      </c>
      <c r="X6" s="154">
        <v>337</v>
      </c>
      <c r="Y6" s="154">
        <v>210</v>
      </c>
      <c r="Z6" s="155">
        <v>0.84673366834170805</v>
      </c>
      <c r="AA6" s="155">
        <v>0.52763819095477404</v>
      </c>
      <c r="AB6" s="154">
        <v>399</v>
      </c>
      <c r="AC6" s="154">
        <v>359</v>
      </c>
      <c r="AD6" s="154">
        <v>234</v>
      </c>
      <c r="AE6" s="155">
        <v>0.9</v>
      </c>
      <c r="AF6" s="155">
        <v>0.59</v>
      </c>
      <c r="AG6" s="154">
        <v>446</v>
      </c>
      <c r="AH6" s="154">
        <v>395</v>
      </c>
      <c r="AI6" s="154">
        <v>297</v>
      </c>
      <c r="AJ6" s="155">
        <v>0.88565022421524697</v>
      </c>
      <c r="AK6" s="155">
        <v>0.66591928251121102</v>
      </c>
    </row>
    <row r="7" spans="1:37">
      <c r="A7" s="152" t="s">
        <v>130</v>
      </c>
      <c r="B7" s="153" t="s">
        <v>129</v>
      </c>
      <c r="C7" s="154">
        <v>145</v>
      </c>
      <c r="D7" s="154">
        <v>133</v>
      </c>
      <c r="E7" s="154">
        <v>24</v>
      </c>
      <c r="F7" s="155">
        <v>0.92</v>
      </c>
      <c r="G7" s="155">
        <v>0.17</v>
      </c>
      <c r="H7" s="154">
        <v>286</v>
      </c>
      <c r="I7" s="154">
        <v>272</v>
      </c>
      <c r="J7" s="154">
        <v>112</v>
      </c>
      <c r="K7" s="155">
        <v>0.95</v>
      </c>
      <c r="L7" s="155">
        <v>0.39</v>
      </c>
      <c r="M7" s="154">
        <v>496</v>
      </c>
      <c r="N7" s="154">
        <v>438</v>
      </c>
      <c r="O7" s="154">
        <v>171</v>
      </c>
      <c r="P7" s="155">
        <v>0.88</v>
      </c>
      <c r="Q7" s="155">
        <v>0.34</v>
      </c>
      <c r="R7" s="154">
        <v>514</v>
      </c>
      <c r="S7" s="154">
        <v>462</v>
      </c>
      <c r="T7" s="154">
        <v>207</v>
      </c>
      <c r="U7" s="155">
        <v>0.9</v>
      </c>
      <c r="V7" s="155">
        <v>0.4</v>
      </c>
      <c r="W7" s="154">
        <v>398</v>
      </c>
      <c r="X7" s="154">
        <v>354</v>
      </c>
      <c r="Y7" s="154">
        <v>131</v>
      </c>
      <c r="Z7" s="155">
        <v>0.88944723618090404</v>
      </c>
      <c r="AA7" s="155">
        <v>0.32914572864321601</v>
      </c>
      <c r="AB7" s="154">
        <v>399</v>
      </c>
      <c r="AC7" s="154">
        <v>361</v>
      </c>
      <c r="AD7" s="154">
        <v>149</v>
      </c>
      <c r="AE7" s="155">
        <v>0.9</v>
      </c>
      <c r="AF7" s="155">
        <v>0.37</v>
      </c>
      <c r="AG7" s="154">
        <v>446</v>
      </c>
      <c r="AH7" s="154">
        <v>405</v>
      </c>
      <c r="AI7" s="154">
        <v>171</v>
      </c>
      <c r="AJ7" s="155">
        <v>0.90807174887892395</v>
      </c>
      <c r="AK7" s="155">
        <v>0.38340807174887898</v>
      </c>
    </row>
    <row r="8" spans="1:37">
      <c r="A8" s="156" t="s">
        <v>132</v>
      </c>
      <c r="B8" s="157" t="s">
        <v>129</v>
      </c>
      <c r="C8" s="158">
        <v>168</v>
      </c>
      <c r="D8" s="158">
        <v>103</v>
      </c>
      <c r="E8" s="158">
        <v>45</v>
      </c>
      <c r="F8" s="159">
        <v>0.61</v>
      </c>
      <c r="G8" s="159">
        <v>0.27</v>
      </c>
      <c r="H8" s="158">
        <v>390</v>
      </c>
      <c r="I8" s="158">
        <v>144</v>
      </c>
      <c r="J8" s="158">
        <v>72</v>
      </c>
      <c r="K8" s="159">
        <v>0.37</v>
      </c>
      <c r="L8" s="159">
        <v>0.18</v>
      </c>
      <c r="M8" s="158">
        <v>675</v>
      </c>
      <c r="N8" s="158">
        <v>277</v>
      </c>
      <c r="O8" s="158">
        <v>104</v>
      </c>
      <c r="P8" s="159">
        <v>0.41</v>
      </c>
      <c r="Q8" s="159">
        <v>0.15</v>
      </c>
      <c r="R8" s="158">
        <v>719</v>
      </c>
      <c r="S8" s="158">
        <v>435</v>
      </c>
      <c r="T8" s="158">
        <v>226</v>
      </c>
      <c r="U8" s="159">
        <v>0.61</v>
      </c>
      <c r="V8" s="159">
        <v>0.31</v>
      </c>
      <c r="W8" s="158">
        <v>527</v>
      </c>
      <c r="X8" s="158">
        <v>357</v>
      </c>
      <c r="Y8" s="158">
        <v>165</v>
      </c>
      <c r="Z8" s="159">
        <v>0.67741935483870996</v>
      </c>
      <c r="AA8" s="159">
        <v>0.31309297912713502</v>
      </c>
      <c r="AB8" s="220">
        <v>569</v>
      </c>
      <c r="AC8" s="220">
        <v>418</v>
      </c>
      <c r="AD8" s="220">
        <v>235</v>
      </c>
      <c r="AE8" s="221">
        <v>0.73</v>
      </c>
      <c r="AF8" s="222">
        <v>0.41</v>
      </c>
      <c r="AG8" s="244">
        <v>566</v>
      </c>
      <c r="AH8" s="244">
        <v>465</v>
      </c>
      <c r="AI8" s="244">
        <v>288</v>
      </c>
      <c r="AJ8" s="245">
        <v>0.82155477031802104</v>
      </c>
      <c r="AK8" s="246">
        <v>0.50883392226148405</v>
      </c>
    </row>
    <row r="9" spans="1:37">
      <c r="A9" s="156" t="s">
        <v>133</v>
      </c>
      <c r="B9" s="157" t="s">
        <v>129</v>
      </c>
      <c r="C9" s="158">
        <v>154</v>
      </c>
      <c r="D9" s="158">
        <v>148</v>
      </c>
      <c r="E9" s="158">
        <v>98</v>
      </c>
      <c r="F9" s="159">
        <v>0.96</v>
      </c>
      <c r="G9" s="159">
        <v>0.64</v>
      </c>
      <c r="H9" s="158">
        <v>335</v>
      </c>
      <c r="I9" s="158">
        <v>305</v>
      </c>
      <c r="J9" s="158">
        <v>177</v>
      </c>
      <c r="K9" s="159">
        <v>0.91</v>
      </c>
      <c r="L9" s="159">
        <v>0.53</v>
      </c>
      <c r="M9" s="158">
        <v>535</v>
      </c>
      <c r="N9" s="158">
        <v>443</v>
      </c>
      <c r="O9" s="158">
        <v>274</v>
      </c>
      <c r="P9" s="159">
        <v>0.83</v>
      </c>
      <c r="Q9" s="159">
        <v>0.51</v>
      </c>
      <c r="R9" s="158">
        <v>577</v>
      </c>
      <c r="S9" s="158">
        <v>505</v>
      </c>
      <c r="T9" s="158">
        <v>281</v>
      </c>
      <c r="U9" s="159">
        <v>0.88</v>
      </c>
      <c r="V9" s="159">
        <v>0.49</v>
      </c>
      <c r="W9" s="158">
        <v>412</v>
      </c>
      <c r="X9" s="158">
        <v>335</v>
      </c>
      <c r="Y9" s="158">
        <v>194</v>
      </c>
      <c r="Z9" s="159">
        <v>0.81310679611650505</v>
      </c>
      <c r="AA9" s="159">
        <v>0.470873786407767</v>
      </c>
      <c r="AB9" s="220">
        <v>461</v>
      </c>
      <c r="AC9" s="220">
        <v>413</v>
      </c>
      <c r="AD9" s="220">
        <v>243</v>
      </c>
      <c r="AE9" s="221">
        <v>0.9</v>
      </c>
      <c r="AF9" s="222">
        <v>0.53</v>
      </c>
      <c r="AG9" s="244">
        <v>473</v>
      </c>
      <c r="AH9" s="244">
        <v>433</v>
      </c>
      <c r="AI9" s="244">
        <v>268</v>
      </c>
      <c r="AJ9" s="245">
        <v>0.91543340380549698</v>
      </c>
      <c r="AK9" s="246">
        <v>0.566596194503171</v>
      </c>
    </row>
    <row r="10" spans="1:37">
      <c r="A10" s="156" t="s">
        <v>134</v>
      </c>
      <c r="B10" s="157" t="s">
        <v>129</v>
      </c>
      <c r="C10" s="158">
        <v>154</v>
      </c>
      <c r="D10" s="158">
        <v>104</v>
      </c>
      <c r="E10" s="158">
        <v>73</v>
      </c>
      <c r="F10" s="159">
        <v>0.68</v>
      </c>
      <c r="G10" s="159">
        <v>0.47</v>
      </c>
      <c r="H10" s="158">
        <v>335</v>
      </c>
      <c r="I10" s="158">
        <v>146</v>
      </c>
      <c r="J10" s="158">
        <v>92</v>
      </c>
      <c r="K10" s="159">
        <v>0.44</v>
      </c>
      <c r="L10" s="159">
        <v>0.27</v>
      </c>
      <c r="M10" s="158">
        <v>535</v>
      </c>
      <c r="N10" s="158">
        <v>245</v>
      </c>
      <c r="O10" s="158">
        <v>160</v>
      </c>
      <c r="P10" s="159">
        <v>0.46</v>
      </c>
      <c r="Q10" s="159">
        <v>0.3</v>
      </c>
      <c r="R10" s="158">
        <v>577</v>
      </c>
      <c r="S10" s="158">
        <v>390</v>
      </c>
      <c r="T10" s="158">
        <v>205</v>
      </c>
      <c r="U10" s="159">
        <v>0.68</v>
      </c>
      <c r="V10" s="159">
        <v>0.36</v>
      </c>
      <c r="W10" s="158">
        <v>412</v>
      </c>
      <c r="X10" s="158">
        <v>292</v>
      </c>
      <c r="Y10" s="158">
        <v>164</v>
      </c>
      <c r="Z10" s="159">
        <v>0.70873786407767003</v>
      </c>
      <c r="AA10" s="159">
        <v>0.39805825242718401</v>
      </c>
      <c r="AB10" s="220">
        <v>461</v>
      </c>
      <c r="AC10" s="220">
        <v>376</v>
      </c>
      <c r="AD10" s="220">
        <v>207</v>
      </c>
      <c r="AE10" s="221">
        <v>0.82</v>
      </c>
      <c r="AF10" s="222">
        <v>0.45</v>
      </c>
      <c r="AG10" s="244">
        <v>473</v>
      </c>
      <c r="AH10" s="244">
        <v>420</v>
      </c>
      <c r="AI10" s="244">
        <v>252</v>
      </c>
      <c r="AJ10" s="245">
        <v>0.88794926004228303</v>
      </c>
      <c r="AK10" s="246">
        <v>0.53276955602537002</v>
      </c>
    </row>
    <row r="11" spans="1:37">
      <c r="A11" s="156" t="s">
        <v>135</v>
      </c>
      <c r="B11" s="157" t="s">
        <v>129</v>
      </c>
      <c r="C11" s="158">
        <v>168</v>
      </c>
      <c r="D11" s="158">
        <v>119</v>
      </c>
      <c r="E11" s="158">
        <v>86</v>
      </c>
      <c r="F11" s="159">
        <v>0.71</v>
      </c>
      <c r="G11" s="159">
        <v>0.51</v>
      </c>
      <c r="H11" s="158">
        <v>390</v>
      </c>
      <c r="I11" s="158">
        <v>237</v>
      </c>
      <c r="J11" s="158">
        <v>183</v>
      </c>
      <c r="K11" s="159">
        <v>0.61</v>
      </c>
      <c r="L11" s="159">
        <v>0.47</v>
      </c>
      <c r="M11" s="158">
        <v>675</v>
      </c>
      <c r="N11" s="158">
        <v>415</v>
      </c>
      <c r="O11" s="158">
        <v>323</v>
      </c>
      <c r="P11" s="159">
        <v>0.61</v>
      </c>
      <c r="Q11" s="159">
        <v>0.48</v>
      </c>
      <c r="R11" s="158">
        <v>719</v>
      </c>
      <c r="S11" s="158">
        <v>539</v>
      </c>
      <c r="T11" s="158">
        <v>439</v>
      </c>
      <c r="U11" s="159">
        <v>0.75</v>
      </c>
      <c r="V11" s="159">
        <v>0.61</v>
      </c>
      <c r="W11" s="158">
        <v>527</v>
      </c>
      <c r="X11" s="158">
        <v>405</v>
      </c>
      <c r="Y11" s="158">
        <v>322</v>
      </c>
      <c r="Z11" s="159">
        <v>0.76850094876660302</v>
      </c>
      <c r="AA11" s="159">
        <v>0.61100569259962001</v>
      </c>
      <c r="AB11" s="220">
        <v>569</v>
      </c>
      <c r="AC11" s="220">
        <v>451</v>
      </c>
      <c r="AD11" s="220">
        <v>384</v>
      </c>
      <c r="AE11" s="221">
        <v>0.79</v>
      </c>
      <c r="AF11" s="222">
        <v>0.67</v>
      </c>
      <c r="AG11" s="244">
        <v>566</v>
      </c>
      <c r="AH11" s="244">
        <v>477</v>
      </c>
      <c r="AI11" s="244">
        <v>381</v>
      </c>
      <c r="AJ11" s="245">
        <v>0.84275618374558303</v>
      </c>
      <c r="AK11" s="246">
        <v>0.67314487632508802</v>
      </c>
    </row>
    <row r="12" spans="1:37">
      <c r="A12" s="156" t="s">
        <v>136</v>
      </c>
      <c r="B12" s="157" t="s">
        <v>129</v>
      </c>
      <c r="C12" s="158">
        <v>154</v>
      </c>
      <c r="D12" s="158">
        <v>108</v>
      </c>
      <c r="E12" s="158">
        <v>44</v>
      </c>
      <c r="F12" s="159">
        <v>0.7</v>
      </c>
      <c r="G12" s="159">
        <v>0.28999999999999998</v>
      </c>
      <c r="H12" s="158">
        <v>335</v>
      </c>
      <c r="I12" s="158">
        <v>141</v>
      </c>
      <c r="J12" s="158">
        <v>89</v>
      </c>
      <c r="K12" s="159">
        <v>0.42</v>
      </c>
      <c r="L12" s="159">
        <v>0.27</v>
      </c>
      <c r="M12" s="158">
        <v>535</v>
      </c>
      <c r="N12" s="158">
        <v>225</v>
      </c>
      <c r="O12" s="158">
        <v>89</v>
      </c>
      <c r="P12" s="159">
        <v>0.42</v>
      </c>
      <c r="Q12" s="159">
        <v>0.17</v>
      </c>
      <c r="R12" s="158">
        <v>577</v>
      </c>
      <c r="S12" s="158">
        <v>328</v>
      </c>
      <c r="T12" s="158">
        <v>172</v>
      </c>
      <c r="U12" s="159">
        <v>0.56999999999999995</v>
      </c>
      <c r="V12" s="159">
        <v>0.3</v>
      </c>
      <c r="W12" s="158">
        <v>412</v>
      </c>
      <c r="X12" s="158">
        <v>245</v>
      </c>
      <c r="Y12" s="158">
        <v>135</v>
      </c>
      <c r="Z12" s="159">
        <v>0.59466019417475702</v>
      </c>
      <c r="AA12" s="159">
        <v>0.32766990291262099</v>
      </c>
      <c r="AB12" s="220">
        <v>461</v>
      </c>
      <c r="AC12" s="220">
        <v>286</v>
      </c>
      <c r="AD12" s="220">
        <v>165</v>
      </c>
      <c r="AE12" s="221">
        <v>0.62</v>
      </c>
      <c r="AF12" s="222">
        <v>0.36</v>
      </c>
      <c r="AG12" s="244">
        <v>473</v>
      </c>
      <c r="AH12" s="244">
        <v>326</v>
      </c>
      <c r="AI12" s="244">
        <v>129</v>
      </c>
      <c r="AJ12" s="245">
        <v>0.68921775898520099</v>
      </c>
      <c r="AK12" s="246">
        <v>0.27272727272727298</v>
      </c>
    </row>
    <row r="13" spans="1:37">
      <c r="A13" s="156" t="s">
        <v>137</v>
      </c>
      <c r="B13" s="157" t="s">
        <v>129</v>
      </c>
      <c r="C13" s="158">
        <v>115</v>
      </c>
      <c r="D13" s="158">
        <v>104</v>
      </c>
      <c r="E13" s="158">
        <v>46</v>
      </c>
      <c r="F13" s="159">
        <v>0.9</v>
      </c>
      <c r="G13" s="159">
        <v>0.4</v>
      </c>
      <c r="H13" s="158">
        <v>190</v>
      </c>
      <c r="I13" s="158">
        <v>175</v>
      </c>
      <c r="J13" s="158">
        <v>122</v>
      </c>
      <c r="K13" s="159">
        <v>0.92</v>
      </c>
      <c r="L13" s="159">
        <v>0.64</v>
      </c>
      <c r="M13" s="158">
        <v>354</v>
      </c>
      <c r="N13" s="158">
        <v>273</v>
      </c>
      <c r="O13" s="158">
        <v>149</v>
      </c>
      <c r="P13" s="159">
        <v>0.77</v>
      </c>
      <c r="Q13" s="159">
        <v>0.42</v>
      </c>
      <c r="R13" s="158">
        <v>294</v>
      </c>
      <c r="S13" s="158">
        <v>208</v>
      </c>
      <c r="T13" s="158">
        <v>96</v>
      </c>
      <c r="U13" s="159">
        <v>0.71</v>
      </c>
      <c r="V13" s="159">
        <v>0.33</v>
      </c>
      <c r="W13" s="158">
        <v>223</v>
      </c>
      <c r="X13" s="158">
        <v>176</v>
      </c>
      <c r="Y13" s="158">
        <v>98</v>
      </c>
      <c r="Z13" s="159">
        <v>0.78923766816143504</v>
      </c>
      <c r="AA13" s="159">
        <v>0.43946188340807202</v>
      </c>
      <c r="AB13" s="220">
        <v>183</v>
      </c>
      <c r="AC13" s="220">
        <v>122</v>
      </c>
      <c r="AD13" s="220">
        <v>81</v>
      </c>
      <c r="AE13" s="221">
        <v>0.67</v>
      </c>
      <c r="AF13" s="222">
        <v>0.44</v>
      </c>
      <c r="AG13" s="244">
        <v>263</v>
      </c>
      <c r="AH13" s="244">
        <v>229</v>
      </c>
      <c r="AI13" s="244">
        <v>76</v>
      </c>
      <c r="AJ13" s="245">
        <v>0.87072243346007605</v>
      </c>
      <c r="AK13" s="246">
        <v>0.288973384030418</v>
      </c>
    </row>
    <row r="14" spans="1:37">
      <c r="A14" s="152" t="s">
        <v>138</v>
      </c>
      <c r="B14" s="153" t="s">
        <v>131</v>
      </c>
      <c r="C14" s="154">
        <v>168</v>
      </c>
      <c r="D14" s="154">
        <v>166</v>
      </c>
      <c r="E14" s="154">
        <v>63</v>
      </c>
      <c r="F14" s="155">
        <v>0.99</v>
      </c>
      <c r="G14" s="155">
        <v>0.38</v>
      </c>
      <c r="H14" s="154">
        <v>390</v>
      </c>
      <c r="I14" s="154">
        <v>385</v>
      </c>
      <c r="J14" s="154">
        <v>166</v>
      </c>
      <c r="K14" s="155">
        <v>0.99</v>
      </c>
      <c r="L14" s="155">
        <v>0.43</v>
      </c>
      <c r="M14" s="154">
        <v>675</v>
      </c>
      <c r="N14" s="154">
        <v>648</v>
      </c>
      <c r="O14" s="154">
        <v>248</v>
      </c>
      <c r="P14" s="155">
        <v>0.96</v>
      </c>
      <c r="Q14" s="155">
        <v>0.37</v>
      </c>
      <c r="R14" s="154">
        <v>719</v>
      </c>
      <c r="S14" s="154">
        <v>696</v>
      </c>
      <c r="T14" s="154">
        <v>308</v>
      </c>
      <c r="U14" s="155">
        <v>0.97</v>
      </c>
      <c r="V14" s="155">
        <v>0.43</v>
      </c>
      <c r="W14" s="154">
        <v>527</v>
      </c>
      <c r="X14" s="154">
        <v>504</v>
      </c>
      <c r="Y14" s="154">
        <v>257</v>
      </c>
      <c r="Z14" s="155">
        <v>0.95635673624288398</v>
      </c>
      <c r="AA14" s="155">
        <v>0.487666034155598</v>
      </c>
      <c r="AB14" s="154">
        <v>569</v>
      </c>
      <c r="AC14" s="154">
        <v>551</v>
      </c>
      <c r="AD14" s="154">
        <v>303</v>
      </c>
      <c r="AE14" s="155">
        <v>0.97</v>
      </c>
      <c r="AF14" s="155">
        <v>0.53</v>
      </c>
      <c r="AG14" s="154">
        <v>566</v>
      </c>
      <c r="AH14" s="154">
        <v>542</v>
      </c>
      <c r="AI14" s="154">
        <v>408</v>
      </c>
      <c r="AJ14" s="155">
        <v>0.95759717314487602</v>
      </c>
      <c r="AK14" s="155">
        <v>0.72084805653710204</v>
      </c>
    </row>
    <row r="15" spans="1:37">
      <c r="A15" s="152" t="s">
        <v>138</v>
      </c>
      <c r="B15" s="153" t="s">
        <v>129</v>
      </c>
      <c r="C15" s="154">
        <v>168</v>
      </c>
      <c r="D15" s="154">
        <v>161</v>
      </c>
      <c r="E15" s="154">
        <v>140</v>
      </c>
      <c r="F15" s="155">
        <v>0.96</v>
      </c>
      <c r="G15" s="155">
        <v>0.83</v>
      </c>
      <c r="H15" s="154">
        <v>390</v>
      </c>
      <c r="I15" s="154">
        <v>362</v>
      </c>
      <c r="J15" s="154">
        <v>213</v>
      </c>
      <c r="K15" s="155">
        <v>0.93</v>
      </c>
      <c r="L15" s="155">
        <v>0.55000000000000004</v>
      </c>
      <c r="M15" s="154">
        <v>675</v>
      </c>
      <c r="N15" s="154">
        <v>563</v>
      </c>
      <c r="O15" s="154">
        <v>353</v>
      </c>
      <c r="P15" s="155">
        <v>0.83</v>
      </c>
      <c r="Q15" s="155">
        <v>0.52</v>
      </c>
      <c r="R15" s="154">
        <v>719</v>
      </c>
      <c r="S15" s="154">
        <v>630</v>
      </c>
      <c r="T15" s="154">
        <v>385</v>
      </c>
      <c r="U15" s="155">
        <v>0.88</v>
      </c>
      <c r="V15" s="155">
        <v>0.54</v>
      </c>
      <c r="W15" s="154">
        <v>527</v>
      </c>
      <c r="X15" s="154">
        <v>471</v>
      </c>
      <c r="Y15" s="154">
        <v>259</v>
      </c>
      <c r="Z15" s="155">
        <v>0.89373814041745703</v>
      </c>
      <c r="AA15" s="155">
        <v>0.49146110056926001</v>
      </c>
      <c r="AB15" s="154">
        <v>569</v>
      </c>
      <c r="AC15" s="154">
        <v>500</v>
      </c>
      <c r="AD15" s="154">
        <v>332</v>
      </c>
      <c r="AE15" s="155">
        <v>0.88</v>
      </c>
      <c r="AF15" s="155">
        <v>0.57999999999999996</v>
      </c>
      <c r="AG15" s="154">
        <v>566</v>
      </c>
      <c r="AH15" s="154">
        <v>525</v>
      </c>
      <c r="AI15" s="154">
        <v>359</v>
      </c>
      <c r="AJ15" s="155">
        <v>0.92756183745582999</v>
      </c>
      <c r="AK15" s="155">
        <v>0.63427561837455804</v>
      </c>
    </row>
    <row r="16" spans="1:37">
      <c r="A16" s="152" t="s">
        <v>139</v>
      </c>
      <c r="B16" s="153" t="s">
        <v>131</v>
      </c>
      <c r="C16" s="154">
        <v>168</v>
      </c>
      <c r="D16" s="154">
        <v>168</v>
      </c>
      <c r="E16" s="154">
        <v>43</v>
      </c>
      <c r="F16" s="155">
        <v>1</v>
      </c>
      <c r="G16" s="155">
        <v>0.26</v>
      </c>
      <c r="H16" s="154">
        <v>390</v>
      </c>
      <c r="I16" s="154">
        <v>376</v>
      </c>
      <c r="J16" s="154">
        <v>83</v>
      </c>
      <c r="K16" s="155">
        <v>0.96</v>
      </c>
      <c r="L16" s="155">
        <v>0.21</v>
      </c>
      <c r="M16" s="154">
        <v>675</v>
      </c>
      <c r="N16" s="154">
        <v>631</v>
      </c>
      <c r="O16" s="154">
        <v>124</v>
      </c>
      <c r="P16" s="155">
        <v>0.93</v>
      </c>
      <c r="Q16" s="155">
        <v>0.18</v>
      </c>
      <c r="R16" s="154">
        <v>719</v>
      </c>
      <c r="S16" s="154">
        <v>679</v>
      </c>
      <c r="T16" s="154">
        <v>159</v>
      </c>
      <c r="U16" s="155">
        <v>0.94</v>
      </c>
      <c r="V16" s="155">
        <v>0.22</v>
      </c>
      <c r="W16" s="154">
        <v>527</v>
      </c>
      <c r="X16" s="154">
        <v>489</v>
      </c>
      <c r="Y16" s="154">
        <v>113</v>
      </c>
      <c r="Z16" s="155">
        <v>0.92789373814041698</v>
      </c>
      <c r="AA16" s="155">
        <v>0.214421252371917</v>
      </c>
      <c r="AB16" s="154">
        <v>569</v>
      </c>
      <c r="AC16" s="154">
        <v>547</v>
      </c>
      <c r="AD16" s="154">
        <v>75</v>
      </c>
      <c r="AE16" s="155">
        <v>0.96</v>
      </c>
      <c r="AF16" s="155">
        <v>0.13</v>
      </c>
      <c r="AG16" s="154">
        <v>566</v>
      </c>
      <c r="AH16" s="154">
        <v>552</v>
      </c>
      <c r="AI16" s="154">
        <v>139</v>
      </c>
      <c r="AJ16" s="155">
        <v>0.97526501766784501</v>
      </c>
      <c r="AK16" s="155">
        <v>0.245583038869258</v>
      </c>
    </row>
    <row r="17" spans="1:37">
      <c r="A17" s="152" t="s">
        <v>139</v>
      </c>
      <c r="B17" s="153" t="s">
        <v>129</v>
      </c>
      <c r="C17" s="154">
        <v>168</v>
      </c>
      <c r="D17" s="154">
        <v>140</v>
      </c>
      <c r="E17" s="154">
        <v>55</v>
      </c>
      <c r="F17" s="155">
        <v>0.83</v>
      </c>
      <c r="G17" s="155">
        <v>0.33</v>
      </c>
      <c r="H17" s="154">
        <v>390</v>
      </c>
      <c r="I17" s="154">
        <v>325</v>
      </c>
      <c r="J17" s="154">
        <v>256</v>
      </c>
      <c r="K17" s="155">
        <v>0.83</v>
      </c>
      <c r="L17" s="155">
        <v>0.66</v>
      </c>
      <c r="M17" s="154">
        <v>675</v>
      </c>
      <c r="N17" s="154">
        <v>544</v>
      </c>
      <c r="O17" s="154">
        <v>409</v>
      </c>
      <c r="P17" s="155">
        <v>0.81</v>
      </c>
      <c r="Q17" s="155">
        <v>0.61</v>
      </c>
      <c r="R17" s="154">
        <v>719</v>
      </c>
      <c r="S17" s="154">
        <v>607</v>
      </c>
      <c r="T17" s="154">
        <v>373</v>
      </c>
      <c r="U17" s="155">
        <v>0.84</v>
      </c>
      <c r="V17" s="155">
        <v>0.52</v>
      </c>
      <c r="W17" s="154">
        <v>527</v>
      </c>
      <c r="X17" s="154">
        <v>431</v>
      </c>
      <c r="Y17" s="154">
        <v>231</v>
      </c>
      <c r="Z17" s="155">
        <v>0.817836812144213</v>
      </c>
      <c r="AA17" s="155">
        <v>0.43833017077798903</v>
      </c>
      <c r="AB17" s="154">
        <v>569</v>
      </c>
      <c r="AC17" s="154">
        <v>502</v>
      </c>
      <c r="AD17" s="154">
        <v>261</v>
      </c>
      <c r="AE17" s="155">
        <v>0.88</v>
      </c>
      <c r="AF17" s="155">
        <v>0.46</v>
      </c>
      <c r="AG17" s="154">
        <v>566</v>
      </c>
      <c r="AH17" s="154">
        <v>488</v>
      </c>
      <c r="AI17" s="154">
        <v>258</v>
      </c>
      <c r="AJ17" s="155">
        <v>0.86219081272084797</v>
      </c>
      <c r="AK17" s="155">
        <v>0.45583038869258002</v>
      </c>
    </row>
    <row r="18" spans="1:37">
      <c r="A18" s="156" t="s">
        <v>140</v>
      </c>
      <c r="B18" s="157" t="s">
        <v>129</v>
      </c>
      <c r="C18" s="158">
        <v>115</v>
      </c>
      <c r="D18" s="158">
        <v>75</v>
      </c>
      <c r="E18" s="158">
        <v>69</v>
      </c>
      <c r="F18" s="159">
        <v>0.65</v>
      </c>
      <c r="G18" s="159">
        <v>0.6</v>
      </c>
      <c r="H18" s="158">
        <v>190</v>
      </c>
      <c r="I18" s="158">
        <v>73</v>
      </c>
      <c r="J18" s="158">
        <v>58</v>
      </c>
      <c r="K18" s="159">
        <v>0.38</v>
      </c>
      <c r="L18" s="159">
        <v>0.31</v>
      </c>
      <c r="M18" s="158">
        <v>354</v>
      </c>
      <c r="N18" s="158">
        <v>102</v>
      </c>
      <c r="O18" s="158">
        <v>23</v>
      </c>
      <c r="P18" s="159">
        <v>0.28999999999999998</v>
      </c>
      <c r="Q18" s="159">
        <v>0.06</v>
      </c>
      <c r="R18" s="158">
        <v>294</v>
      </c>
      <c r="S18" s="158">
        <v>120</v>
      </c>
      <c r="T18" s="158">
        <v>75</v>
      </c>
      <c r="U18" s="159">
        <v>0.41</v>
      </c>
      <c r="V18" s="159">
        <v>0.26</v>
      </c>
      <c r="W18" s="158">
        <v>223</v>
      </c>
      <c r="X18" s="158">
        <v>78</v>
      </c>
      <c r="Y18" s="158">
        <v>31</v>
      </c>
      <c r="Z18" s="159">
        <v>0.34977578475336302</v>
      </c>
      <c r="AA18" s="159">
        <v>0.139013452914798</v>
      </c>
      <c r="AB18" s="220">
        <v>183</v>
      </c>
      <c r="AC18" s="220">
        <v>74</v>
      </c>
      <c r="AD18" s="220">
        <v>52</v>
      </c>
      <c r="AE18" s="221">
        <v>0.4</v>
      </c>
      <c r="AF18" s="222">
        <v>0.28000000000000003</v>
      </c>
      <c r="AG18" s="244">
        <v>263</v>
      </c>
      <c r="AH18" s="244">
        <v>153</v>
      </c>
      <c r="AI18" s="244">
        <v>84</v>
      </c>
      <c r="AJ18" s="245">
        <v>0.58174904942965799</v>
      </c>
      <c r="AK18" s="246">
        <v>0.31939163498098899</v>
      </c>
    </row>
    <row r="19" spans="1:37">
      <c r="A19" s="156" t="s">
        <v>141</v>
      </c>
      <c r="B19" s="157" t="s">
        <v>129</v>
      </c>
      <c r="C19" s="158">
        <v>53</v>
      </c>
      <c r="D19" s="158">
        <v>12</v>
      </c>
      <c r="E19" s="158">
        <v>2</v>
      </c>
      <c r="F19" s="159">
        <v>0.23</v>
      </c>
      <c r="G19" s="159">
        <v>0.04</v>
      </c>
      <c r="H19" s="158">
        <v>200</v>
      </c>
      <c r="I19" s="158">
        <v>25</v>
      </c>
      <c r="J19" s="158">
        <v>12</v>
      </c>
      <c r="K19" s="159">
        <v>0.13</v>
      </c>
      <c r="L19" s="159">
        <v>0.06</v>
      </c>
      <c r="M19" s="158">
        <v>321</v>
      </c>
      <c r="N19" s="158">
        <v>98</v>
      </c>
      <c r="O19" s="158">
        <v>57</v>
      </c>
      <c r="P19" s="159">
        <v>0.31</v>
      </c>
      <c r="Q19" s="159">
        <v>0.18</v>
      </c>
      <c r="R19" s="158">
        <v>425</v>
      </c>
      <c r="S19" s="158">
        <v>258</v>
      </c>
      <c r="T19" s="158">
        <v>160</v>
      </c>
      <c r="U19" s="159">
        <v>0.61</v>
      </c>
      <c r="V19" s="159">
        <v>0.38</v>
      </c>
      <c r="W19" s="158">
        <v>304</v>
      </c>
      <c r="X19" s="158">
        <v>194</v>
      </c>
      <c r="Y19" s="158">
        <v>93</v>
      </c>
      <c r="Z19" s="159">
        <v>0.63815789473684204</v>
      </c>
      <c r="AA19" s="159">
        <v>0.30592105263157898</v>
      </c>
      <c r="AB19" s="220">
        <v>386</v>
      </c>
      <c r="AC19" s="220">
        <v>316</v>
      </c>
      <c r="AD19" s="220">
        <v>145</v>
      </c>
      <c r="AE19" s="221">
        <v>0.82</v>
      </c>
      <c r="AF19" s="222">
        <v>0.38</v>
      </c>
      <c r="AG19" s="244">
        <v>303</v>
      </c>
      <c r="AH19" s="244">
        <v>244</v>
      </c>
      <c r="AI19" s="244">
        <v>121</v>
      </c>
      <c r="AJ19" s="245">
        <v>0.80528052805280503</v>
      </c>
      <c r="AK19" s="246">
        <v>0.39933993399339901</v>
      </c>
    </row>
    <row r="20" spans="1:37">
      <c r="A20" s="156" t="s">
        <v>142</v>
      </c>
      <c r="B20" s="157" t="s">
        <v>129</v>
      </c>
      <c r="C20" s="158">
        <v>53</v>
      </c>
      <c r="D20" s="158">
        <v>15</v>
      </c>
      <c r="E20" s="158">
        <v>3</v>
      </c>
      <c r="F20" s="159">
        <v>0.28000000000000003</v>
      </c>
      <c r="G20" s="159">
        <v>0.06</v>
      </c>
      <c r="H20" s="158">
        <v>200</v>
      </c>
      <c r="I20" s="158">
        <v>67</v>
      </c>
      <c r="J20" s="158">
        <v>30</v>
      </c>
      <c r="K20" s="159">
        <v>0.34</v>
      </c>
      <c r="L20" s="159">
        <v>0.15</v>
      </c>
      <c r="M20" s="158">
        <v>321</v>
      </c>
      <c r="N20" s="158">
        <v>158</v>
      </c>
      <c r="O20" s="158">
        <v>79</v>
      </c>
      <c r="P20" s="159">
        <v>0.49</v>
      </c>
      <c r="Q20" s="159">
        <v>0.25</v>
      </c>
      <c r="R20" s="158">
        <v>425</v>
      </c>
      <c r="S20" s="158">
        <v>311</v>
      </c>
      <c r="T20" s="158">
        <v>174</v>
      </c>
      <c r="U20" s="159">
        <v>0.73</v>
      </c>
      <c r="V20" s="159">
        <v>0.41</v>
      </c>
      <c r="W20" s="158">
        <v>304</v>
      </c>
      <c r="X20" s="158">
        <v>212</v>
      </c>
      <c r="Y20" s="158">
        <v>95</v>
      </c>
      <c r="Z20" s="159">
        <v>0.69736842105263197</v>
      </c>
      <c r="AA20" s="159">
        <v>0.3125</v>
      </c>
      <c r="AB20" s="220">
        <v>386</v>
      </c>
      <c r="AC20" s="220">
        <v>335</v>
      </c>
      <c r="AD20" s="220">
        <v>142</v>
      </c>
      <c r="AE20" s="221">
        <v>0.87</v>
      </c>
      <c r="AF20" s="222">
        <v>0.37</v>
      </c>
      <c r="AG20" s="244">
        <v>303</v>
      </c>
      <c r="AH20" s="244">
        <v>256</v>
      </c>
      <c r="AI20" s="244">
        <v>126</v>
      </c>
      <c r="AJ20" s="245">
        <v>0.84488448844884501</v>
      </c>
      <c r="AK20" s="246">
        <v>0.41584158415841599</v>
      </c>
    </row>
    <row r="21" spans="1:37">
      <c r="A21" s="156" t="s">
        <v>143</v>
      </c>
      <c r="B21" s="157" t="s">
        <v>129</v>
      </c>
      <c r="C21" s="158">
        <v>53</v>
      </c>
      <c r="D21" s="158">
        <v>15</v>
      </c>
      <c r="E21" s="158">
        <v>2</v>
      </c>
      <c r="F21" s="159">
        <v>0.28000000000000003</v>
      </c>
      <c r="G21" s="159">
        <v>0.04</v>
      </c>
      <c r="H21" s="158">
        <v>200</v>
      </c>
      <c r="I21" s="158">
        <v>27</v>
      </c>
      <c r="J21" s="158">
        <v>16</v>
      </c>
      <c r="K21" s="159">
        <v>0.14000000000000001</v>
      </c>
      <c r="L21" s="159">
        <v>0.08</v>
      </c>
      <c r="M21" s="158">
        <v>321</v>
      </c>
      <c r="N21" s="158">
        <v>110</v>
      </c>
      <c r="O21" s="158">
        <v>70</v>
      </c>
      <c r="P21" s="159">
        <v>0.34</v>
      </c>
      <c r="Q21" s="159">
        <v>0.22</v>
      </c>
      <c r="R21" s="158">
        <v>425</v>
      </c>
      <c r="S21" s="158">
        <v>281</v>
      </c>
      <c r="T21" s="158">
        <v>213</v>
      </c>
      <c r="U21" s="159">
        <v>0.66</v>
      </c>
      <c r="V21" s="159">
        <v>0.5</v>
      </c>
      <c r="W21" s="158">
        <v>304</v>
      </c>
      <c r="X21" s="158">
        <v>213</v>
      </c>
      <c r="Y21" s="158">
        <v>138</v>
      </c>
      <c r="Z21" s="159">
        <v>0.70065789473684204</v>
      </c>
      <c r="AA21" s="159">
        <v>0.45394736842105299</v>
      </c>
      <c r="AB21" s="220">
        <v>386</v>
      </c>
      <c r="AC21" s="220">
        <v>337</v>
      </c>
      <c r="AD21" s="220">
        <v>235</v>
      </c>
      <c r="AE21" s="221">
        <v>0.87</v>
      </c>
      <c r="AF21" s="222">
        <v>0.61</v>
      </c>
      <c r="AG21" s="244">
        <v>303</v>
      </c>
      <c r="AH21" s="244">
        <v>266</v>
      </c>
      <c r="AI21" s="244">
        <v>198</v>
      </c>
      <c r="AJ21" s="245">
        <v>0.87788778877887796</v>
      </c>
      <c r="AK21" s="246">
        <v>0.65346534653465305</v>
      </c>
    </row>
    <row r="22" spans="1:37">
      <c r="A22" s="152" t="s">
        <v>144</v>
      </c>
      <c r="B22" s="153" t="s">
        <v>129</v>
      </c>
      <c r="C22" s="154">
        <v>118</v>
      </c>
      <c r="D22" s="154">
        <v>118</v>
      </c>
      <c r="E22" s="154">
        <v>118</v>
      </c>
      <c r="F22" s="155">
        <v>1</v>
      </c>
      <c r="G22" s="155">
        <v>1</v>
      </c>
      <c r="H22" s="154">
        <v>129</v>
      </c>
      <c r="I22" s="154">
        <v>129</v>
      </c>
      <c r="J22" s="154">
        <v>119</v>
      </c>
      <c r="K22" s="155">
        <v>1</v>
      </c>
      <c r="L22" s="155">
        <v>0.92</v>
      </c>
      <c r="M22" s="154">
        <v>213</v>
      </c>
      <c r="N22" s="154">
        <v>120</v>
      </c>
      <c r="O22" s="154">
        <v>116</v>
      </c>
      <c r="P22" s="155">
        <v>0.56000000000000005</v>
      </c>
      <c r="Q22" s="155">
        <v>0.54</v>
      </c>
      <c r="R22" s="154">
        <v>184</v>
      </c>
      <c r="S22" s="154">
        <v>77</v>
      </c>
      <c r="T22" s="154">
        <v>68</v>
      </c>
      <c r="U22" s="155">
        <v>0.42</v>
      </c>
      <c r="V22" s="155">
        <v>0.37</v>
      </c>
      <c r="W22" s="154">
        <v>109</v>
      </c>
      <c r="X22" s="154">
        <v>52</v>
      </c>
      <c r="Y22" s="154">
        <v>52</v>
      </c>
      <c r="Z22" s="155">
        <v>0.47706422018348599</v>
      </c>
      <c r="AA22" s="155">
        <v>0.47706422018348599</v>
      </c>
      <c r="AB22" s="154">
        <v>110</v>
      </c>
      <c r="AC22" s="154">
        <v>23</v>
      </c>
      <c r="AD22" s="154">
        <v>23</v>
      </c>
      <c r="AE22" s="155">
        <v>0.21</v>
      </c>
      <c r="AF22" s="155">
        <v>0.21</v>
      </c>
      <c r="AG22" s="154">
        <v>193</v>
      </c>
      <c r="AH22" s="154">
        <v>56</v>
      </c>
      <c r="AI22" s="154">
        <v>54</v>
      </c>
      <c r="AJ22" s="155">
        <v>0.29015544041450803</v>
      </c>
      <c r="AK22" s="155">
        <v>0.27979274611399002</v>
      </c>
    </row>
    <row r="23" spans="1:37">
      <c r="A23" s="156" t="s">
        <v>145</v>
      </c>
      <c r="B23" s="157" t="s">
        <v>129</v>
      </c>
      <c r="C23" s="158">
        <v>50</v>
      </c>
      <c r="D23" s="158">
        <v>10</v>
      </c>
      <c r="E23" s="158">
        <v>9</v>
      </c>
      <c r="F23" s="159">
        <v>0.2</v>
      </c>
      <c r="G23" s="159">
        <v>0.18</v>
      </c>
      <c r="H23" s="158">
        <v>261</v>
      </c>
      <c r="I23" s="158">
        <v>22</v>
      </c>
      <c r="J23" s="158">
        <v>19</v>
      </c>
      <c r="K23" s="159">
        <v>0.08</v>
      </c>
      <c r="L23" s="159">
        <v>7.0000000000000007E-2</v>
      </c>
      <c r="M23" s="158">
        <v>462</v>
      </c>
      <c r="N23" s="158">
        <v>49</v>
      </c>
      <c r="O23" s="158">
        <v>18</v>
      </c>
      <c r="P23" s="159">
        <v>0.11</v>
      </c>
      <c r="Q23" s="159">
        <v>0.04</v>
      </c>
      <c r="R23" s="158">
        <v>535</v>
      </c>
      <c r="S23" s="158">
        <v>69</v>
      </c>
      <c r="T23" s="158">
        <v>12</v>
      </c>
      <c r="U23" s="159">
        <v>0.13</v>
      </c>
      <c r="V23" s="159">
        <v>0.02</v>
      </c>
      <c r="W23" s="158">
        <v>418</v>
      </c>
      <c r="X23" s="158">
        <v>73</v>
      </c>
      <c r="Y23" s="158">
        <v>37</v>
      </c>
      <c r="Z23" s="159">
        <v>0.17464114832535901</v>
      </c>
      <c r="AA23" s="159">
        <v>8.8516746411483299E-2</v>
      </c>
      <c r="AB23" s="220">
        <v>459</v>
      </c>
      <c r="AC23" s="220">
        <v>55</v>
      </c>
      <c r="AD23" s="220">
        <v>24</v>
      </c>
      <c r="AE23" s="221">
        <v>0.12</v>
      </c>
      <c r="AF23" s="222">
        <v>0.05</v>
      </c>
      <c r="AG23" s="244">
        <v>373</v>
      </c>
      <c r="AH23" s="244">
        <v>78</v>
      </c>
      <c r="AI23" s="244">
        <v>27</v>
      </c>
      <c r="AJ23" s="245">
        <v>0.20911528150134001</v>
      </c>
      <c r="AK23" s="246">
        <v>7.2386058981233306E-2</v>
      </c>
    </row>
    <row r="24" spans="1:37">
      <c r="A24" s="152" t="s">
        <v>146</v>
      </c>
      <c r="B24" s="153" t="s">
        <v>131</v>
      </c>
      <c r="C24" s="154">
        <v>50</v>
      </c>
      <c r="D24" s="154">
        <v>48</v>
      </c>
      <c r="E24" s="154">
        <v>40</v>
      </c>
      <c r="F24" s="155">
        <v>0.96</v>
      </c>
      <c r="G24" s="155">
        <v>0.8</v>
      </c>
      <c r="H24" s="154">
        <v>261</v>
      </c>
      <c r="I24" s="154">
        <v>258</v>
      </c>
      <c r="J24" s="154">
        <v>214</v>
      </c>
      <c r="K24" s="155">
        <v>0.99</v>
      </c>
      <c r="L24" s="155">
        <v>0.82</v>
      </c>
      <c r="M24" s="154">
        <v>462</v>
      </c>
      <c r="N24" s="154">
        <v>449</v>
      </c>
      <c r="O24" s="154">
        <v>325</v>
      </c>
      <c r="P24" s="155">
        <v>0.97</v>
      </c>
      <c r="Q24" s="155">
        <v>0.7</v>
      </c>
      <c r="R24" s="154">
        <v>535</v>
      </c>
      <c r="S24" s="154">
        <v>522</v>
      </c>
      <c r="T24" s="154">
        <v>358</v>
      </c>
      <c r="U24" s="155">
        <v>0.98</v>
      </c>
      <c r="V24" s="155">
        <v>0.67</v>
      </c>
      <c r="W24" s="154">
        <v>418</v>
      </c>
      <c r="X24" s="154">
        <v>400</v>
      </c>
      <c r="Y24" s="154">
        <v>288</v>
      </c>
      <c r="Z24" s="155">
        <v>0.95693779904306198</v>
      </c>
      <c r="AA24" s="155">
        <v>0.68899521531100505</v>
      </c>
      <c r="AB24" s="154">
        <v>459</v>
      </c>
      <c r="AC24" s="154">
        <v>430</v>
      </c>
      <c r="AD24" s="154">
        <v>309</v>
      </c>
      <c r="AE24" s="155">
        <v>0.94</v>
      </c>
      <c r="AF24" s="155">
        <v>0.67</v>
      </c>
      <c r="AG24" s="154">
        <v>373</v>
      </c>
      <c r="AH24" s="154">
        <v>355</v>
      </c>
      <c r="AI24" s="154">
        <v>271</v>
      </c>
      <c r="AJ24" s="155">
        <v>0.95174262734584403</v>
      </c>
      <c r="AK24" s="155">
        <v>0.72654155495978601</v>
      </c>
    </row>
    <row r="25" spans="1:37">
      <c r="A25" s="152" t="s">
        <v>146</v>
      </c>
      <c r="B25" s="153" t="s">
        <v>129</v>
      </c>
      <c r="C25" s="154">
        <v>50</v>
      </c>
      <c r="D25" s="154">
        <v>50</v>
      </c>
      <c r="E25" s="154">
        <v>2</v>
      </c>
      <c r="F25" s="155">
        <v>1</v>
      </c>
      <c r="G25" s="155">
        <v>0.04</v>
      </c>
      <c r="H25" s="154">
        <v>261</v>
      </c>
      <c r="I25" s="154">
        <v>261</v>
      </c>
      <c r="J25" s="154">
        <v>32</v>
      </c>
      <c r="K25" s="155">
        <v>1</v>
      </c>
      <c r="L25" s="155">
        <v>0.12</v>
      </c>
      <c r="M25" s="154">
        <v>462</v>
      </c>
      <c r="N25" s="154">
        <v>353</v>
      </c>
      <c r="O25" s="154">
        <v>132</v>
      </c>
      <c r="P25" s="155">
        <v>0.76</v>
      </c>
      <c r="Q25" s="155">
        <v>0.28999999999999998</v>
      </c>
      <c r="R25" s="154">
        <v>535</v>
      </c>
      <c r="S25" s="154">
        <v>445</v>
      </c>
      <c r="T25" s="154">
        <v>48</v>
      </c>
      <c r="U25" s="155">
        <v>0.83</v>
      </c>
      <c r="V25" s="155">
        <v>0.09</v>
      </c>
      <c r="W25" s="154">
        <v>418</v>
      </c>
      <c r="X25" s="154">
        <v>351</v>
      </c>
      <c r="Y25" s="154">
        <v>44</v>
      </c>
      <c r="Z25" s="155">
        <v>0.83971291866028697</v>
      </c>
      <c r="AA25" s="155">
        <v>0.105263157894737</v>
      </c>
      <c r="AB25" s="154">
        <v>459</v>
      </c>
      <c r="AC25" s="154">
        <v>304</v>
      </c>
      <c r="AD25" s="154">
        <v>73</v>
      </c>
      <c r="AE25" s="155">
        <v>0.66</v>
      </c>
      <c r="AF25" s="155">
        <v>0.16</v>
      </c>
      <c r="AG25" s="154">
        <v>373</v>
      </c>
      <c r="AH25" s="154">
        <v>267</v>
      </c>
      <c r="AI25" s="154">
        <v>49</v>
      </c>
      <c r="AJ25" s="155">
        <v>0.715817694369973</v>
      </c>
      <c r="AK25" s="155">
        <v>0.13136729222520099</v>
      </c>
    </row>
    <row r="27" spans="1:37" ht="15" customHeight="1">
      <c r="T27" s="149" t="s">
        <v>720</v>
      </c>
      <c r="V27" s="149" t="s">
        <v>710</v>
      </c>
      <c r="W27" s="320">
        <f>SUM(W5:W7,W14:W17,W22,W24:W25,'SC3 Data'!W7:W8,'SC3 Data'!W12:W15,'SC3 Data'!W19:W20,'SC3 Data'!W22:W23)</f>
        <v>6912</v>
      </c>
      <c r="X27" s="321">
        <f>SUM(X5:X7,X14:X17,X22,X24:X25,'SC3 Data'!X7:X8,'SC3 Data'!X12:X15,'SC3 Data'!X19:X20,'SC3 Data'!X22:X23)</f>
        <v>5721</v>
      </c>
      <c r="Y27" s="321">
        <f>SUM(Y5:Y7,Y14:Y17,Y22,Y24:Y25,'SC3 Data'!Y7:Y8,'SC3 Data'!Y12:Y15,'SC3 Data'!Y19:Y20,'SC3 Data'!Y22:Y23)</f>
        <v>3367</v>
      </c>
      <c r="Z27" s="323">
        <f>X27/W27</f>
        <v>0.82769097222222221</v>
      </c>
      <c r="AA27" s="324">
        <f>Y27/X27</f>
        <v>0.58853347316902638</v>
      </c>
      <c r="AB27" s="321">
        <f>SUM(AB5:AB7,AB14:AB17,AB22,AB24:AB25,'SC3 Data'!AB7:AB8,'SC3 Data'!AB12:AB15,'SC3 Data'!AB19:AB20,'SC3 Data'!AB22:AB23)</f>
        <v>7479</v>
      </c>
      <c r="AC27" s="321">
        <f>SUM(AC5:AC7,AC14:AC17,AC22,AC24:AC25,'SC3 Data'!AC7:AC8,'SC3 Data'!AC12:AC15,'SC3 Data'!AC19:AC20,'SC3 Data'!AC22:AC23)</f>
        <v>6109</v>
      </c>
      <c r="AD27" s="321">
        <f>SUM(AD5:AD7,AD14:AD17,AD22,AD24:AD25,'SC3 Data'!AD7:AD8,'SC3 Data'!AD12:AD15,'SC3 Data'!AD19:AD20,'SC3 Data'!AD22:AD23)</f>
        <v>3673</v>
      </c>
      <c r="AE27" s="324">
        <f>AC27/AB27</f>
        <v>0.81682043053884212</v>
      </c>
      <c r="AF27" s="324">
        <f>AD27/AC27</f>
        <v>0.60124406613193648</v>
      </c>
      <c r="AG27" s="321">
        <f>SUM(AG5:AG7,AG14:AG17,AG22,AG24:AG25,'SC3 Data'!AG7:AG8,'SC3 Data'!AG12:AG15,'SC3 Data'!AG19:AG20,'SC3 Data'!AG22:AG23)</f>
        <v>7347</v>
      </c>
      <c r="AH27" s="321">
        <f>SUM(AH5:AH7,AH14:AH17,AH22,AH24:AH25,'SC3 Data'!AH7:AH8,'SC3 Data'!AH12:AH15,'SC3 Data'!AH19:AH20,'SC3 Data'!AH22:AH23)</f>
        <v>6109</v>
      </c>
      <c r="AI27" s="321">
        <f>SUM(AI5:AI7,AI14:AI17,AI22,AI24:AI25,'SC3 Data'!AI7:AI8,'SC3 Data'!AI12:AI15,'SC3 Data'!AI19:AI20,'SC3 Data'!AI22:AI23)</f>
        <v>3919</v>
      </c>
      <c r="AJ27" s="324">
        <f>AH27/AG27</f>
        <v>0.83149584864570569</v>
      </c>
      <c r="AK27" s="324">
        <f>AI27/AH27</f>
        <v>0.64151252250777546</v>
      </c>
    </row>
    <row r="28" spans="1:37" ht="15" customHeight="1">
      <c r="V28" s="149" t="s">
        <v>711</v>
      </c>
      <c r="W28" s="320">
        <f>SUM(W8:W25,'SC3 Data'!W5:W24)</f>
        <v>10830</v>
      </c>
      <c r="X28" s="321">
        <f>SUM(X8:X25,'SC3 Data'!X5:X24)</f>
        <v>8102</v>
      </c>
      <c r="Y28" s="321">
        <f>SUM(Y8:Y25,'SC3 Data'!Y5:Y24)</f>
        <v>4858</v>
      </c>
      <c r="Z28" s="323">
        <f>X28/W28</f>
        <v>0.74810710987996309</v>
      </c>
      <c r="AA28" s="324">
        <f>Y28/X28</f>
        <v>0.59960503579363122</v>
      </c>
      <c r="AB28" s="321">
        <f>SUM(AB8:AB25,'SC3 Data'!AB5:AB24)</f>
        <v>12015</v>
      </c>
      <c r="AC28" s="321">
        <f>SUM(AC8:AC25,'SC3 Data'!AC5:AC24)</f>
        <v>9113</v>
      </c>
      <c r="AD28" s="321">
        <f>SUM(AD8:AD25,'SC3 Data'!AD5:AD24)</f>
        <v>5595</v>
      </c>
      <c r="AE28" s="324">
        <f>AC28/AB28</f>
        <v>0.75846858094049108</v>
      </c>
      <c r="AF28" s="324">
        <f>AD28/AC28</f>
        <v>0.61395808186107759</v>
      </c>
      <c r="AG28" s="321">
        <f>SUM(AG8:AG25,'SC3 Data'!AG5:AG24)</f>
        <v>11613</v>
      </c>
      <c r="AH28" s="321">
        <f>SUM(AH8:AH25,'SC3 Data'!AH5:AH24)</f>
        <v>9102</v>
      </c>
      <c r="AI28" s="321">
        <f>SUM(AI8:AI25,'SC3 Data'!AI5:AI24)</f>
        <v>5695</v>
      </c>
      <c r="AJ28" s="324">
        <f>AH28/AG28</f>
        <v>0.78377680185998455</v>
      </c>
      <c r="AK28" s="324">
        <f>AI28/AH28</f>
        <v>0.62568666227202807</v>
      </c>
    </row>
  </sheetData>
  <autoFilter ref="A4:AF4" xr:uid="{D60723B4-D093-0546-9FB8-15523865D63F}"/>
  <mergeCells count="9">
    <mergeCell ref="AG3:AK3"/>
    <mergeCell ref="AB3:AF3"/>
    <mergeCell ref="W3:AA3"/>
    <mergeCell ref="A1:V1"/>
    <mergeCell ref="A2:V2"/>
    <mergeCell ref="C3:G3"/>
    <mergeCell ref="H3:L3"/>
    <mergeCell ref="M3:Q3"/>
    <mergeCell ref="R3:V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0D3C-752D-564E-9480-50BEC6762364}">
  <sheetPr>
    <tabColor rgb="FF2F5496"/>
  </sheetPr>
  <dimension ref="A1:AK25"/>
  <sheetViews>
    <sheetView zoomScaleNormal="100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J23" activeCellId="9" sqref="AJ7 AJ8 AJ12 AJ13 AJ14 AJ15 AJ19 AJ20 AJ22 AJ23"/>
    </sheetView>
  </sheetViews>
  <sheetFormatPr baseColWidth="10" defaultColWidth="8.6640625" defaultRowHeight="15" customHeight="1"/>
  <cols>
    <col min="1" max="1" width="38" style="149" customWidth="1"/>
    <col min="2" max="2" width="12" style="149" customWidth="1"/>
    <col min="3" max="37" width="6.5" style="149" customWidth="1"/>
    <col min="38" max="16384" width="8.6640625" style="149"/>
  </cols>
  <sheetData>
    <row r="1" spans="1:37" ht="30" customHeight="1">
      <c r="A1" s="384" t="s">
        <v>147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</row>
    <row r="2" spans="1:37">
      <c r="A2" s="385" t="s">
        <v>148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</row>
    <row r="3" spans="1:37">
      <c r="C3" s="383" t="s">
        <v>117</v>
      </c>
      <c r="D3" s="383"/>
      <c r="E3" s="383"/>
      <c r="F3" s="383"/>
      <c r="G3" s="383"/>
      <c r="H3" s="383" t="s">
        <v>118</v>
      </c>
      <c r="I3" s="383"/>
      <c r="J3" s="383"/>
      <c r="K3" s="383"/>
      <c r="L3" s="383"/>
      <c r="M3" s="383" t="s">
        <v>119</v>
      </c>
      <c r="N3" s="383"/>
      <c r="O3" s="383"/>
      <c r="P3" s="383"/>
      <c r="Q3" s="383"/>
      <c r="R3" s="383" t="s">
        <v>120</v>
      </c>
      <c r="S3" s="383"/>
      <c r="T3" s="383"/>
      <c r="U3" s="383"/>
      <c r="V3" s="383"/>
      <c r="W3" s="383" t="s">
        <v>121</v>
      </c>
      <c r="X3" s="383"/>
      <c r="Y3" s="383"/>
      <c r="Z3" s="383"/>
      <c r="AA3" s="383"/>
      <c r="AB3" s="383" t="s">
        <v>122</v>
      </c>
      <c r="AC3" s="383"/>
      <c r="AD3" s="383"/>
      <c r="AE3" s="383"/>
      <c r="AF3" s="383"/>
      <c r="AG3" s="383" t="s">
        <v>480</v>
      </c>
      <c r="AH3" s="383"/>
      <c r="AI3" s="383"/>
      <c r="AJ3" s="383"/>
      <c r="AK3" s="383"/>
    </row>
    <row r="4" spans="1:37" ht="34.5" customHeight="1">
      <c r="A4" s="150" t="s">
        <v>123</v>
      </c>
      <c r="B4" s="150" t="s">
        <v>124</v>
      </c>
      <c r="C4" s="151" t="s">
        <v>125</v>
      </c>
      <c r="D4" s="151" t="s">
        <v>126</v>
      </c>
      <c r="E4" s="151" t="s">
        <v>127</v>
      </c>
      <c r="F4" s="151" t="s">
        <v>41</v>
      </c>
      <c r="G4" s="151" t="s">
        <v>42</v>
      </c>
      <c r="H4" s="151" t="s">
        <v>125</v>
      </c>
      <c r="I4" s="151" t="s">
        <v>126</v>
      </c>
      <c r="J4" s="151" t="s">
        <v>127</v>
      </c>
      <c r="K4" s="151" t="s">
        <v>41</v>
      </c>
      <c r="L4" s="151" t="s">
        <v>42</v>
      </c>
      <c r="M4" s="151" t="s">
        <v>125</v>
      </c>
      <c r="N4" s="151" t="s">
        <v>126</v>
      </c>
      <c r="O4" s="151" t="s">
        <v>127</v>
      </c>
      <c r="P4" s="151" t="s">
        <v>41</v>
      </c>
      <c r="Q4" s="151" t="s">
        <v>42</v>
      </c>
      <c r="R4" s="151" t="s">
        <v>125</v>
      </c>
      <c r="S4" s="151" t="s">
        <v>126</v>
      </c>
      <c r="T4" s="151" t="s">
        <v>127</v>
      </c>
      <c r="U4" s="151" t="s">
        <v>41</v>
      </c>
      <c r="V4" s="151" t="s">
        <v>42</v>
      </c>
      <c r="W4" s="151" t="s">
        <v>125</v>
      </c>
      <c r="X4" s="151" t="s">
        <v>126</v>
      </c>
      <c r="Y4" s="151" t="s">
        <v>127</v>
      </c>
      <c r="Z4" s="151" t="s">
        <v>41</v>
      </c>
      <c r="AA4" s="151" t="s">
        <v>42</v>
      </c>
      <c r="AB4" s="151" t="s">
        <v>125</v>
      </c>
      <c r="AC4" s="151" t="s">
        <v>126</v>
      </c>
      <c r="AD4" s="151" t="s">
        <v>127</v>
      </c>
      <c r="AE4" s="151" t="s">
        <v>41</v>
      </c>
      <c r="AF4" s="151" t="s">
        <v>42</v>
      </c>
      <c r="AG4" s="151" t="s">
        <v>125</v>
      </c>
      <c r="AH4" s="151" t="s">
        <v>126</v>
      </c>
      <c r="AI4" s="151" t="s">
        <v>127</v>
      </c>
      <c r="AJ4" s="151" t="s">
        <v>41</v>
      </c>
      <c r="AK4" s="151" t="s">
        <v>42</v>
      </c>
    </row>
    <row r="5" spans="1:37">
      <c r="A5" s="156" t="s">
        <v>149</v>
      </c>
      <c r="B5" s="157" t="s">
        <v>129</v>
      </c>
      <c r="C5" s="158">
        <v>29</v>
      </c>
      <c r="D5" s="158">
        <v>27</v>
      </c>
      <c r="E5" s="158">
        <v>27</v>
      </c>
      <c r="F5" s="159">
        <v>0.93100000000000005</v>
      </c>
      <c r="G5" s="159">
        <v>0.93100000000000005</v>
      </c>
      <c r="H5" s="158">
        <v>36</v>
      </c>
      <c r="I5" s="158">
        <v>33</v>
      </c>
      <c r="J5" s="158">
        <v>33</v>
      </c>
      <c r="K5" s="159">
        <v>0.91700000000000004</v>
      </c>
      <c r="L5" s="159">
        <v>0.91700000000000004</v>
      </c>
      <c r="M5" s="158">
        <v>51</v>
      </c>
      <c r="N5" s="158">
        <v>47</v>
      </c>
      <c r="O5" s="158">
        <v>47</v>
      </c>
      <c r="P5" s="159">
        <v>0.92200000000000004</v>
      </c>
      <c r="Q5" s="159">
        <v>0.92200000000000004</v>
      </c>
      <c r="R5" s="158">
        <v>66</v>
      </c>
      <c r="S5" s="158">
        <v>63</v>
      </c>
      <c r="T5" s="158">
        <v>62</v>
      </c>
      <c r="U5" s="159">
        <v>0.95499999999999996</v>
      </c>
      <c r="V5" s="159">
        <v>0.93899999999999995</v>
      </c>
      <c r="W5" s="158">
        <v>52</v>
      </c>
      <c r="X5" s="158">
        <v>48</v>
      </c>
      <c r="Y5" s="158">
        <v>48</v>
      </c>
      <c r="Z5" s="159">
        <v>0.92307692307692302</v>
      </c>
      <c r="AA5" s="159">
        <v>0.92307692307692302</v>
      </c>
      <c r="AB5" s="158">
        <v>76</v>
      </c>
      <c r="AC5" s="158">
        <v>70</v>
      </c>
      <c r="AD5" s="158">
        <v>70</v>
      </c>
      <c r="AE5" s="159">
        <f>AC5/AB5</f>
        <v>0.92105263157894735</v>
      </c>
      <c r="AF5" s="159">
        <f>AD5/AB5</f>
        <v>0.92105263157894735</v>
      </c>
      <c r="AG5" s="244">
        <v>74</v>
      </c>
      <c r="AH5" s="244">
        <v>69</v>
      </c>
      <c r="AI5" s="244">
        <v>67</v>
      </c>
      <c r="AJ5" s="245">
        <v>0.93243243243243201</v>
      </c>
      <c r="AK5" s="246">
        <v>0.90540540540540504</v>
      </c>
    </row>
    <row r="6" spans="1:37">
      <c r="A6" s="156" t="s">
        <v>150</v>
      </c>
      <c r="B6" s="157" t="s">
        <v>129</v>
      </c>
      <c r="C6" s="158">
        <v>26</v>
      </c>
      <c r="D6" s="158">
        <v>7</v>
      </c>
      <c r="E6" s="158">
        <v>5</v>
      </c>
      <c r="F6" s="159">
        <v>0.26900000000000002</v>
      </c>
      <c r="G6" s="159">
        <v>0.192</v>
      </c>
      <c r="H6" s="158">
        <v>27</v>
      </c>
      <c r="I6" s="158">
        <v>8</v>
      </c>
      <c r="J6" s="158">
        <v>6</v>
      </c>
      <c r="K6" s="159">
        <v>0.29599999999999999</v>
      </c>
      <c r="L6" s="159">
        <v>0.222</v>
      </c>
      <c r="M6" s="158">
        <v>47</v>
      </c>
      <c r="N6" s="158">
        <v>14</v>
      </c>
      <c r="O6" s="158">
        <v>12</v>
      </c>
      <c r="P6" s="159">
        <v>0.29799999999999999</v>
      </c>
      <c r="Q6" s="159">
        <v>0.255</v>
      </c>
      <c r="R6" s="158">
        <v>52</v>
      </c>
      <c r="S6" s="158">
        <v>10</v>
      </c>
      <c r="T6" s="158">
        <v>6</v>
      </c>
      <c r="U6" s="159">
        <v>0.192</v>
      </c>
      <c r="V6" s="159">
        <v>0.115</v>
      </c>
      <c r="W6" s="158">
        <v>45</v>
      </c>
      <c r="X6" s="158">
        <v>13</v>
      </c>
      <c r="Y6" s="158">
        <v>11</v>
      </c>
      <c r="Z6" s="159">
        <v>0.28888888888888897</v>
      </c>
      <c r="AA6" s="159">
        <v>0.24444444444444399</v>
      </c>
      <c r="AB6" s="158">
        <v>46</v>
      </c>
      <c r="AC6" s="158">
        <v>14</v>
      </c>
      <c r="AD6" s="158">
        <v>6</v>
      </c>
      <c r="AE6" s="159">
        <f t="shared" ref="AE6:AE24" si="0">AC6/AB6</f>
        <v>0.30434782608695654</v>
      </c>
      <c r="AF6" s="159">
        <f t="shared" ref="AF6:AF24" si="1">AD6/AB6</f>
        <v>0.13043478260869565</v>
      </c>
      <c r="AG6" s="244">
        <v>64</v>
      </c>
      <c r="AH6" s="244">
        <v>22</v>
      </c>
      <c r="AI6" s="244">
        <v>16</v>
      </c>
      <c r="AJ6" s="245">
        <v>0.34375</v>
      </c>
      <c r="AK6" s="246">
        <v>0.25</v>
      </c>
    </row>
    <row r="7" spans="1:37">
      <c r="A7" s="152" t="s">
        <v>130</v>
      </c>
      <c r="B7" s="153" t="s">
        <v>129</v>
      </c>
      <c r="C7" s="154">
        <v>240</v>
      </c>
      <c r="D7" s="154">
        <v>195</v>
      </c>
      <c r="E7" s="154">
        <v>76</v>
      </c>
      <c r="F7" s="155">
        <v>0.81299999999999994</v>
      </c>
      <c r="G7" s="155">
        <v>0.317</v>
      </c>
      <c r="H7" s="154">
        <v>283</v>
      </c>
      <c r="I7" s="154">
        <v>224</v>
      </c>
      <c r="J7" s="154">
        <v>111</v>
      </c>
      <c r="K7" s="155">
        <v>0.79200000000000004</v>
      </c>
      <c r="L7" s="155">
        <v>0.39200000000000002</v>
      </c>
      <c r="M7" s="154">
        <v>289</v>
      </c>
      <c r="N7" s="154">
        <v>211</v>
      </c>
      <c r="O7" s="154">
        <v>92</v>
      </c>
      <c r="P7" s="155">
        <v>0.73</v>
      </c>
      <c r="Q7" s="155">
        <v>0.318</v>
      </c>
      <c r="R7" s="154">
        <v>306</v>
      </c>
      <c r="S7" s="154">
        <v>242</v>
      </c>
      <c r="T7" s="154">
        <v>97</v>
      </c>
      <c r="U7" s="155">
        <v>0.79100000000000004</v>
      </c>
      <c r="V7" s="155">
        <v>0.317</v>
      </c>
      <c r="W7" s="154">
        <v>292</v>
      </c>
      <c r="X7" s="154">
        <v>221</v>
      </c>
      <c r="Y7" s="154">
        <v>100</v>
      </c>
      <c r="Z7" s="155">
        <v>0.75684931506849296</v>
      </c>
      <c r="AA7" s="155">
        <v>0.34246575342465801</v>
      </c>
      <c r="AB7" s="154">
        <v>304</v>
      </c>
      <c r="AC7" s="154">
        <v>239</v>
      </c>
      <c r="AD7" s="154">
        <v>117</v>
      </c>
      <c r="AE7" s="155">
        <f t="shared" si="0"/>
        <v>0.78618421052631582</v>
      </c>
      <c r="AF7" s="155">
        <f t="shared" si="1"/>
        <v>0.38486842105263158</v>
      </c>
      <c r="AG7" s="154">
        <v>322</v>
      </c>
      <c r="AH7" s="154">
        <v>251</v>
      </c>
      <c r="AI7" s="154">
        <v>131</v>
      </c>
      <c r="AJ7" s="319">
        <v>0.77950310559006197</v>
      </c>
      <c r="AK7" s="319">
        <v>0.40683229813664601</v>
      </c>
    </row>
    <row r="8" spans="1:37">
      <c r="A8" s="152" t="s">
        <v>130</v>
      </c>
      <c r="B8" s="153" t="s">
        <v>131</v>
      </c>
      <c r="C8" s="154">
        <v>214</v>
      </c>
      <c r="D8" s="154">
        <v>174</v>
      </c>
      <c r="E8" s="154">
        <v>0</v>
      </c>
      <c r="F8" s="155">
        <v>0.81299999999999994</v>
      </c>
      <c r="G8" s="155">
        <v>0</v>
      </c>
      <c r="H8" s="154">
        <v>256</v>
      </c>
      <c r="I8" s="154">
        <v>207</v>
      </c>
      <c r="J8" s="154">
        <v>0</v>
      </c>
      <c r="K8" s="155">
        <v>0.80900000000000005</v>
      </c>
      <c r="L8" s="155">
        <v>0</v>
      </c>
      <c r="M8" s="154">
        <v>242</v>
      </c>
      <c r="N8" s="154">
        <v>188</v>
      </c>
      <c r="O8" s="154">
        <v>0</v>
      </c>
      <c r="P8" s="155">
        <v>0.77700000000000002</v>
      </c>
      <c r="Q8" s="155">
        <v>0</v>
      </c>
      <c r="R8" s="154">
        <v>254</v>
      </c>
      <c r="S8" s="154">
        <v>213</v>
      </c>
      <c r="T8" s="154">
        <v>0</v>
      </c>
      <c r="U8" s="155">
        <v>0.83899999999999997</v>
      </c>
      <c r="V8" s="155">
        <v>0</v>
      </c>
      <c r="W8" s="154">
        <v>247</v>
      </c>
      <c r="X8" s="154">
        <v>205</v>
      </c>
      <c r="Y8" s="154">
        <v>0</v>
      </c>
      <c r="Z8" s="155">
        <v>0.82995951417003999</v>
      </c>
      <c r="AA8" s="155">
        <v>0</v>
      </c>
      <c r="AB8" s="154">
        <v>258</v>
      </c>
      <c r="AC8" s="154">
        <v>219</v>
      </c>
      <c r="AD8" s="154">
        <v>0</v>
      </c>
      <c r="AE8" s="155">
        <f t="shared" si="0"/>
        <v>0.84883720930232553</v>
      </c>
      <c r="AF8" s="155">
        <f t="shared" si="1"/>
        <v>0</v>
      </c>
      <c r="AG8" s="154">
        <v>258</v>
      </c>
      <c r="AH8" s="154">
        <v>223</v>
      </c>
      <c r="AI8" s="154">
        <v>0</v>
      </c>
      <c r="AJ8" s="319">
        <v>0.86434108527131803</v>
      </c>
      <c r="AK8" s="319">
        <v>0</v>
      </c>
    </row>
    <row r="9" spans="1:37">
      <c r="A9" s="156" t="s">
        <v>133</v>
      </c>
      <c r="B9" s="157" t="s">
        <v>129</v>
      </c>
      <c r="C9" s="158">
        <v>146</v>
      </c>
      <c r="D9" s="158">
        <v>138</v>
      </c>
      <c r="E9" s="158">
        <v>95</v>
      </c>
      <c r="F9" s="159">
        <v>0.94499999999999995</v>
      </c>
      <c r="G9" s="159">
        <v>0.65100000000000002</v>
      </c>
      <c r="H9" s="158">
        <v>208</v>
      </c>
      <c r="I9" s="158">
        <v>194</v>
      </c>
      <c r="J9" s="158">
        <v>114</v>
      </c>
      <c r="K9" s="159">
        <v>0.93300000000000005</v>
      </c>
      <c r="L9" s="159">
        <v>0.54800000000000004</v>
      </c>
      <c r="M9" s="158">
        <v>181</v>
      </c>
      <c r="N9" s="158">
        <v>162</v>
      </c>
      <c r="O9" s="158">
        <v>105</v>
      </c>
      <c r="P9" s="159">
        <v>0.89500000000000002</v>
      </c>
      <c r="Q9" s="159">
        <v>0.57999999999999996</v>
      </c>
      <c r="R9" s="158">
        <v>198</v>
      </c>
      <c r="S9" s="158">
        <v>176</v>
      </c>
      <c r="T9" s="158">
        <v>97</v>
      </c>
      <c r="U9" s="159">
        <v>0.88900000000000001</v>
      </c>
      <c r="V9" s="159">
        <v>0.49</v>
      </c>
      <c r="W9" s="158">
        <v>183</v>
      </c>
      <c r="X9" s="158">
        <v>171</v>
      </c>
      <c r="Y9" s="158">
        <v>108</v>
      </c>
      <c r="Z9" s="159">
        <v>0.93442622950819698</v>
      </c>
      <c r="AA9" s="159">
        <v>0.59016393442622905</v>
      </c>
      <c r="AB9" s="158">
        <v>216</v>
      </c>
      <c r="AC9" s="158">
        <v>195</v>
      </c>
      <c r="AD9" s="158">
        <v>104</v>
      </c>
      <c r="AE9" s="159">
        <f t="shared" si="0"/>
        <v>0.90277777777777779</v>
      </c>
      <c r="AF9" s="159">
        <f t="shared" si="1"/>
        <v>0.48148148148148145</v>
      </c>
      <c r="AG9" s="244">
        <v>213</v>
      </c>
      <c r="AH9" s="244">
        <v>192</v>
      </c>
      <c r="AI9" s="244">
        <v>114</v>
      </c>
      <c r="AJ9" s="245">
        <v>0.90140845070422504</v>
      </c>
      <c r="AK9" s="246">
        <v>0.53521126760563398</v>
      </c>
    </row>
    <row r="10" spans="1:37">
      <c r="A10" s="156" t="s">
        <v>137</v>
      </c>
      <c r="B10" s="157" t="s">
        <v>129</v>
      </c>
      <c r="C10" s="158">
        <v>107</v>
      </c>
      <c r="D10" s="158">
        <v>84</v>
      </c>
      <c r="E10" s="158">
        <v>75</v>
      </c>
      <c r="F10" s="159">
        <v>0.78500000000000003</v>
      </c>
      <c r="G10" s="159">
        <v>0.70099999999999996</v>
      </c>
      <c r="H10" s="158">
        <v>115</v>
      </c>
      <c r="I10" s="158">
        <v>90</v>
      </c>
      <c r="J10" s="158">
        <v>82</v>
      </c>
      <c r="K10" s="159">
        <v>0.78300000000000003</v>
      </c>
      <c r="L10" s="159">
        <v>0.71299999999999997</v>
      </c>
      <c r="M10" s="158">
        <v>125</v>
      </c>
      <c r="N10" s="158">
        <v>97</v>
      </c>
      <c r="O10" s="158">
        <v>84</v>
      </c>
      <c r="P10" s="159">
        <v>0.77600000000000002</v>
      </c>
      <c r="Q10" s="159">
        <v>0.67200000000000004</v>
      </c>
      <c r="R10" s="158">
        <v>153</v>
      </c>
      <c r="S10" s="158">
        <v>106</v>
      </c>
      <c r="T10" s="158">
        <v>100</v>
      </c>
      <c r="U10" s="159">
        <v>0.69299999999999995</v>
      </c>
      <c r="V10" s="159">
        <v>0.65400000000000003</v>
      </c>
      <c r="W10" s="158">
        <v>147</v>
      </c>
      <c r="X10" s="158">
        <v>117</v>
      </c>
      <c r="Y10" s="158">
        <v>104</v>
      </c>
      <c r="Z10" s="159">
        <v>0.79591836734693899</v>
      </c>
      <c r="AA10" s="159">
        <v>0.70748299319727903</v>
      </c>
      <c r="AB10" s="158">
        <v>150</v>
      </c>
      <c r="AC10" s="158">
        <v>96</v>
      </c>
      <c r="AD10" s="158">
        <v>74</v>
      </c>
      <c r="AE10" s="159">
        <f t="shared" si="0"/>
        <v>0.64</v>
      </c>
      <c r="AF10" s="159">
        <f t="shared" si="1"/>
        <v>0.49333333333333335</v>
      </c>
      <c r="AG10" s="244">
        <v>130</v>
      </c>
      <c r="AH10" s="244">
        <v>79</v>
      </c>
      <c r="AI10" s="244">
        <v>55</v>
      </c>
      <c r="AJ10" s="245">
        <v>0.60769230769230798</v>
      </c>
      <c r="AK10" s="246">
        <v>0.42307692307692302</v>
      </c>
    </row>
    <row r="11" spans="1:37">
      <c r="A11" s="156" t="s">
        <v>151</v>
      </c>
      <c r="B11" s="157" t="s">
        <v>129</v>
      </c>
      <c r="C11" s="158">
        <v>29</v>
      </c>
      <c r="D11" s="158">
        <v>12</v>
      </c>
      <c r="E11" s="158">
        <v>11</v>
      </c>
      <c r="F11" s="159">
        <v>0.41399999999999998</v>
      </c>
      <c r="G11" s="159">
        <v>0.379</v>
      </c>
      <c r="H11" s="158">
        <v>36</v>
      </c>
      <c r="I11" s="158">
        <v>15</v>
      </c>
      <c r="J11" s="158">
        <v>14</v>
      </c>
      <c r="K11" s="159">
        <v>0.41699999999999998</v>
      </c>
      <c r="L11" s="159">
        <v>0.38900000000000001</v>
      </c>
      <c r="M11" s="158">
        <v>51</v>
      </c>
      <c r="N11" s="158">
        <v>26</v>
      </c>
      <c r="O11" s="158">
        <v>25</v>
      </c>
      <c r="P11" s="159">
        <v>0.51</v>
      </c>
      <c r="Q11" s="159">
        <v>0.49</v>
      </c>
      <c r="R11" s="158">
        <v>66</v>
      </c>
      <c r="S11" s="158">
        <v>28</v>
      </c>
      <c r="T11" s="158">
        <v>23</v>
      </c>
      <c r="U11" s="159">
        <v>0.42399999999999999</v>
      </c>
      <c r="V11" s="159">
        <v>0.34799999999999998</v>
      </c>
      <c r="W11" s="158">
        <v>54</v>
      </c>
      <c r="X11" s="158">
        <v>37</v>
      </c>
      <c r="Y11" s="158">
        <v>34</v>
      </c>
      <c r="Z11" s="159">
        <v>0.68518518518518501</v>
      </c>
      <c r="AA11" s="159">
        <v>0.62962962962962998</v>
      </c>
      <c r="AB11" s="158">
        <v>78</v>
      </c>
      <c r="AC11" s="158">
        <v>46</v>
      </c>
      <c r="AD11" s="158">
        <v>43</v>
      </c>
      <c r="AE11" s="159">
        <f t="shared" si="0"/>
        <v>0.58974358974358976</v>
      </c>
      <c r="AF11" s="159">
        <f t="shared" si="1"/>
        <v>0.55128205128205132</v>
      </c>
      <c r="AG11" s="244">
        <v>82</v>
      </c>
      <c r="AH11" s="244">
        <v>42</v>
      </c>
      <c r="AI11" s="244">
        <v>30</v>
      </c>
      <c r="AJ11" s="245">
        <v>0.51219512195121997</v>
      </c>
      <c r="AK11" s="246">
        <v>0.36585365853658502</v>
      </c>
    </row>
    <row r="12" spans="1:37">
      <c r="A12" s="152" t="s">
        <v>138</v>
      </c>
      <c r="B12" s="153" t="s">
        <v>129</v>
      </c>
      <c r="C12" s="154">
        <v>253</v>
      </c>
      <c r="D12" s="154">
        <v>219</v>
      </c>
      <c r="E12" s="154">
        <v>217</v>
      </c>
      <c r="F12" s="155">
        <v>0.86599999999999999</v>
      </c>
      <c r="G12" s="155">
        <v>0.85799999999999998</v>
      </c>
      <c r="H12" s="154">
        <v>323</v>
      </c>
      <c r="I12" s="154">
        <v>279</v>
      </c>
      <c r="J12" s="154">
        <v>277</v>
      </c>
      <c r="K12" s="155">
        <v>0.86399999999999999</v>
      </c>
      <c r="L12" s="155">
        <v>0.85799999999999998</v>
      </c>
      <c r="M12" s="154">
        <v>306</v>
      </c>
      <c r="N12" s="154">
        <v>258</v>
      </c>
      <c r="O12" s="154">
        <v>250</v>
      </c>
      <c r="P12" s="155">
        <v>0.84299999999999997</v>
      </c>
      <c r="Q12" s="155">
        <v>0.81699999999999995</v>
      </c>
      <c r="R12" s="154">
        <v>351</v>
      </c>
      <c r="S12" s="154">
        <v>281</v>
      </c>
      <c r="T12" s="154">
        <v>274</v>
      </c>
      <c r="U12" s="155">
        <v>0.80100000000000005</v>
      </c>
      <c r="V12" s="155">
        <v>0.78100000000000003</v>
      </c>
      <c r="W12" s="154">
        <v>330</v>
      </c>
      <c r="X12" s="154">
        <v>301</v>
      </c>
      <c r="Y12" s="154">
        <v>294</v>
      </c>
      <c r="Z12" s="155">
        <v>0.912121212121212</v>
      </c>
      <c r="AA12" s="155">
        <v>0.89090909090909098</v>
      </c>
      <c r="AB12" s="154">
        <v>366</v>
      </c>
      <c r="AC12" s="154">
        <v>311</v>
      </c>
      <c r="AD12" s="154">
        <v>304</v>
      </c>
      <c r="AE12" s="155">
        <f t="shared" si="0"/>
        <v>0.84972677595628421</v>
      </c>
      <c r="AF12" s="155">
        <f t="shared" si="1"/>
        <v>0.8306010928961749</v>
      </c>
      <c r="AG12" s="154">
        <v>343</v>
      </c>
      <c r="AH12" s="154">
        <v>283</v>
      </c>
      <c r="AI12" s="154">
        <v>277</v>
      </c>
      <c r="AJ12" s="319">
        <v>0.82507288629737596</v>
      </c>
      <c r="AK12" s="319">
        <v>0.80758017492711398</v>
      </c>
    </row>
    <row r="13" spans="1:37">
      <c r="A13" s="152" t="s">
        <v>138</v>
      </c>
      <c r="B13" s="153" t="s">
        <v>131</v>
      </c>
      <c r="C13" s="154">
        <v>253</v>
      </c>
      <c r="D13" s="154">
        <v>219</v>
      </c>
      <c r="E13" s="154">
        <v>174</v>
      </c>
      <c r="F13" s="155">
        <v>0.86599999999999999</v>
      </c>
      <c r="G13" s="155">
        <v>0.68799999999999994</v>
      </c>
      <c r="H13" s="154">
        <v>323</v>
      </c>
      <c r="I13" s="154">
        <v>289</v>
      </c>
      <c r="J13" s="154">
        <v>234</v>
      </c>
      <c r="K13" s="155">
        <v>0.89500000000000002</v>
      </c>
      <c r="L13" s="155">
        <v>0.72399999999999998</v>
      </c>
      <c r="M13" s="154">
        <v>306</v>
      </c>
      <c r="N13" s="154">
        <v>264</v>
      </c>
      <c r="O13" s="154">
        <v>216</v>
      </c>
      <c r="P13" s="155">
        <v>0.86299999999999999</v>
      </c>
      <c r="Q13" s="155">
        <v>0.70599999999999996</v>
      </c>
      <c r="R13" s="154">
        <v>351</v>
      </c>
      <c r="S13" s="154">
        <v>297</v>
      </c>
      <c r="T13" s="154">
        <v>239</v>
      </c>
      <c r="U13" s="155">
        <v>0.84599999999999997</v>
      </c>
      <c r="V13" s="155">
        <v>0.68100000000000005</v>
      </c>
      <c r="W13" s="154">
        <v>330</v>
      </c>
      <c r="X13" s="154">
        <v>301</v>
      </c>
      <c r="Y13" s="154">
        <v>268</v>
      </c>
      <c r="Z13" s="155">
        <v>0.912121212121212</v>
      </c>
      <c r="AA13" s="155">
        <v>0.81212121212121202</v>
      </c>
      <c r="AB13" s="154">
        <v>366</v>
      </c>
      <c r="AC13" s="154">
        <v>307</v>
      </c>
      <c r="AD13" s="154">
        <v>259</v>
      </c>
      <c r="AE13" s="155">
        <f t="shared" si="0"/>
        <v>0.83879781420765032</v>
      </c>
      <c r="AF13" s="155">
        <f t="shared" si="1"/>
        <v>0.70765027322404372</v>
      </c>
      <c r="AG13" s="154">
        <v>343</v>
      </c>
      <c r="AH13" s="154">
        <v>288</v>
      </c>
      <c r="AI13" s="154">
        <v>261</v>
      </c>
      <c r="AJ13" s="319">
        <v>0.839650145772595</v>
      </c>
      <c r="AK13" s="319">
        <v>0.76093294460641403</v>
      </c>
    </row>
    <row r="14" spans="1:37">
      <c r="A14" s="152" t="s">
        <v>139</v>
      </c>
      <c r="B14" s="153" t="s">
        <v>129</v>
      </c>
      <c r="C14" s="154">
        <v>253</v>
      </c>
      <c r="D14" s="154">
        <v>229</v>
      </c>
      <c r="E14" s="154">
        <v>224</v>
      </c>
      <c r="F14" s="155">
        <v>0.90500000000000003</v>
      </c>
      <c r="G14" s="155">
        <v>0.88500000000000001</v>
      </c>
      <c r="H14" s="154">
        <v>323</v>
      </c>
      <c r="I14" s="154">
        <v>291</v>
      </c>
      <c r="J14" s="154">
        <v>287</v>
      </c>
      <c r="K14" s="155">
        <v>0.90100000000000002</v>
      </c>
      <c r="L14" s="155">
        <v>0.88900000000000001</v>
      </c>
      <c r="M14" s="154">
        <v>306</v>
      </c>
      <c r="N14" s="154">
        <v>264</v>
      </c>
      <c r="O14" s="154">
        <v>260</v>
      </c>
      <c r="P14" s="155">
        <v>0.86299999999999999</v>
      </c>
      <c r="Q14" s="155">
        <v>0.85</v>
      </c>
      <c r="R14" s="154">
        <v>351</v>
      </c>
      <c r="S14" s="154">
        <v>302</v>
      </c>
      <c r="T14" s="154">
        <v>298</v>
      </c>
      <c r="U14" s="155">
        <v>0.86</v>
      </c>
      <c r="V14" s="155">
        <v>0.84899999999999998</v>
      </c>
      <c r="W14" s="154">
        <v>330</v>
      </c>
      <c r="X14" s="154">
        <v>308</v>
      </c>
      <c r="Y14" s="154">
        <v>307</v>
      </c>
      <c r="Z14" s="155">
        <v>0.93333333333333302</v>
      </c>
      <c r="AA14" s="155">
        <v>0.93030303030302997</v>
      </c>
      <c r="AB14" s="154">
        <v>366</v>
      </c>
      <c r="AC14" s="154">
        <v>320</v>
      </c>
      <c r="AD14" s="154">
        <v>316</v>
      </c>
      <c r="AE14" s="155">
        <f t="shared" si="0"/>
        <v>0.87431693989071035</v>
      </c>
      <c r="AF14" s="155">
        <f t="shared" si="1"/>
        <v>0.86338797814207646</v>
      </c>
      <c r="AG14" s="154">
        <v>343</v>
      </c>
      <c r="AH14" s="154">
        <v>303</v>
      </c>
      <c r="AI14" s="154">
        <v>301</v>
      </c>
      <c r="AJ14" s="319">
        <v>0.88338192419825101</v>
      </c>
      <c r="AK14" s="319">
        <v>0.87755102040816302</v>
      </c>
    </row>
    <row r="15" spans="1:37">
      <c r="A15" s="152" t="s">
        <v>139</v>
      </c>
      <c r="B15" s="153" t="s">
        <v>131</v>
      </c>
      <c r="C15" s="154">
        <v>253</v>
      </c>
      <c r="D15" s="154">
        <v>223</v>
      </c>
      <c r="E15" s="154">
        <v>211</v>
      </c>
      <c r="F15" s="155">
        <v>0.88100000000000001</v>
      </c>
      <c r="G15" s="155">
        <v>0.83399999999999996</v>
      </c>
      <c r="H15" s="154">
        <v>323</v>
      </c>
      <c r="I15" s="154">
        <v>295</v>
      </c>
      <c r="J15" s="154">
        <v>279</v>
      </c>
      <c r="K15" s="155">
        <v>0.91300000000000003</v>
      </c>
      <c r="L15" s="155">
        <v>0.86399999999999999</v>
      </c>
      <c r="M15" s="154">
        <v>306</v>
      </c>
      <c r="N15" s="154">
        <v>269</v>
      </c>
      <c r="O15" s="154">
        <v>254</v>
      </c>
      <c r="P15" s="155">
        <v>0.879</v>
      </c>
      <c r="Q15" s="155">
        <v>0.83</v>
      </c>
      <c r="R15" s="154">
        <v>351</v>
      </c>
      <c r="S15" s="154">
        <v>304</v>
      </c>
      <c r="T15" s="154">
        <v>290</v>
      </c>
      <c r="U15" s="155">
        <v>0.86599999999999999</v>
      </c>
      <c r="V15" s="155">
        <v>0.82599999999999996</v>
      </c>
      <c r="W15" s="154">
        <v>330</v>
      </c>
      <c r="X15" s="154">
        <v>309</v>
      </c>
      <c r="Y15" s="154">
        <v>294</v>
      </c>
      <c r="Z15" s="155">
        <v>0.93636363636363595</v>
      </c>
      <c r="AA15" s="155">
        <v>0.89090909090909098</v>
      </c>
      <c r="AB15" s="154">
        <v>366</v>
      </c>
      <c r="AC15" s="154">
        <v>325</v>
      </c>
      <c r="AD15" s="154">
        <v>303</v>
      </c>
      <c r="AE15" s="155">
        <f t="shared" si="0"/>
        <v>0.88797814207650272</v>
      </c>
      <c r="AF15" s="155">
        <f t="shared" si="1"/>
        <v>0.82786885245901642</v>
      </c>
      <c r="AG15" s="154">
        <v>343</v>
      </c>
      <c r="AH15" s="154">
        <v>303</v>
      </c>
      <c r="AI15" s="154">
        <v>272</v>
      </c>
      <c r="AJ15" s="319">
        <v>0.88338192419825101</v>
      </c>
      <c r="AK15" s="319">
        <v>0.79300291545189505</v>
      </c>
    </row>
    <row r="16" spans="1:37">
      <c r="A16" s="156" t="s">
        <v>152</v>
      </c>
      <c r="B16" s="157" t="s">
        <v>129</v>
      </c>
      <c r="C16" s="158">
        <v>29</v>
      </c>
      <c r="D16" s="158">
        <v>4</v>
      </c>
      <c r="E16" s="158">
        <v>2</v>
      </c>
      <c r="F16" s="159">
        <v>0.13800000000000001</v>
      </c>
      <c r="G16" s="159">
        <v>6.9000000000000006E-2</v>
      </c>
      <c r="H16" s="158">
        <v>36</v>
      </c>
      <c r="I16" s="158">
        <v>5</v>
      </c>
      <c r="J16" s="158">
        <v>5</v>
      </c>
      <c r="K16" s="159">
        <v>0.13900000000000001</v>
      </c>
      <c r="L16" s="159">
        <v>0.13900000000000001</v>
      </c>
      <c r="M16" s="158">
        <v>51</v>
      </c>
      <c r="N16" s="158">
        <v>2</v>
      </c>
      <c r="O16" s="158">
        <v>0</v>
      </c>
      <c r="P16" s="159">
        <v>3.9E-2</v>
      </c>
      <c r="Q16" s="159">
        <v>0</v>
      </c>
      <c r="R16" s="158">
        <v>66</v>
      </c>
      <c r="S16" s="158">
        <v>3</v>
      </c>
      <c r="T16" s="158">
        <v>3</v>
      </c>
      <c r="U16" s="159">
        <v>4.4999999999999998E-2</v>
      </c>
      <c r="V16" s="159">
        <v>4.4999999999999998E-2</v>
      </c>
      <c r="W16" s="158">
        <v>54</v>
      </c>
      <c r="X16" s="158">
        <v>4</v>
      </c>
      <c r="Y16" s="158">
        <v>3</v>
      </c>
      <c r="Z16" s="159">
        <v>7.4074074074074098E-2</v>
      </c>
      <c r="AA16" s="159">
        <v>5.5555555555555601E-2</v>
      </c>
      <c r="AB16" s="158">
        <v>78</v>
      </c>
      <c r="AC16" s="158">
        <v>2</v>
      </c>
      <c r="AD16" s="158">
        <v>2</v>
      </c>
      <c r="AE16" s="159">
        <f t="shared" si="0"/>
        <v>2.564102564102564E-2</v>
      </c>
      <c r="AF16" s="159">
        <f t="shared" si="1"/>
        <v>2.564102564102564E-2</v>
      </c>
      <c r="AG16" s="244">
        <v>82</v>
      </c>
      <c r="AH16" s="244">
        <v>10</v>
      </c>
      <c r="AI16" s="244">
        <v>6</v>
      </c>
      <c r="AJ16" s="245">
        <v>0.12195121951219499</v>
      </c>
      <c r="AK16" s="246">
        <v>7.3170731707317097E-2</v>
      </c>
    </row>
    <row r="17" spans="1:37">
      <c r="A17" s="156" t="s">
        <v>140</v>
      </c>
      <c r="B17" s="157" t="s">
        <v>129</v>
      </c>
      <c r="C17" s="158">
        <v>107</v>
      </c>
      <c r="D17" s="158">
        <v>44</v>
      </c>
      <c r="E17" s="158">
        <v>9</v>
      </c>
      <c r="F17" s="159">
        <v>0.41099999999999998</v>
      </c>
      <c r="G17" s="159">
        <v>8.4000000000000005E-2</v>
      </c>
      <c r="H17" s="158">
        <v>115</v>
      </c>
      <c r="I17" s="158">
        <v>49</v>
      </c>
      <c r="J17" s="158">
        <v>8</v>
      </c>
      <c r="K17" s="159">
        <v>0.42599999999999999</v>
      </c>
      <c r="L17" s="159">
        <v>7.0000000000000007E-2</v>
      </c>
      <c r="M17" s="158">
        <v>125</v>
      </c>
      <c r="N17" s="158">
        <v>39</v>
      </c>
      <c r="O17" s="158">
        <v>7</v>
      </c>
      <c r="P17" s="159">
        <v>0.312</v>
      </c>
      <c r="Q17" s="159">
        <v>5.6000000000000001E-2</v>
      </c>
      <c r="R17" s="158">
        <v>153</v>
      </c>
      <c r="S17" s="158">
        <v>61</v>
      </c>
      <c r="T17" s="158">
        <v>42</v>
      </c>
      <c r="U17" s="159">
        <v>0.39900000000000002</v>
      </c>
      <c r="V17" s="159">
        <v>0.27500000000000002</v>
      </c>
      <c r="W17" s="158">
        <v>147</v>
      </c>
      <c r="X17" s="158">
        <v>63</v>
      </c>
      <c r="Y17" s="158">
        <v>55</v>
      </c>
      <c r="Z17" s="159">
        <v>0.42857142857142899</v>
      </c>
      <c r="AA17" s="159">
        <v>0.37414965986394599</v>
      </c>
      <c r="AB17" s="158">
        <v>150</v>
      </c>
      <c r="AC17" s="158">
        <v>47</v>
      </c>
      <c r="AD17" s="158">
        <v>42</v>
      </c>
      <c r="AE17" s="159">
        <f t="shared" si="0"/>
        <v>0.31333333333333335</v>
      </c>
      <c r="AF17" s="159">
        <f t="shared" si="1"/>
        <v>0.28000000000000003</v>
      </c>
      <c r="AG17" s="244">
        <v>130</v>
      </c>
      <c r="AH17" s="244">
        <v>29</v>
      </c>
      <c r="AI17" s="244">
        <v>25</v>
      </c>
      <c r="AJ17" s="245">
        <v>0.22307692307692301</v>
      </c>
      <c r="AK17" s="246">
        <v>0.19230769230769201</v>
      </c>
    </row>
    <row r="18" spans="1:37">
      <c r="A18" s="156" t="s">
        <v>143</v>
      </c>
      <c r="B18" s="157" t="s">
        <v>129</v>
      </c>
      <c r="C18" s="158">
        <v>146</v>
      </c>
      <c r="D18" s="158">
        <v>12</v>
      </c>
      <c r="E18" s="158">
        <v>9</v>
      </c>
      <c r="F18" s="159">
        <v>8.2000000000000003E-2</v>
      </c>
      <c r="G18" s="159">
        <v>6.2E-2</v>
      </c>
      <c r="H18" s="158">
        <v>208</v>
      </c>
      <c r="I18" s="158">
        <v>38</v>
      </c>
      <c r="J18" s="158">
        <v>36</v>
      </c>
      <c r="K18" s="159">
        <v>0.183</v>
      </c>
      <c r="L18" s="159">
        <v>0.17299999999999999</v>
      </c>
      <c r="M18" s="158">
        <v>181</v>
      </c>
      <c r="N18" s="158">
        <v>75</v>
      </c>
      <c r="O18" s="158">
        <v>66</v>
      </c>
      <c r="P18" s="159">
        <v>0.41399999999999998</v>
      </c>
      <c r="Q18" s="159">
        <v>0.36499999999999999</v>
      </c>
      <c r="R18" s="158">
        <v>198</v>
      </c>
      <c r="S18" s="158">
        <v>118</v>
      </c>
      <c r="T18" s="158">
        <v>108</v>
      </c>
      <c r="U18" s="159">
        <v>0.59599999999999997</v>
      </c>
      <c r="V18" s="159">
        <v>0.54500000000000004</v>
      </c>
      <c r="W18" s="158">
        <v>183</v>
      </c>
      <c r="X18" s="158">
        <v>147</v>
      </c>
      <c r="Y18" s="158">
        <v>132</v>
      </c>
      <c r="Z18" s="159">
        <v>0.80327868852458995</v>
      </c>
      <c r="AA18" s="159">
        <v>0.72131147540983598</v>
      </c>
      <c r="AB18" s="158">
        <v>216</v>
      </c>
      <c r="AC18" s="158">
        <v>182</v>
      </c>
      <c r="AD18" s="158">
        <v>170</v>
      </c>
      <c r="AE18" s="159">
        <f t="shared" si="0"/>
        <v>0.84259259259259256</v>
      </c>
      <c r="AF18" s="159">
        <f t="shared" si="1"/>
        <v>0.78703703703703709</v>
      </c>
      <c r="AG18" s="244">
        <v>213</v>
      </c>
      <c r="AH18" s="244">
        <v>192</v>
      </c>
      <c r="AI18" s="244">
        <v>179</v>
      </c>
      <c r="AJ18" s="245">
        <v>0.90140845070422504</v>
      </c>
      <c r="AK18" s="246">
        <v>0.84037558685446001</v>
      </c>
    </row>
    <row r="19" spans="1:37">
      <c r="A19" s="152" t="s">
        <v>144</v>
      </c>
      <c r="B19" s="153" t="s">
        <v>129</v>
      </c>
      <c r="C19" s="154">
        <v>111</v>
      </c>
      <c r="D19" s="154">
        <v>41</v>
      </c>
      <c r="E19" s="154">
        <v>41</v>
      </c>
      <c r="F19" s="155">
        <v>0.36899999999999999</v>
      </c>
      <c r="G19" s="155">
        <v>0.36899999999999999</v>
      </c>
      <c r="H19" s="154">
        <v>111</v>
      </c>
      <c r="I19" s="154">
        <v>31</v>
      </c>
      <c r="J19" s="154">
        <v>31</v>
      </c>
      <c r="K19" s="155">
        <v>0.27900000000000003</v>
      </c>
      <c r="L19" s="155">
        <v>0.27900000000000003</v>
      </c>
      <c r="M19" s="154">
        <v>106</v>
      </c>
      <c r="N19" s="154">
        <v>43</v>
      </c>
      <c r="O19" s="154">
        <v>42</v>
      </c>
      <c r="P19" s="155">
        <v>0.40600000000000003</v>
      </c>
      <c r="Q19" s="155">
        <v>0.39600000000000002</v>
      </c>
      <c r="R19" s="154">
        <v>124</v>
      </c>
      <c r="S19" s="154">
        <v>58</v>
      </c>
      <c r="T19" s="154">
        <v>56</v>
      </c>
      <c r="U19" s="155">
        <v>0.46800000000000003</v>
      </c>
      <c r="V19" s="155">
        <v>0.45200000000000001</v>
      </c>
      <c r="W19" s="154">
        <v>127</v>
      </c>
      <c r="X19" s="154">
        <v>56</v>
      </c>
      <c r="Y19" s="154">
        <v>53</v>
      </c>
      <c r="Z19" s="155">
        <v>0.440944881889764</v>
      </c>
      <c r="AA19" s="155">
        <v>0.41732283464566899</v>
      </c>
      <c r="AB19" s="154">
        <v>115</v>
      </c>
      <c r="AC19" s="154">
        <v>53</v>
      </c>
      <c r="AD19" s="154">
        <v>49</v>
      </c>
      <c r="AE19" s="155">
        <f t="shared" si="0"/>
        <v>0.46086956521739131</v>
      </c>
      <c r="AF19" s="155">
        <f t="shared" si="1"/>
        <v>0.42608695652173911</v>
      </c>
      <c r="AG19" s="154">
        <v>94</v>
      </c>
      <c r="AH19" s="154">
        <v>40</v>
      </c>
      <c r="AI19" s="154">
        <v>36</v>
      </c>
      <c r="AJ19" s="319">
        <v>0.42553191489361702</v>
      </c>
      <c r="AK19" s="319">
        <v>0.38297872340425498</v>
      </c>
    </row>
    <row r="20" spans="1:37">
      <c r="A20" s="152" t="s">
        <v>144</v>
      </c>
      <c r="B20" s="153" t="s">
        <v>131</v>
      </c>
      <c r="C20" s="154">
        <v>33</v>
      </c>
      <c r="D20" s="154">
        <v>3</v>
      </c>
      <c r="E20" s="154">
        <v>3</v>
      </c>
      <c r="F20" s="155">
        <v>9.0999999999999998E-2</v>
      </c>
      <c r="G20" s="155">
        <v>9.0999999999999998E-2</v>
      </c>
      <c r="H20" s="154">
        <v>32</v>
      </c>
      <c r="I20" s="154">
        <v>8</v>
      </c>
      <c r="J20" s="154">
        <v>8</v>
      </c>
      <c r="K20" s="155">
        <v>0.25</v>
      </c>
      <c r="L20" s="155">
        <v>0.25</v>
      </c>
      <c r="M20" s="154">
        <v>32</v>
      </c>
      <c r="N20" s="154">
        <v>12</v>
      </c>
      <c r="O20" s="154">
        <v>12</v>
      </c>
      <c r="P20" s="155">
        <v>0.375</v>
      </c>
      <c r="Q20" s="155">
        <v>0.375</v>
      </c>
      <c r="R20" s="154">
        <v>37</v>
      </c>
      <c r="S20" s="154">
        <v>19</v>
      </c>
      <c r="T20" s="154">
        <v>17</v>
      </c>
      <c r="U20" s="155">
        <v>0.51400000000000001</v>
      </c>
      <c r="V20" s="155">
        <v>0.45900000000000002</v>
      </c>
      <c r="W20" s="154">
        <v>34</v>
      </c>
      <c r="X20" s="154">
        <v>21</v>
      </c>
      <c r="Y20" s="154">
        <v>20</v>
      </c>
      <c r="Z20" s="155">
        <v>0.61764705882352899</v>
      </c>
      <c r="AA20" s="155">
        <v>0.58823529411764697</v>
      </c>
      <c r="AB20" s="154">
        <v>43</v>
      </c>
      <c r="AC20" s="154">
        <v>28</v>
      </c>
      <c r="AD20" s="154">
        <v>25</v>
      </c>
      <c r="AE20" s="155">
        <f t="shared" si="0"/>
        <v>0.65116279069767447</v>
      </c>
      <c r="AF20" s="155">
        <f t="shared" si="1"/>
        <v>0.58139534883720934</v>
      </c>
      <c r="AG20" s="154">
        <v>46</v>
      </c>
      <c r="AH20" s="154">
        <v>22</v>
      </c>
      <c r="AI20" s="154">
        <v>21</v>
      </c>
      <c r="AJ20" s="319">
        <v>0.47826086956521702</v>
      </c>
      <c r="AK20" s="319">
        <v>0.45652173913043498</v>
      </c>
    </row>
    <row r="21" spans="1:37">
      <c r="A21" s="156" t="s">
        <v>145</v>
      </c>
      <c r="B21" s="157" t="s">
        <v>129</v>
      </c>
      <c r="C21" s="158">
        <v>187</v>
      </c>
      <c r="D21" s="158">
        <v>74</v>
      </c>
      <c r="E21" s="158">
        <v>44</v>
      </c>
      <c r="F21" s="159">
        <v>0.39600000000000002</v>
      </c>
      <c r="G21" s="159">
        <v>0.23499999999999999</v>
      </c>
      <c r="H21" s="158">
        <v>259</v>
      </c>
      <c r="I21" s="158">
        <v>135</v>
      </c>
      <c r="J21" s="158">
        <v>59</v>
      </c>
      <c r="K21" s="159">
        <v>0.52100000000000002</v>
      </c>
      <c r="L21" s="159">
        <v>0.22800000000000001</v>
      </c>
      <c r="M21" s="158">
        <v>248</v>
      </c>
      <c r="N21" s="158">
        <v>109</v>
      </c>
      <c r="O21" s="158">
        <v>63</v>
      </c>
      <c r="P21" s="159">
        <v>0.44</v>
      </c>
      <c r="Q21" s="159">
        <v>0.254</v>
      </c>
      <c r="R21" s="158">
        <v>278</v>
      </c>
      <c r="S21" s="158">
        <v>133</v>
      </c>
      <c r="T21" s="158">
        <v>96</v>
      </c>
      <c r="U21" s="159">
        <v>0.47799999999999998</v>
      </c>
      <c r="V21" s="159">
        <v>0.34499999999999997</v>
      </c>
      <c r="W21" s="158">
        <v>258</v>
      </c>
      <c r="X21" s="158">
        <v>143</v>
      </c>
      <c r="Y21" s="158">
        <v>113</v>
      </c>
      <c r="Z21" s="159">
        <v>0.55426356589147296</v>
      </c>
      <c r="AA21" s="159">
        <v>0.43798449612403101</v>
      </c>
      <c r="AB21" s="158">
        <v>312</v>
      </c>
      <c r="AC21" s="158">
        <v>177</v>
      </c>
      <c r="AD21" s="158">
        <v>162</v>
      </c>
      <c r="AE21" s="159">
        <f t="shared" si="0"/>
        <v>0.56730769230769229</v>
      </c>
      <c r="AF21" s="159">
        <f t="shared" si="1"/>
        <v>0.51923076923076927</v>
      </c>
      <c r="AG21" s="244">
        <v>297</v>
      </c>
      <c r="AH21" s="244">
        <v>192</v>
      </c>
      <c r="AI21" s="244">
        <v>171</v>
      </c>
      <c r="AJ21" s="245">
        <v>0.64646464646464696</v>
      </c>
      <c r="AK21" s="246">
        <v>0.57575757575757602</v>
      </c>
    </row>
    <row r="22" spans="1:37">
      <c r="A22" s="152" t="s">
        <v>146</v>
      </c>
      <c r="B22" s="153" t="s">
        <v>129</v>
      </c>
      <c r="C22" s="154">
        <v>187</v>
      </c>
      <c r="D22" s="154">
        <v>79</v>
      </c>
      <c r="E22" s="154">
        <v>27</v>
      </c>
      <c r="F22" s="155">
        <v>0.42199999999999999</v>
      </c>
      <c r="G22" s="155">
        <v>0.14399999999999999</v>
      </c>
      <c r="H22" s="154">
        <v>259</v>
      </c>
      <c r="I22" s="154">
        <v>149</v>
      </c>
      <c r="J22" s="154">
        <v>40</v>
      </c>
      <c r="K22" s="155">
        <v>0.57499999999999996</v>
      </c>
      <c r="L22" s="155">
        <v>0.154</v>
      </c>
      <c r="M22" s="154">
        <v>248</v>
      </c>
      <c r="N22" s="154">
        <v>134</v>
      </c>
      <c r="O22" s="154">
        <v>25</v>
      </c>
      <c r="P22" s="155">
        <v>0.54</v>
      </c>
      <c r="Q22" s="155">
        <v>0.10100000000000001</v>
      </c>
      <c r="R22" s="154">
        <v>278</v>
      </c>
      <c r="S22" s="154">
        <v>162</v>
      </c>
      <c r="T22" s="154">
        <v>26</v>
      </c>
      <c r="U22" s="155">
        <v>0.58299999999999996</v>
      </c>
      <c r="V22" s="155">
        <v>9.4E-2</v>
      </c>
      <c r="W22" s="154">
        <v>258</v>
      </c>
      <c r="X22" s="154">
        <v>146</v>
      </c>
      <c r="Y22" s="154">
        <v>33</v>
      </c>
      <c r="Z22" s="155">
        <v>0.56589147286821695</v>
      </c>
      <c r="AA22" s="155">
        <v>0.127906976744186</v>
      </c>
      <c r="AB22" s="154">
        <v>312</v>
      </c>
      <c r="AC22" s="154">
        <v>179</v>
      </c>
      <c r="AD22" s="154">
        <v>59</v>
      </c>
      <c r="AE22" s="155">
        <f t="shared" si="0"/>
        <v>0.57371794871794868</v>
      </c>
      <c r="AF22" s="155">
        <f t="shared" si="1"/>
        <v>0.1891025641025641</v>
      </c>
      <c r="AG22" s="154">
        <v>297</v>
      </c>
      <c r="AH22" s="154">
        <v>180</v>
      </c>
      <c r="AI22" s="154">
        <v>42</v>
      </c>
      <c r="AJ22" s="319">
        <v>0.60606060606060597</v>
      </c>
      <c r="AK22" s="319">
        <v>0.14141414141414099</v>
      </c>
    </row>
    <row r="23" spans="1:37">
      <c r="A23" s="152" t="s">
        <v>146</v>
      </c>
      <c r="B23" s="153" t="s">
        <v>131</v>
      </c>
      <c r="C23" s="154">
        <v>187</v>
      </c>
      <c r="D23" s="154">
        <v>135</v>
      </c>
      <c r="E23" s="154">
        <v>108</v>
      </c>
      <c r="F23" s="155">
        <v>0.72199999999999998</v>
      </c>
      <c r="G23" s="155">
        <v>0.57799999999999996</v>
      </c>
      <c r="H23" s="154">
        <v>259</v>
      </c>
      <c r="I23" s="154">
        <v>198</v>
      </c>
      <c r="J23" s="154">
        <v>152</v>
      </c>
      <c r="K23" s="155">
        <v>0.76400000000000001</v>
      </c>
      <c r="L23" s="155">
        <v>0.58699999999999997</v>
      </c>
      <c r="M23" s="154">
        <v>248</v>
      </c>
      <c r="N23" s="154">
        <v>172</v>
      </c>
      <c r="O23" s="154">
        <v>125</v>
      </c>
      <c r="P23" s="155">
        <v>0.69399999999999995</v>
      </c>
      <c r="Q23" s="155">
        <v>0.504</v>
      </c>
      <c r="R23" s="154">
        <v>278</v>
      </c>
      <c r="S23" s="154">
        <v>197</v>
      </c>
      <c r="T23" s="154">
        <v>130</v>
      </c>
      <c r="U23" s="155">
        <v>0.70899999999999996</v>
      </c>
      <c r="V23" s="155">
        <v>0.46800000000000003</v>
      </c>
      <c r="W23" s="154">
        <v>258</v>
      </c>
      <c r="X23" s="154">
        <v>173</v>
      </c>
      <c r="Y23" s="154">
        <v>125</v>
      </c>
      <c r="Z23" s="155">
        <v>0.67054263565891503</v>
      </c>
      <c r="AA23" s="155">
        <v>0.484496124031008</v>
      </c>
      <c r="AB23" s="154">
        <v>312</v>
      </c>
      <c r="AC23" s="154">
        <v>202</v>
      </c>
      <c r="AD23" s="154">
        <v>141</v>
      </c>
      <c r="AE23" s="155">
        <f t="shared" si="0"/>
        <v>0.64743589743589747</v>
      </c>
      <c r="AF23" s="155">
        <f t="shared" si="1"/>
        <v>0.45192307692307693</v>
      </c>
      <c r="AG23" s="154">
        <v>297</v>
      </c>
      <c r="AH23" s="154">
        <v>195</v>
      </c>
      <c r="AI23" s="154">
        <v>149</v>
      </c>
      <c r="AJ23" s="319">
        <v>0.65656565656565702</v>
      </c>
      <c r="AK23" s="319">
        <v>0.50168350168350195</v>
      </c>
    </row>
    <row r="24" spans="1:37">
      <c r="A24" s="156" t="s">
        <v>153</v>
      </c>
      <c r="B24" s="157" t="s">
        <v>129</v>
      </c>
      <c r="C24" s="158">
        <v>28</v>
      </c>
      <c r="D24" s="158">
        <v>10</v>
      </c>
      <c r="E24" s="158">
        <v>7</v>
      </c>
      <c r="F24" s="159">
        <v>0.35699999999999998</v>
      </c>
      <c r="G24" s="159">
        <v>0.25</v>
      </c>
      <c r="H24" s="158">
        <v>36</v>
      </c>
      <c r="I24" s="158">
        <v>24</v>
      </c>
      <c r="J24" s="158">
        <v>20</v>
      </c>
      <c r="K24" s="159">
        <v>0.66700000000000004</v>
      </c>
      <c r="L24" s="159">
        <v>0.55600000000000005</v>
      </c>
      <c r="M24" s="158">
        <v>50</v>
      </c>
      <c r="N24" s="158">
        <v>31</v>
      </c>
      <c r="O24" s="158">
        <v>26</v>
      </c>
      <c r="P24" s="159">
        <v>0.62</v>
      </c>
      <c r="Q24" s="159">
        <v>0.52</v>
      </c>
      <c r="R24" s="158">
        <v>64</v>
      </c>
      <c r="S24" s="158">
        <v>42</v>
      </c>
      <c r="T24" s="158">
        <v>40</v>
      </c>
      <c r="U24" s="159">
        <v>0.65600000000000003</v>
      </c>
      <c r="V24" s="159">
        <v>0.625</v>
      </c>
      <c r="W24" s="158">
        <v>52</v>
      </c>
      <c r="X24" s="158">
        <v>40</v>
      </c>
      <c r="Y24" s="158">
        <v>40</v>
      </c>
      <c r="Z24" s="159">
        <v>0.76923076923076905</v>
      </c>
      <c r="AA24" s="159">
        <v>0.76923076923076905</v>
      </c>
      <c r="AB24" s="220">
        <v>77</v>
      </c>
      <c r="AC24" s="220">
        <v>61</v>
      </c>
      <c r="AD24" s="220">
        <v>60</v>
      </c>
      <c r="AE24" s="159">
        <f t="shared" si="0"/>
        <v>0.79220779220779225</v>
      </c>
      <c r="AF24" s="159">
        <f t="shared" si="1"/>
        <v>0.77922077922077926</v>
      </c>
      <c r="AG24" s="244">
        <v>80</v>
      </c>
      <c r="AH24" s="244">
        <v>55</v>
      </c>
      <c r="AI24" s="244">
        <v>54</v>
      </c>
      <c r="AJ24" s="245">
        <v>0.6875</v>
      </c>
      <c r="AK24" s="246">
        <v>0.67500000000000004</v>
      </c>
    </row>
    <row r="25" spans="1:37" ht="15" customHeight="1">
      <c r="AB25" s="223"/>
      <c r="AC25" s="223"/>
      <c r="AD25" s="223"/>
    </row>
  </sheetData>
  <autoFilter ref="A4:AF4" xr:uid="{097D0D3C-752D-564E-9480-50BEC6762364}"/>
  <mergeCells count="9">
    <mergeCell ref="AG3:AK3"/>
    <mergeCell ref="AB3:AF3"/>
    <mergeCell ref="W3:AA3"/>
    <mergeCell ref="A1:V1"/>
    <mergeCell ref="A2:V2"/>
    <mergeCell ref="C3:G3"/>
    <mergeCell ref="H3:L3"/>
    <mergeCell ref="M3:Q3"/>
    <mergeCell ref="R3:V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0884-7AEC-FF4F-8007-B8352BF02219}">
  <dimension ref="A1:O89"/>
  <sheetViews>
    <sheetView zoomScale="81" workbookViewId="0">
      <pane xSplit="9" ySplit="1" topLeftCell="J70" activePane="bottomRight" state="frozen"/>
      <selection pane="topRight" activeCell="I1" sqref="I1"/>
      <selection pane="bottomLeft" activeCell="A2" sqref="A2"/>
      <selection pane="bottomRight" activeCell="J12" sqref="J12:J89"/>
    </sheetView>
  </sheetViews>
  <sheetFormatPr baseColWidth="10" defaultRowHeight="89" customHeight="1"/>
  <cols>
    <col min="3" max="3" width="22.33203125" customWidth="1"/>
    <col min="4" max="4" width="22.1640625" bestFit="1" customWidth="1"/>
    <col min="5" max="5" width="22.1640625" hidden="1" customWidth="1"/>
    <col min="6" max="6" width="28.1640625" hidden="1" customWidth="1"/>
    <col min="7" max="7" width="15.83203125" hidden="1" customWidth="1"/>
    <col min="8" max="8" width="6.5" hidden="1" customWidth="1"/>
    <col min="9" max="9" width="15.33203125" customWidth="1"/>
    <col min="10" max="10" width="21.5" customWidth="1"/>
    <col min="11" max="11" width="35.33203125" customWidth="1"/>
    <col min="12" max="14" width="20.6640625" customWidth="1"/>
    <col min="15" max="15" width="15.33203125" customWidth="1"/>
  </cols>
  <sheetData>
    <row r="1" spans="1:15" ht="18" customHeight="1">
      <c r="A1" s="285" t="s">
        <v>43</v>
      </c>
      <c r="B1" s="285" t="s">
        <v>586</v>
      </c>
      <c r="C1" s="285" t="s">
        <v>585</v>
      </c>
      <c r="D1" s="285" t="s">
        <v>156</v>
      </c>
      <c r="E1" s="285"/>
      <c r="F1" s="285"/>
      <c r="G1" s="285"/>
      <c r="H1" s="285"/>
      <c r="I1" s="285" t="s">
        <v>587</v>
      </c>
      <c r="J1" t="s">
        <v>540</v>
      </c>
      <c r="K1" s="317" t="s">
        <v>588</v>
      </c>
      <c r="L1" s="289" t="s">
        <v>697</v>
      </c>
      <c r="M1" s="289" t="s">
        <v>698</v>
      </c>
      <c r="N1" s="289" t="s">
        <v>699</v>
      </c>
      <c r="O1" t="s">
        <v>573</v>
      </c>
    </row>
    <row r="2" spans="1:15" ht="89" customHeight="1">
      <c r="A2" s="232">
        <v>1</v>
      </c>
      <c r="B2" s="233" t="s">
        <v>482</v>
      </c>
      <c r="C2" s="286" t="s">
        <v>483</v>
      </c>
      <c r="D2" s="286" t="s">
        <v>11</v>
      </c>
      <c r="E2" s="233" t="str" cm="1">
        <f t="array" ref="E2:F2">_xlfn.TEXTSPLIT(D2,"(")</f>
        <v xml:space="preserve">Completeness </v>
      </c>
      <c r="F2" s="233" t="str">
        <v>Critical)</v>
      </c>
      <c r="G2" s="285" t="str" cm="1">
        <f t="array" ref="G2:H2">_xlfn.TEXTSPLIT(C2,"(")</f>
        <v xml:space="preserve"> Shipment created </v>
      </c>
      <c r="H2" s="285" t="str">
        <v>Actual)</v>
      </c>
      <c r="I2" s="285" t="str">
        <f>SUBSTITUTE(H2,")","")</f>
        <v>Actual</v>
      </c>
      <c r="J2" s="274" t="str">
        <f t="shared" ref="J2:J11" si="0">IF(K2="","No RCA","Not received because "&amp;K2)</f>
        <v>Not received because CW1 configurations are not set up correctly to handle Bosch requirements</v>
      </c>
      <c r="K2" s="274" t="s">
        <v>591</v>
      </c>
      <c r="L2" s="274" t="str">
        <f>_xlfn.XLOOKUP(K2,Rootcauses!$B$2:$B$21,Rootcauses!$D$2:$D$21)</f>
        <v>Implement Mandatory Field Validation in CW1 , causing EDI faliure</v>
      </c>
      <c r="M2" s="274" t="str">
        <f>_xlfn.XLOOKUP(K2,Rootcauses!$B$2:$B$21,Rootcauses!$E$2:$E$21)</f>
        <v xml:space="preserve">Review the legacy system shipments flow for the branch in Japan </v>
      </c>
      <c r="N2" s="274" t="s">
        <v>83</v>
      </c>
      <c r="O2" t="str">
        <f t="shared" ref="O2:O33" si="1">B2&amp;"- "&amp;I2&amp;" - "&amp;J2</f>
        <v>SC4 – S00 - Actual - Not received because CW1 configurations are not set up correctly to handle Bosch requirements</v>
      </c>
    </row>
    <row r="3" spans="1:15" ht="89" customHeight="1">
      <c r="A3" s="232">
        <v>2</v>
      </c>
      <c r="B3" s="233" t="s">
        <v>482</v>
      </c>
      <c r="C3" s="286" t="s">
        <v>483</v>
      </c>
      <c r="D3" s="286" t="s">
        <v>12</v>
      </c>
      <c r="E3" s="233" t="str" cm="1">
        <f t="array" ref="E3:F3">_xlfn.TEXTSPLIT(D3,"(")</f>
        <v xml:space="preserve">Timeliness </v>
      </c>
      <c r="F3" s="233" t="str">
        <v>Critical)</v>
      </c>
      <c r="G3" s="285" t="str" cm="1">
        <f t="array" ref="G3:H3">_xlfn.TEXTSPLIT(C3,"(")</f>
        <v xml:space="preserve"> Shipment created </v>
      </c>
      <c r="H3" s="285" t="str">
        <v>Actual)</v>
      </c>
      <c r="I3" s="285" t="str">
        <f t="shared" ref="I3:I66" si="2">SUBSTITUTE(H3,")","")</f>
        <v>Actual</v>
      </c>
      <c r="J3" s="274" t="str">
        <f t="shared" si="0"/>
        <v>Not received because CW1 configurations are not set up correctly to handle Bosch requirements</v>
      </c>
      <c r="K3" s="274" t="s">
        <v>591</v>
      </c>
      <c r="L3" s="274" t="str">
        <f>_xlfn.XLOOKUP(K3,Rootcauses!$B$2:$B$21,Rootcauses!$D$2:$D$21)</f>
        <v>Implement Mandatory Field Validation in CW1 , causing EDI faliure</v>
      </c>
      <c r="M3" s="274" t="str">
        <f>_xlfn.XLOOKUP(K3,Rootcauses!$B$2:$B$21,Rootcauses!$E$2:$E$21)</f>
        <v xml:space="preserve">Review the legacy system shipments flow for the branch in Japan </v>
      </c>
      <c r="N3" s="274" t="s">
        <v>83</v>
      </c>
      <c r="O3" t="str">
        <f t="shared" si="1"/>
        <v>SC4 – S00 - Actual - Not received because CW1 configurations are not set up correctly to handle Bosch requirements</v>
      </c>
    </row>
    <row r="4" spans="1:15" ht="89" customHeight="1">
      <c r="A4" s="232">
        <v>3</v>
      </c>
      <c r="B4" s="233" t="s">
        <v>484</v>
      </c>
      <c r="C4" s="286" t="s">
        <v>485</v>
      </c>
      <c r="D4" s="286" t="s">
        <v>11</v>
      </c>
      <c r="E4" s="233" t="str" cm="1">
        <f t="array" ref="E4:F4">_xlfn.TEXTSPLIT(D4,"(")</f>
        <v xml:space="preserve">Completeness </v>
      </c>
      <c r="F4" s="233" t="str">
        <v>Critical)</v>
      </c>
      <c r="G4" s="285" t="str" cm="1">
        <f t="array" ref="G4:H4">_xlfn.TEXTSPLIT(C4,"(")</f>
        <v xml:space="preserve"> Collected </v>
      </c>
      <c r="H4" s="285" t="str">
        <v>Estimated)</v>
      </c>
      <c r="I4" s="285" t="str">
        <f t="shared" si="2"/>
        <v>Estimated</v>
      </c>
      <c r="J4" s="274" t="str">
        <f t="shared" si="0"/>
        <v>Not received because Manual milestones not updated on time by Operators due to lack of resources</v>
      </c>
      <c r="K4" s="274" t="s">
        <v>597</v>
      </c>
      <c r="L4" s="274" t="str">
        <f>_xlfn.XLOOKUP(K4,Rootcauses!$B$2:$B$21,Rootcauses!$D$2:$D$21)</f>
        <v>Dedicated Ops owner is 3 most afftected Regions (GCA + NEC + CSE) to focus on completness of Manual milestones S02, S31, S00</v>
      </c>
      <c r="M4" s="274" t="str">
        <f>_xlfn.XLOOKUP(K4,Rootcauses!$B$2:$B$21,Rootcauses!$E$2:$E$21)</f>
        <v>Dedicated Ops owner is 3 most afftected Regions (GCA + NEC + CSE) to focus on Timeliness of Manual milestones S02, S31, S00</v>
      </c>
      <c r="N4" s="274">
        <f>_xlfn.XLOOKUP(K4,Rootcauses!$B$2:$B$21,Rootcauses!$F$2:$F$21)</f>
        <v>0</v>
      </c>
      <c r="O4" t="str">
        <f t="shared" si="1"/>
        <v>SC4 – S02 - Estimated - Not received because Manual milestones not updated on time by Operators due to lack of resources</v>
      </c>
    </row>
    <row r="5" spans="1:15" ht="89" customHeight="1">
      <c r="A5" s="232">
        <v>4</v>
      </c>
      <c r="B5" s="236" t="s">
        <v>484</v>
      </c>
      <c r="C5" s="286" t="s">
        <v>485</v>
      </c>
      <c r="D5" s="286" t="s">
        <v>12</v>
      </c>
      <c r="E5" s="233" t="str" cm="1">
        <f t="array" ref="E5:F5">_xlfn.TEXTSPLIT(D5,"(")</f>
        <v xml:space="preserve">Timeliness </v>
      </c>
      <c r="F5" s="233" t="str">
        <v>Critical)</v>
      </c>
      <c r="G5" s="285" t="str" cm="1">
        <f t="array" ref="G5:H5">_xlfn.TEXTSPLIT(C5,"(")</f>
        <v xml:space="preserve"> Collected </v>
      </c>
      <c r="H5" s="285" t="str">
        <v>Estimated)</v>
      </c>
      <c r="I5" s="285" t="str">
        <f t="shared" si="2"/>
        <v>Estimated</v>
      </c>
      <c r="J5" s="274" t="str">
        <f t="shared" si="0"/>
        <v>Not received because Manual milestones not updated on time by Operators due to lack of resources</v>
      </c>
      <c r="K5" s="274" t="s">
        <v>597</v>
      </c>
      <c r="L5" s="274" t="str">
        <f>_xlfn.XLOOKUP(K5,Rootcauses!$B$2:$B$21,Rootcauses!$D$2:$D$21)</f>
        <v>Dedicated Ops owner is 3 most afftected Regions (GCA + NEC + CSE) to focus on completness of Manual milestones S02, S31, S00</v>
      </c>
      <c r="M5" s="274" t="str">
        <f>_xlfn.XLOOKUP(K5,Rootcauses!$B$2:$B$21,Rootcauses!$E$2:$E$21)</f>
        <v>Dedicated Ops owner is 3 most afftected Regions (GCA + NEC + CSE) to focus on Timeliness of Manual milestones S02, S31, S00</v>
      </c>
      <c r="N5" s="274">
        <f>_xlfn.XLOOKUP(K5,Rootcauses!$B$2:$B$21,Rootcauses!$F$2:$F$21)</f>
        <v>0</v>
      </c>
      <c r="O5" t="str">
        <f t="shared" si="1"/>
        <v>SC4 – S02 - Estimated - Not received because Manual milestones not updated on time by Operators due to lack of resources</v>
      </c>
    </row>
    <row r="6" spans="1:15" ht="89" customHeight="1">
      <c r="A6" s="232">
        <v>5</v>
      </c>
      <c r="B6" s="236" t="s">
        <v>484</v>
      </c>
      <c r="C6" s="286" t="s">
        <v>486</v>
      </c>
      <c r="D6" s="286" t="s">
        <v>11</v>
      </c>
      <c r="E6" s="233" t="str" cm="1">
        <f t="array" ref="E6:F6">_xlfn.TEXTSPLIT(D6,"(")</f>
        <v xml:space="preserve">Completeness </v>
      </c>
      <c r="F6" s="233" t="str">
        <v>Critical)</v>
      </c>
      <c r="G6" s="285" t="str" cm="1">
        <f t="array" ref="G6:H6">_xlfn.TEXTSPLIT(C6,"(")</f>
        <v xml:space="preserve"> Collected </v>
      </c>
      <c r="H6" s="285" t="str">
        <v>Actual)</v>
      </c>
      <c r="I6" s="285" t="str">
        <f t="shared" si="2"/>
        <v>Actual</v>
      </c>
      <c r="J6" s="274" t="str">
        <f t="shared" si="0"/>
        <v>Not received because Manual milestones not updated on time by Operators due to lack of resources</v>
      </c>
      <c r="K6" s="274" t="s">
        <v>597</v>
      </c>
      <c r="L6" s="274" t="str">
        <f>_xlfn.XLOOKUP(K6,Rootcauses!$B$2:$B$21,Rootcauses!$D$2:$D$21)</f>
        <v>Dedicated Ops owner is 3 most afftected Regions (GCA + NEC + CSE) to focus on completness of Manual milestones S02, S31, S00</v>
      </c>
      <c r="M6" s="274" t="str">
        <f>_xlfn.XLOOKUP(K6,Rootcauses!$B$2:$B$21,Rootcauses!$E$2:$E$21)</f>
        <v>Dedicated Ops owner is 3 most afftected Regions (GCA + NEC + CSE) to focus on Timeliness of Manual milestones S02, S31, S00</v>
      </c>
      <c r="N6" s="274">
        <f>_xlfn.XLOOKUP(K6,Rootcauses!$B$2:$B$21,Rootcauses!$F$2:$F$21)</f>
        <v>0</v>
      </c>
      <c r="O6" t="str">
        <f t="shared" si="1"/>
        <v>SC4 – S02 - Actual - Not received because Manual milestones not updated on time by Operators due to lack of resources</v>
      </c>
    </row>
    <row r="7" spans="1:15" ht="89" customHeight="1">
      <c r="A7" s="232">
        <v>6</v>
      </c>
      <c r="B7" s="236" t="s">
        <v>484</v>
      </c>
      <c r="C7" s="286" t="s">
        <v>486</v>
      </c>
      <c r="D7" s="286" t="s">
        <v>12</v>
      </c>
      <c r="E7" s="233" t="str" cm="1">
        <f t="array" ref="E7:F7">_xlfn.TEXTSPLIT(D7,"(")</f>
        <v xml:space="preserve">Timeliness </v>
      </c>
      <c r="F7" s="233" t="str">
        <v>Critical)</v>
      </c>
      <c r="G7" s="285" t="str" cm="1">
        <f t="array" ref="G7:H7">_xlfn.TEXTSPLIT(C7,"(")</f>
        <v xml:space="preserve"> Collected </v>
      </c>
      <c r="H7" s="285" t="str">
        <v>Actual)</v>
      </c>
      <c r="I7" s="285" t="str">
        <f t="shared" si="2"/>
        <v>Actual</v>
      </c>
      <c r="J7" s="274" t="str">
        <f t="shared" si="0"/>
        <v>Not received because Manual milestones not updated on time by Operators due to lack of resources</v>
      </c>
      <c r="K7" s="274" t="s">
        <v>597</v>
      </c>
      <c r="L7" s="274" t="str">
        <f>_xlfn.XLOOKUP(K7,Rootcauses!$B$2:$B$21,Rootcauses!$D$2:$D$21)</f>
        <v>Dedicated Ops owner is 3 most afftected Regions (GCA + NEC + CSE) to focus on completness of Manual milestones S02, S31, S00</v>
      </c>
      <c r="M7" s="274" t="str">
        <f>_xlfn.XLOOKUP(K7,Rootcauses!$B$2:$B$21,Rootcauses!$E$2:$E$21)</f>
        <v>Dedicated Ops owner is 3 most afftected Regions (GCA + NEC + CSE) to focus on Timeliness of Manual milestones S02, S31, S00</v>
      </c>
      <c r="N7" s="274">
        <f>_xlfn.XLOOKUP(K7,Rootcauses!$B$2:$B$21,Rootcauses!$F$2:$F$21)</f>
        <v>0</v>
      </c>
      <c r="O7" t="str">
        <f t="shared" si="1"/>
        <v>SC4 – S02 - Actual - Not received because Manual milestones not updated on time by Operators due to lack of resources</v>
      </c>
    </row>
    <row r="8" spans="1:15" ht="89" customHeight="1">
      <c r="A8" s="232">
        <v>7</v>
      </c>
      <c r="B8" s="236" t="s">
        <v>487</v>
      </c>
      <c r="C8" s="286" t="s">
        <v>488</v>
      </c>
      <c r="D8" s="286" t="s">
        <v>14</v>
      </c>
      <c r="E8" s="233" t="str" cm="1">
        <f t="array" ref="E8:F8">_xlfn.TEXTSPLIT(D8,"(")</f>
        <v xml:space="preserve">Completeness </v>
      </c>
      <c r="F8" s="233" t="str">
        <v>All)</v>
      </c>
      <c r="G8" s="285" t="str" cm="1">
        <f t="array" ref="G8:H8">_xlfn.TEXTSPLIT(C8,"(")</f>
        <v xml:space="preserve"> Documents rcvd from shipper </v>
      </c>
      <c r="H8" s="285" t="str">
        <v>Actual)</v>
      </c>
      <c r="I8" s="285" t="str">
        <f t="shared" si="2"/>
        <v>Actual</v>
      </c>
      <c r="J8" s="274" t="str">
        <f t="shared" si="0"/>
        <v>Not received because SOP to fill CW1 fields are not followed by Operators due to lack of resources</v>
      </c>
      <c r="K8" s="274" t="s">
        <v>590</v>
      </c>
      <c r="L8" s="274" t="str">
        <f>_xlfn.XLOOKUP(K8,Rootcauses!$B$2:$B$21,Rootcauses!$D$2:$D$21)</f>
        <v>Dedicated Ops owner is 3 most afftected Regions (GCA + NEC + CSE) to focus on completness of Manual milestones S02, S31, S00</v>
      </c>
      <c r="M8" s="274" t="str">
        <f>_xlfn.XLOOKUP(K8,Rootcauses!$B$2:$B$21,Rootcauses!$E$2:$E$21)</f>
        <v>Ops retraining in Problemetic area</v>
      </c>
      <c r="N8" s="274" t="str">
        <f>_xlfn.XLOOKUP(K8,Rootcauses!$B$2:$B$21,Rootcauses!$F$2:$F$21)</f>
        <v>Dedicated Ops owner is 3 most afftected Regions (GCA + NEC + CSE) to focus on Timeliness of Manual milestones S02, S31, S00</v>
      </c>
      <c r="O8" t="str">
        <f t="shared" si="1"/>
        <v>SC4 – S46 - Actual - Not received because SOP to fill CW1 fields are not followed by Operators due to lack of resources</v>
      </c>
    </row>
    <row r="9" spans="1:15" ht="89" customHeight="1">
      <c r="A9" s="232">
        <v>8</v>
      </c>
      <c r="B9" s="236" t="s">
        <v>487</v>
      </c>
      <c r="C9" s="286" t="s">
        <v>488</v>
      </c>
      <c r="D9" s="286" t="s">
        <v>16</v>
      </c>
      <c r="E9" s="233" t="str" cm="1">
        <f t="array" ref="E9:F9">_xlfn.TEXTSPLIT(D9,"(")</f>
        <v xml:space="preserve">Timeliness </v>
      </c>
      <c r="F9" s="233" t="str">
        <v>All)</v>
      </c>
      <c r="G9" s="285" t="str" cm="1">
        <f t="array" ref="G9:H9">_xlfn.TEXTSPLIT(C9,"(")</f>
        <v xml:space="preserve"> Documents rcvd from shipper </v>
      </c>
      <c r="H9" s="285" t="str">
        <v>Actual)</v>
      </c>
      <c r="I9" s="285" t="str">
        <f t="shared" si="2"/>
        <v>Actual</v>
      </c>
      <c r="J9" s="274" t="str">
        <f t="shared" si="0"/>
        <v>Not received because SOP to fill CW1 fields are not followed by Operators due to lack of resources</v>
      </c>
      <c r="K9" s="274" t="s">
        <v>590</v>
      </c>
      <c r="L9" s="274" t="str">
        <f>_xlfn.XLOOKUP(K9,Rootcauses!$B$2:$B$21,Rootcauses!$D$2:$D$21)</f>
        <v>Dedicated Ops owner is 3 most afftected Regions (GCA + NEC + CSE) to focus on completness of Manual milestones S02, S31, S00</v>
      </c>
      <c r="M9" s="274" t="str">
        <f>_xlfn.XLOOKUP(K9,Rootcauses!$B$2:$B$21,Rootcauses!$E$2:$E$21)</f>
        <v>Ops retraining in Problemetic area</v>
      </c>
      <c r="N9" s="274" t="str">
        <f>_xlfn.XLOOKUP(K9,Rootcauses!$B$2:$B$21,Rootcauses!$F$2:$F$21)</f>
        <v>Dedicated Ops owner is 3 most afftected Regions (GCA + NEC + CSE) to focus on Timeliness of Manual milestones S02, S31, S00</v>
      </c>
      <c r="O9" t="str">
        <f t="shared" si="1"/>
        <v>SC4 – S46 - Actual - Not received because SOP to fill CW1 fields are not followed by Operators due to lack of resources</v>
      </c>
    </row>
    <row r="10" spans="1:15" ht="89" customHeight="1">
      <c r="A10" s="232">
        <v>9</v>
      </c>
      <c r="B10" s="236" t="s">
        <v>489</v>
      </c>
      <c r="C10" s="286" t="s">
        <v>490</v>
      </c>
      <c r="D10" s="286" t="s">
        <v>14</v>
      </c>
      <c r="E10" s="233" t="str" cm="1">
        <f t="array" ref="E10:F10">_xlfn.TEXTSPLIT(D10,"(")</f>
        <v xml:space="preserve">Completeness </v>
      </c>
      <c r="F10" s="233" t="str">
        <v>All)</v>
      </c>
      <c r="G10" s="285" t="str" cm="1">
        <f t="array" ref="G10:H10">_xlfn.TEXTSPLIT(C10,"(")</f>
        <v xml:space="preserve"> On hand at origin SVC </v>
      </c>
      <c r="H10" s="285" t="str">
        <v>Actual)</v>
      </c>
      <c r="I10" s="285" t="str">
        <f t="shared" si="2"/>
        <v>Actual</v>
      </c>
      <c r="J10" s="274" t="str">
        <f t="shared" si="0"/>
        <v>Not received because Manual milestones not updated on time by Operators due to lack of resources</v>
      </c>
      <c r="K10" s="274" t="s">
        <v>597</v>
      </c>
      <c r="L10" s="274" t="str">
        <f>_xlfn.XLOOKUP(K10,Rootcauses!$B$2:$B$21,Rootcauses!$D$2:$D$21)</f>
        <v>Dedicated Ops owner is 3 most afftected Regions (GCA + NEC + CSE) to focus on completness of Manual milestones S02, S31, S00</v>
      </c>
      <c r="M10" s="274" t="str">
        <f>_xlfn.XLOOKUP(K10,Rootcauses!$B$2:$B$21,Rootcauses!$E$2:$E$21)</f>
        <v>Dedicated Ops owner is 3 most afftected Regions (GCA + NEC + CSE) to focus on Timeliness of Manual milestones S02, S31, S00</v>
      </c>
      <c r="N10" s="274">
        <f>_xlfn.XLOOKUP(K10,Rootcauses!$B$2:$B$21,Rootcauses!$F$2:$F$21)</f>
        <v>0</v>
      </c>
      <c r="O10" t="str">
        <f t="shared" si="1"/>
        <v>SC4 – S10 - Actual - Not received because Manual milestones not updated on time by Operators due to lack of resources</v>
      </c>
    </row>
    <row r="11" spans="1:15" ht="89" customHeight="1">
      <c r="A11" s="232">
        <v>10</v>
      </c>
      <c r="B11" s="236" t="s">
        <v>489</v>
      </c>
      <c r="C11" s="286" t="s">
        <v>490</v>
      </c>
      <c r="D11" s="286" t="s">
        <v>16</v>
      </c>
      <c r="E11" s="233" t="str" cm="1">
        <f t="array" ref="E11:F11">_xlfn.TEXTSPLIT(D11,"(")</f>
        <v xml:space="preserve">Timeliness </v>
      </c>
      <c r="F11" s="233" t="str">
        <v>All)</v>
      </c>
      <c r="G11" s="285" t="str" cm="1">
        <f t="array" ref="G11:H11">_xlfn.TEXTSPLIT(C11,"(")</f>
        <v xml:space="preserve"> On hand at origin SVC </v>
      </c>
      <c r="H11" s="285" t="str">
        <v>Actual)</v>
      </c>
      <c r="I11" s="285" t="str">
        <f t="shared" si="2"/>
        <v>Actual</v>
      </c>
      <c r="J11" s="274" t="str">
        <f t="shared" si="0"/>
        <v>Not received because Manual milestones not updated on time by Operators due to lack of resources</v>
      </c>
      <c r="K11" s="274" t="s">
        <v>597</v>
      </c>
      <c r="L11" s="274" t="str">
        <f>_xlfn.XLOOKUP(K11,Rootcauses!$B$2:$B$21,Rootcauses!$D$2:$D$21)</f>
        <v>Dedicated Ops owner is 3 most afftected Regions (GCA + NEC + CSE) to focus on completness of Manual milestones S02, S31, S00</v>
      </c>
      <c r="M11" s="274" t="str">
        <f>_xlfn.XLOOKUP(K11,Rootcauses!$B$2:$B$21,Rootcauses!$E$2:$E$21)</f>
        <v>Dedicated Ops owner is 3 most afftected Regions (GCA + NEC + CSE) to focus on Timeliness of Manual milestones S02, S31, S00</v>
      </c>
      <c r="N11" s="274">
        <f>_xlfn.XLOOKUP(K11,Rootcauses!$B$2:$B$21,Rootcauses!$F$2:$F$21)</f>
        <v>0</v>
      </c>
      <c r="O11" t="str">
        <f t="shared" si="1"/>
        <v>SC4 – S10 - Actual - Not received because Manual milestones not updated on time by Operators due to lack of resources</v>
      </c>
    </row>
    <row r="12" spans="1:15" ht="89" customHeight="1">
      <c r="A12" s="232">
        <v>11</v>
      </c>
      <c r="B12" s="236" t="s">
        <v>491</v>
      </c>
      <c r="C12" s="286" t="s">
        <v>492</v>
      </c>
      <c r="D12" s="286" t="s">
        <v>14</v>
      </c>
      <c r="E12" s="233" t="str" cm="1">
        <f t="array" ref="E12:F12">_xlfn.TEXTSPLIT(D12,"(")</f>
        <v xml:space="preserve">Completeness </v>
      </c>
      <c r="F12" s="233" t="str">
        <v>All)</v>
      </c>
      <c r="G12" s="285" t="str" cm="1">
        <f t="array" ref="G12:H12">_xlfn.TEXTSPLIT(C12,"(")</f>
        <v xml:space="preserve"> On hand at origin Hub/CC </v>
      </c>
      <c r="H12" s="285" t="str">
        <v>Actual)</v>
      </c>
      <c r="I12" s="285" t="str">
        <f t="shared" si="2"/>
        <v>Actual</v>
      </c>
      <c r="J12" s="274" t="str">
        <f>IF(K12="","No RCA","Not received because "&amp;K12)</f>
        <v>No RCA</v>
      </c>
      <c r="K12" s="274"/>
      <c r="L12" s="274">
        <f>_xlfn.XLOOKUP(K12,Rootcauses!$B$2:$B$21,Rootcauses!$D$2:$D$21)</f>
        <v>0</v>
      </c>
      <c r="M12" s="274">
        <f>_xlfn.XLOOKUP(K12,Rootcauses!$B$2:$B$21,Rootcauses!$E$2:$E$21)</f>
        <v>0</v>
      </c>
      <c r="N12" s="274">
        <f>_xlfn.XLOOKUP(K12,Rootcauses!$B$2:$B$21,Rootcauses!$F$2:$F$21)</f>
        <v>0</v>
      </c>
      <c r="O12" t="str">
        <f t="shared" si="1"/>
        <v>SC4 – S11 - Actual - No RCA</v>
      </c>
    </row>
    <row r="13" spans="1:15" ht="89" customHeight="1">
      <c r="A13" s="232">
        <v>12</v>
      </c>
      <c r="B13" s="236" t="s">
        <v>491</v>
      </c>
      <c r="C13" s="286" t="s">
        <v>492</v>
      </c>
      <c r="D13" s="286" t="s">
        <v>16</v>
      </c>
      <c r="E13" s="233" t="str" cm="1">
        <f t="array" ref="E13:F13">_xlfn.TEXTSPLIT(D13,"(")</f>
        <v xml:space="preserve">Timeliness </v>
      </c>
      <c r="F13" s="233" t="str">
        <v>All)</v>
      </c>
      <c r="G13" s="285" t="str" cm="1">
        <f t="array" ref="G13:H13">_xlfn.TEXTSPLIT(C13,"(")</f>
        <v xml:space="preserve"> On hand at origin Hub/CC </v>
      </c>
      <c r="H13" s="285" t="str">
        <v>Actual)</v>
      </c>
      <c r="I13" s="285" t="str">
        <f t="shared" si="2"/>
        <v>Actual</v>
      </c>
      <c r="J13" s="274" t="str">
        <f t="shared" ref="J13:J76" si="3">IF(K13="","No RCA","Not received because "&amp;K13)</f>
        <v>Not received because Manual milestones not updated on time by Operators due to lack of resources</v>
      </c>
      <c r="K13" s="274" t="s">
        <v>597</v>
      </c>
      <c r="L13" s="274" t="str">
        <f>_xlfn.XLOOKUP(K13,Rootcauses!$B$2:$B$21,Rootcauses!$D$2:$D$21)</f>
        <v>Dedicated Ops owner is 3 most afftected Regions (GCA + NEC + CSE) to focus on completness of Manual milestones S02, S31, S00</v>
      </c>
      <c r="M13" s="274" t="str">
        <f>_xlfn.XLOOKUP(K13,Rootcauses!$B$2:$B$21,Rootcauses!$E$2:$E$21)</f>
        <v>Dedicated Ops owner is 3 most afftected Regions (GCA + NEC + CSE) to focus on Timeliness of Manual milestones S02, S31, S00</v>
      </c>
      <c r="N13" s="274">
        <f>_xlfn.XLOOKUP(K13,Rootcauses!$B$2:$B$21,Rootcauses!$F$2:$F$21)</f>
        <v>0</v>
      </c>
      <c r="O13" t="str">
        <f t="shared" si="1"/>
        <v>SC4 – S11 - Actual - Not received because Manual milestones not updated on time by Operators due to lack of resources</v>
      </c>
    </row>
    <row r="14" spans="1:15" ht="89" customHeight="1">
      <c r="A14" s="232">
        <v>13</v>
      </c>
      <c r="B14" s="236" t="s">
        <v>493</v>
      </c>
      <c r="C14" s="286" t="s">
        <v>494</v>
      </c>
      <c r="D14" s="286" t="s">
        <v>14</v>
      </c>
      <c r="E14" s="233" t="str" cm="1">
        <f t="array" ref="E14:F14">_xlfn.TEXTSPLIT(D14,"(")</f>
        <v xml:space="preserve">Completeness </v>
      </c>
      <c r="F14" s="233" t="str">
        <v>All)</v>
      </c>
      <c r="G14" s="285" t="str" cm="1">
        <f t="array" ref="G14:H14">_xlfn.TEXTSPLIT(C14,"(")</f>
        <v xml:space="preserve"> Shipment booked with carrier </v>
      </c>
      <c r="H14" s="285" t="str">
        <v>Actual)</v>
      </c>
      <c r="I14" s="285" t="str">
        <f t="shared" si="2"/>
        <v>Actual</v>
      </c>
      <c r="J14" s="274" t="str">
        <f t="shared" si="3"/>
        <v>Not received because SOP to fill CW1 fields are not followed by Operators due to lack of resources</v>
      </c>
      <c r="K14" s="274" t="s">
        <v>590</v>
      </c>
      <c r="L14" s="274" t="str">
        <f>_xlfn.XLOOKUP(K14,Rootcauses!$B$2:$B$21,Rootcauses!$D$2:$D$21)</f>
        <v>Dedicated Ops owner is 3 most afftected Regions (GCA + NEC + CSE) to focus on completness of Manual milestones S02, S31, S00</v>
      </c>
      <c r="M14" s="274" t="str">
        <f>_xlfn.XLOOKUP(K14,Rootcauses!$B$2:$B$21,Rootcauses!$E$2:$E$21)</f>
        <v>Ops retraining in Problemetic area</v>
      </c>
      <c r="N14" s="274" t="str">
        <f>_xlfn.XLOOKUP(K14,Rootcauses!$B$2:$B$21,Rootcauses!$F$2:$F$21)</f>
        <v>Dedicated Ops owner is 3 most afftected Regions (GCA + NEC + CSE) to focus on Timeliness of Manual milestones S02, S31, S00</v>
      </c>
      <c r="O14" t="str">
        <f t="shared" si="1"/>
        <v>SC4 – S16 - Actual - Not received because SOP to fill CW1 fields are not followed by Operators due to lack of resources</v>
      </c>
    </row>
    <row r="15" spans="1:15" ht="89" customHeight="1">
      <c r="A15" s="232">
        <v>14</v>
      </c>
      <c r="B15" s="236" t="s">
        <v>493</v>
      </c>
      <c r="C15" s="286" t="s">
        <v>494</v>
      </c>
      <c r="D15" s="286" t="s">
        <v>16</v>
      </c>
      <c r="E15" s="233" t="str" cm="1">
        <f t="array" ref="E15:F15">_xlfn.TEXTSPLIT(D15,"(")</f>
        <v xml:space="preserve">Timeliness </v>
      </c>
      <c r="F15" s="233" t="str">
        <v>All)</v>
      </c>
      <c r="G15" s="285" t="str" cm="1">
        <f t="array" ref="G15:H15">_xlfn.TEXTSPLIT(C15,"(")</f>
        <v xml:space="preserve"> Shipment booked with carrier </v>
      </c>
      <c r="H15" s="285" t="str">
        <v>Actual)</v>
      </c>
      <c r="I15" s="285" t="str">
        <f t="shared" si="2"/>
        <v>Actual</v>
      </c>
      <c r="J15" s="274" t="str">
        <f t="shared" si="3"/>
        <v>Not received because Manual milestones not updated on time by Operators due to lack of resources</v>
      </c>
      <c r="K15" s="274" t="s">
        <v>597</v>
      </c>
      <c r="L15" s="274" t="str">
        <f>_xlfn.XLOOKUP(K15,Rootcauses!$B$2:$B$21,Rootcauses!$D$2:$D$21)</f>
        <v>Dedicated Ops owner is 3 most afftected Regions (GCA + NEC + CSE) to focus on completness of Manual milestones S02, S31, S00</v>
      </c>
      <c r="M15" s="274" t="str">
        <f>_xlfn.XLOOKUP(K15,Rootcauses!$B$2:$B$21,Rootcauses!$E$2:$E$21)</f>
        <v>Dedicated Ops owner is 3 most afftected Regions (GCA + NEC + CSE) to focus on Timeliness of Manual milestones S02, S31, S00</v>
      </c>
      <c r="N15" s="274">
        <f>_xlfn.XLOOKUP(K15,Rootcauses!$B$2:$B$21,Rootcauses!$F$2:$F$21)</f>
        <v>0</v>
      </c>
      <c r="O15" t="str">
        <f t="shared" si="1"/>
        <v>SC4 – S16 - Actual - Not received because Manual milestones not updated on time by Operators due to lack of resources</v>
      </c>
    </row>
    <row r="16" spans="1:15" ht="89" customHeight="1">
      <c r="A16" s="232">
        <v>15</v>
      </c>
      <c r="B16" s="236" t="s">
        <v>495</v>
      </c>
      <c r="C16" s="286" t="s">
        <v>496</v>
      </c>
      <c r="D16" s="286" t="s">
        <v>14</v>
      </c>
      <c r="E16" s="233" t="str" cm="1">
        <f t="array" ref="E16:F16">_xlfn.TEXTSPLIT(D16,"(")</f>
        <v xml:space="preserve">Completeness </v>
      </c>
      <c r="F16" s="233" t="str">
        <v>All)</v>
      </c>
      <c r="G16" s="285" t="str" cm="1">
        <f t="array" ref="G16:H16">_xlfn.TEXTSPLIT(C16,"(")</f>
        <v xml:space="preserve"> Tendered carrier </v>
      </c>
      <c r="H16" s="285" t="str">
        <v>Actual)</v>
      </c>
      <c r="I16" s="285" t="str">
        <f t="shared" si="2"/>
        <v>Actual</v>
      </c>
      <c r="J16" s="274" t="str">
        <f t="shared" si="3"/>
        <v>Not received because CW1 configurations are not set up correctly to handle Bosch requirements</v>
      </c>
      <c r="K16" s="274" t="s">
        <v>591</v>
      </c>
      <c r="L16" s="274" t="str">
        <f>_xlfn.XLOOKUP(K16,Rootcauses!$B$2:$B$21,Rootcauses!$D$2:$D$21)</f>
        <v>Implement Mandatory Field Validation in CW1 , causing EDI faliure</v>
      </c>
      <c r="M16" s="274" t="str">
        <f>_xlfn.XLOOKUP(K16,Rootcauses!$B$2:$B$21,Rootcauses!$E$2:$E$21)</f>
        <v xml:space="preserve">Review the legacy system shipments flow for the branch in Japan </v>
      </c>
      <c r="N16" s="274" t="str">
        <f>_xlfn.XLOOKUP(K16,Rootcauses!$B$2:$B$21,Rootcauses!$F$2:$F$21)</f>
        <v>Review the legacy system shipments flow for the branch in Japan</v>
      </c>
      <c r="O16" t="str">
        <f t="shared" si="1"/>
        <v>SC4 – S17 - Actual - Not received because CW1 configurations are not set up correctly to handle Bosch requirements</v>
      </c>
    </row>
    <row r="17" spans="1:15" ht="89" customHeight="1">
      <c r="A17" s="232">
        <v>16</v>
      </c>
      <c r="B17" s="236" t="s">
        <v>495</v>
      </c>
      <c r="C17" s="286" t="s">
        <v>496</v>
      </c>
      <c r="D17" s="286" t="s">
        <v>16</v>
      </c>
      <c r="E17" s="233" t="str" cm="1">
        <f t="array" ref="E17:F17">_xlfn.TEXTSPLIT(D17,"(")</f>
        <v xml:space="preserve">Timeliness </v>
      </c>
      <c r="F17" s="233" t="str">
        <v>All)</v>
      </c>
      <c r="G17" s="285" t="str" cm="1">
        <f t="array" ref="G17:H17">_xlfn.TEXTSPLIT(C17,"(")</f>
        <v xml:space="preserve"> Tendered carrier </v>
      </c>
      <c r="H17" s="285" t="str">
        <v>Actual)</v>
      </c>
      <c r="I17" s="285" t="str">
        <f t="shared" si="2"/>
        <v>Actual</v>
      </c>
      <c r="J17" s="274" t="str">
        <f t="shared" si="3"/>
        <v>Not received because CW1 configurations are not set up correctly to handle Bosch requirements</v>
      </c>
      <c r="K17" s="274" t="s">
        <v>591</v>
      </c>
      <c r="L17" s="274" t="str">
        <f>_xlfn.XLOOKUP(K17,Rootcauses!$B$2:$B$21,Rootcauses!$D$2:$D$21)</f>
        <v>Implement Mandatory Field Validation in CW1 , causing EDI faliure</v>
      </c>
      <c r="M17" s="274" t="str">
        <f>_xlfn.XLOOKUP(K17,Rootcauses!$B$2:$B$21,Rootcauses!$E$2:$E$21)</f>
        <v xml:space="preserve">Review the legacy system shipments flow for the branch in Japan </v>
      </c>
      <c r="N17" s="274" t="str">
        <f>_xlfn.XLOOKUP(K17,Rootcauses!$B$2:$B$21,Rootcauses!$F$2:$F$21)</f>
        <v>Review the legacy system shipments flow for the branch in Japan</v>
      </c>
      <c r="O17" t="str">
        <f t="shared" si="1"/>
        <v>SC4 – S17 - Actual - Not received because CW1 configurations are not set up correctly to handle Bosch requirements</v>
      </c>
    </row>
    <row r="18" spans="1:15" ht="89" customHeight="1">
      <c r="A18" s="232">
        <v>17</v>
      </c>
      <c r="B18" s="236" t="s">
        <v>497</v>
      </c>
      <c r="C18" s="286" t="s">
        <v>498</v>
      </c>
      <c r="D18" s="286" t="s">
        <v>14</v>
      </c>
      <c r="E18" s="233" t="str" cm="1">
        <f t="array" ref="E18:F18">_xlfn.TEXTSPLIT(D18,"(")</f>
        <v xml:space="preserve">Completeness </v>
      </c>
      <c r="F18" s="233" t="str">
        <v>All)</v>
      </c>
      <c r="G18" s="285" t="str" cm="1">
        <f t="array" ref="G18:H18">_xlfn.TEXTSPLIT(C18,"(")</f>
        <v xml:space="preserve"> Received origin CFS </v>
      </c>
      <c r="H18" s="285" t="str">
        <v>Actual)</v>
      </c>
      <c r="I18" s="285" t="str">
        <f t="shared" si="2"/>
        <v>Actual</v>
      </c>
      <c r="J18" s="274" t="str">
        <f t="shared" si="3"/>
        <v>Not received because SOP to fill CW1 fields are not followed by Operators due to lack of resources</v>
      </c>
      <c r="K18" s="274" t="s">
        <v>590</v>
      </c>
      <c r="L18" s="274" t="str">
        <f>_xlfn.XLOOKUP(K18,Rootcauses!$B$2:$B$21,Rootcauses!$D$2:$D$21)</f>
        <v>Dedicated Ops owner is 3 most afftected Regions (GCA + NEC + CSE) to focus on completness of Manual milestones S02, S31, S00</v>
      </c>
      <c r="M18" s="274" t="str">
        <f>_xlfn.XLOOKUP(K18,Rootcauses!$B$2:$B$21,Rootcauses!$E$2:$E$21)</f>
        <v>Ops retraining in Problemetic area</v>
      </c>
      <c r="N18" s="274" t="str">
        <f>_xlfn.XLOOKUP(K18,Rootcauses!$B$2:$B$21,Rootcauses!$F$2:$F$21)</f>
        <v>Dedicated Ops owner is 3 most afftected Regions (GCA + NEC + CSE) to focus on Timeliness of Manual milestones S02, S31, S00</v>
      </c>
      <c r="O18" t="str">
        <f t="shared" si="1"/>
        <v>SC4 – S50 - Actual - Not received because SOP to fill CW1 fields are not followed by Operators due to lack of resources</v>
      </c>
    </row>
    <row r="19" spans="1:15" ht="89" customHeight="1">
      <c r="A19" s="232">
        <v>18</v>
      </c>
      <c r="B19" s="236" t="s">
        <v>497</v>
      </c>
      <c r="C19" s="286" t="s">
        <v>498</v>
      </c>
      <c r="D19" s="286" t="s">
        <v>16</v>
      </c>
      <c r="E19" s="233" t="str" cm="1">
        <f t="array" ref="E19:F19">_xlfn.TEXTSPLIT(D19,"(")</f>
        <v xml:space="preserve">Timeliness </v>
      </c>
      <c r="F19" s="233" t="str">
        <v>All)</v>
      </c>
      <c r="G19" s="285" t="str" cm="1">
        <f t="array" ref="G19:H19">_xlfn.TEXTSPLIT(C19,"(")</f>
        <v xml:space="preserve"> Received origin CFS </v>
      </c>
      <c r="H19" s="285" t="str">
        <v>Actual)</v>
      </c>
      <c r="I19" s="285" t="str">
        <f t="shared" si="2"/>
        <v>Actual</v>
      </c>
      <c r="J19" s="274" t="str">
        <f t="shared" si="3"/>
        <v>Not received because CW1 configurations are not set up correctly to handle Bosch requirements</v>
      </c>
      <c r="K19" s="274" t="s">
        <v>591</v>
      </c>
      <c r="L19" s="274" t="str">
        <f>_xlfn.XLOOKUP(K19,Rootcauses!$B$2:$B$21,Rootcauses!$D$2:$D$21)</f>
        <v>Implement Mandatory Field Validation in CW1 , causing EDI faliure</v>
      </c>
      <c r="M19" s="274" t="str">
        <f>_xlfn.XLOOKUP(K19,Rootcauses!$B$2:$B$21,Rootcauses!$E$2:$E$21)</f>
        <v xml:space="preserve">Review the legacy system shipments flow for the branch in Japan </v>
      </c>
      <c r="N19" s="274" t="str">
        <f>_xlfn.XLOOKUP(K19,Rootcauses!$B$2:$B$21,Rootcauses!$F$2:$F$21)</f>
        <v>Review the legacy system shipments flow for the branch in Japan</v>
      </c>
      <c r="O19" t="str">
        <f t="shared" si="1"/>
        <v>SC4 – S50 - Actual - Not received because CW1 configurations are not set up correctly to handle Bosch requirements</v>
      </c>
    </row>
    <row r="20" spans="1:15" ht="89" customHeight="1">
      <c r="A20" s="232">
        <v>19</v>
      </c>
      <c r="B20" s="236" t="s">
        <v>499</v>
      </c>
      <c r="C20" s="286" t="s">
        <v>500</v>
      </c>
      <c r="D20" s="286" t="s">
        <v>11</v>
      </c>
      <c r="E20" s="233" t="str" cm="1">
        <f t="array" ref="E20:F20">_xlfn.TEXTSPLIT(D20,"(")</f>
        <v xml:space="preserve">Completeness </v>
      </c>
      <c r="F20" s="233" t="str">
        <v>Critical)</v>
      </c>
      <c r="G20" s="285" t="str" cm="1">
        <f t="array" ref="G20:H20">_xlfn.TEXTSPLIT(C20,"(")</f>
        <v xml:space="preserve"> Vessel/flight departed </v>
      </c>
      <c r="H20" s="285" t="str">
        <v>Estimated)</v>
      </c>
      <c r="I20" s="285" t="str">
        <f t="shared" si="2"/>
        <v>Estimated</v>
      </c>
      <c r="J20" s="274" t="str">
        <f t="shared" si="3"/>
        <v>Not received because The Consol is not attached to shipment with "is Linked" Flag</v>
      </c>
      <c r="K20" s="274" t="s">
        <v>594</v>
      </c>
      <c r="L20" s="274" t="str">
        <f>_xlfn.XLOOKUP(K20,Rootcauses!$B$2:$B$21,Rootcauses!$D$2:$D$21)</f>
        <v>Optimise automation flow of ETD / ETA Milestones in operation system (CW1)</v>
      </c>
      <c r="M20" s="274">
        <f>_xlfn.XLOOKUP(K20,Rootcauses!$B$2:$B$21,Rootcauses!$E$2:$E$21)</f>
        <v>0</v>
      </c>
      <c r="N20" s="274">
        <f>_xlfn.XLOOKUP(K20,Rootcauses!$B$2:$B$21,Rootcauses!$F$2:$F$21)</f>
        <v>0</v>
      </c>
      <c r="O20" t="str">
        <f t="shared" si="1"/>
        <v>SC4 – S04 - Estimated - Not received because The Consol is not attached to shipment with "is Linked" Flag</v>
      </c>
    </row>
    <row r="21" spans="1:15" ht="89" customHeight="1">
      <c r="A21" s="232">
        <v>20</v>
      </c>
      <c r="B21" s="236" t="s">
        <v>499</v>
      </c>
      <c r="C21" s="286" t="s">
        <v>500</v>
      </c>
      <c r="D21" s="286" t="s">
        <v>12</v>
      </c>
      <c r="E21" s="233" t="str" cm="1">
        <f t="array" ref="E21:F21">_xlfn.TEXTSPLIT(D21,"(")</f>
        <v xml:space="preserve">Timeliness </v>
      </c>
      <c r="F21" s="233" t="str">
        <v>Critical)</v>
      </c>
      <c r="G21" s="285" t="str" cm="1">
        <f t="array" ref="G21:H21">_xlfn.TEXTSPLIT(C21,"(")</f>
        <v xml:space="preserve"> Vessel/flight departed </v>
      </c>
      <c r="H21" s="285" t="str">
        <v>Estimated)</v>
      </c>
      <c r="I21" s="285" t="str">
        <f t="shared" si="2"/>
        <v>Estimated</v>
      </c>
      <c r="J21" s="274" t="str">
        <f t="shared" si="3"/>
        <v>Not received because The Consol is not attached to shipment with "is Linked" Flag</v>
      </c>
      <c r="K21" s="274" t="s">
        <v>594</v>
      </c>
      <c r="L21" s="274" t="str">
        <f>_xlfn.XLOOKUP(K21,Rootcauses!$B$2:$B$21,Rootcauses!$D$2:$D$21)</f>
        <v>Optimise automation flow of ETD / ETA Milestones in operation system (CW1)</v>
      </c>
      <c r="M21" s="274">
        <f>_xlfn.XLOOKUP(K21,Rootcauses!$B$2:$B$21,Rootcauses!$E$2:$E$21)</f>
        <v>0</v>
      </c>
      <c r="N21" s="274">
        <f>_xlfn.XLOOKUP(K21,Rootcauses!$B$2:$B$21,Rootcauses!$F$2:$F$21)</f>
        <v>0</v>
      </c>
      <c r="O21" t="str">
        <f t="shared" si="1"/>
        <v>SC4 – S04 - Estimated - Not received because The Consol is not attached to shipment with "is Linked" Flag</v>
      </c>
    </row>
    <row r="22" spans="1:15" ht="89" customHeight="1">
      <c r="A22" s="232">
        <v>21</v>
      </c>
      <c r="B22" s="236" t="s">
        <v>499</v>
      </c>
      <c r="C22" s="286" t="s">
        <v>501</v>
      </c>
      <c r="D22" s="286" t="s">
        <v>11</v>
      </c>
      <c r="E22" s="233" t="str" cm="1">
        <f t="array" ref="E22:F22">_xlfn.TEXTSPLIT(D22,"(")</f>
        <v xml:space="preserve">Completeness </v>
      </c>
      <c r="F22" s="233" t="str">
        <v>Critical)</v>
      </c>
      <c r="G22" s="285" t="str" cm="1">
        <f t="array" ref="G22:H22">_xlfn.TEXTSPLIT(C22,"(")</f>
        <v xml:space="preserve"> Vessel/flight departed </v>
      </c>
      <c r="H22" s="285" t="str">
        <v>Actual)</v>
      </c>
      <c r="I22" s="285" t="str">
        <f t="shared" si="2"/>
        <v>Actual</v>
      </c>
      <c r="J22" s="274" t="str">
        <f t="shared" si="3"/>
        <v>Not received because The Consol is not attached to shipment with "is Linked" Flag</v>
      </c>
      <c r="K22" s="274" t="s">
        <v>594</v>
      </c>
      <c r="L22" s="274" t="str">
        <f>_xlfn.XLOOKUP(K22,Rootcauses!$B$2:$B$21,Rootcauses!$D$2:$D$21)</f>
        <v>Optimise automation flow of ETD / ETA Milestones in operation system (CW1)</v>
      </c>
      <c r="M22" s="274">
        <f>_xlfn.XLOOKUP(K22,Rootcauses!$B$2:$B$21,Rootcauses!$E$2:$E$21)</f>
        <v>0</v>
      </c>
      <c r="N22" s="274">
        <f>_xlfn.XLOOKUP(K22,Rootcauses!$B$2:$B$21,Rootcauses!$F$2:$F$21)</f>
        <v>0</v>
      </c>
      <c r="O22" t="str">
        <f t="shared" si="1"/>
        <v>SC4 – S04 - Actual - Not received because The Consol is not attached to shipment with "is Linked" Flag</v>
      </c>
    </row>
    <row r="23" spans="1:15" ht="89" customHeight="1">
      <c r="A23" s="232">
        <v>22</v>
      </c>
      <c r="B23" s="236" t="s">
        <v>499</v>
      </c>
      <c r="C23" s="286" t="s">
        <v>501</v>
      </c>
      <c r="D23" s="286" t="s">
        <v>12</v>
      </c>
      <c r="E23" s="233" t="str" cm="1">
        <f t="array" ref="E23:F23">_xlfn.TEXTSPLIT(D23,"(")</f>
        <v xml:space="preserve">Timeliness </v>
      </c>
      <c r="F23" s="233" t="str">
        <v>Critical)</v>
      </c>
      <c r="G23" s="285" t="str" cm="1">
        <f t="array" ref="G23:H23">_xlfn.TEXTSPLIT(C23,"(")</f>
        <v xml:space="preserve"> Vessel/flight departed </v>
      </c>
      <c r="H23" s="285" t="str">
        <v>Actual)</v>
      </c>
      <c r="I23" s="285" t="str">
        <f t="shared" si="2"/>
        <v>Actual</v>
      </c>
      <c r="J23" s="274" t="str">
        <f t="shared" si="3"/>
        <v>Not received because The Consol is not attached to shipment with "is Linked" Flag</v>
      </c>
      <c r="K23" s="274" t="s">
        <v>594</v>
      </c>
      <c r="L23" s="274" t="str">
        <f>_xlfn.XLOOKUP(K23,Rootcauses!$B$2:$B$21,Rootcauses!$D$2:$D$21)</f>
        <v>Optimise automation flow of ETD / ETA Milestones in operation system (CW1)</v>
      </c>
      <c r="M23" s="274">
        <f>_xlfn.XLOOKUP(K23,Rootcauses!$B$2:$B$21,Rootcauses!$E$2:$E$21)</f>
        <v>0</v>
      </c>
      <c r="N23" s="274">
        <f>_xlfn.XLOOKUP(K23,Rootcauses!$B$2:$B$21,Rootcauses!$F$2:$F$21)</f>
        <v>0</v>
      </c>
      <c r="O23" t="str">
        <f t="shared" si="1"/>
        <v>SC4 – S04 - Actual - Not received because The Consol is not attached to shipment with "is Linked" Flag</v>
      </c>
    </row>
    <row r="24" spans="1:15" ht="89" customHeight="1">
      <c r="A24" s="232">
        <v>23</v>
      </c>
      <c r="B24" s="236" t="s">
        <v>502</v>
      </c>
      <c r="C24" s="286" t="s">
        <v>503</v>
      </c>
      <c r="D24" s="286" t="s">
        <v>11</v>
      </c>
      <c r="E24" s="233" t="str" cm="1">
        <f t="array" ref="E24:F24">_xlfn.TEXTSPLIT(D24,"(")</f>
        <v xml:space="preserve">Completeness </v>
      </c>
      <c r="F24" s="233" t="str">
        <v>Critical)</v>
      </c>
      <c r="G24" s="285" t="str" cm="1">
        <f t="array" ref="G24:H24">_xlfn.TEXTSPLIT(C24,"(")</f>
        <v xml:space="preserve"> Vessel/flight arrived </v>
      </c>
      <c r="H24" s="285" t="str">
        <v>Estimated)</v>
      </c>
      <c r="I24" s="285" t="str">
        <f t="shared" si="2"/>
        <v>Estimated</v>
      </c>
      <c r="J24" s="274" t="str">
        <f t="shared" si="3"/>
        <v>Not received because The Consol is not attached to shipment with "is Linked" Flag</v>
      </c>
      <c r="K24" s="274" t="s">
        <v>594</v>
      </c>
      <c r="L24" s="274" t="str">
        <f>_xlfn.XLOOKUP(K24,Rootcauses!$B$2:$B$21,Rootcauses!$D$2:$D$21)</f>
        <v>Optimise automation flow of ETD / ETA Milestones in operation system (CW1)</v>
      </c>
      <c r="M24" s="274">
        <f>_xlfn.XLOOKUP(K24,Rootcauses!$B$2:$B$21,Rootcauses!$E$2:$E$21)</f>
        <v>0</v>
      </c>
      <c r="N24" s="274">
        <f>_xlfn.XLOOKUP(K24,Rootcauses!$B$2:$B$21,Rootcauses!$F$2:$F$21)</f>
        <v>0</v>
      </c>
      <c r="O24" t="str">
        <f t="shared" si="1"/>
        <v>SC4 – S07 - Estimated - Not received because The Consol is not attached to shipment with "is Linked" Flag</v>
      </c>
    </row>
    <row r="25" spans="1:15" ht="89" customHeight="1">
      <c r="A25" s="232">
        <v>24</v>
      </c>
      <c r="B25" s="236" t="s">
        <v>502</v>
      </c>
      <c r="C25" s="286" t="s">
        <v>503</v>
      </c>
      <c r="D25" s="286" t="s">
        <v>12</v>
      </c>
      <c r="E25" s="233" t="str" cm="1">
        <f t="array" ref="E25:F25">_xlfn.TEXTSPLIT(D25,"(")</f>
        <v xml:space="preserve">Timeliness </v>
      </c>
      <c r="F25" s="233" t="str">
        <v>Critical)</v>
      </c>
      <c r="G25" s="285" t="str" cm="1">
        <f t="array" ref="G25:H25">_xlfn.TEXTSPLIT(C25,"(")</f>
        <v xml:space="preserve"> Vessel/flight arrived </v>
      </c>
      <c r="H25" s="285" t="str">
        <v>Estimated)</v>
      </c>
      <c r="I25" s="285" t="str">
        <f t="shared" si="2"/>
        <v>Estimated</v>
      </c>
      <c r="J25" s="274" t="str">
        <f t="shared" si="3"/>
        <v>Not received because The Consol is not attached to shipment with "is Linked" Flag</v>
      </c>
      <c r="K25" s="274" t="s">
        <v>594</v>
      </c>
      <c r="L25" s="274" t="str">
        <f>_xlfn.XLOOKUP(K25,Rootcauses!$B$2:$B$21,Rootcauses!$D$2:$D$21)</f>
        <v>Optimise automation flow of ETD / ETA Milestones in operation system (CW1)</v>
      </c>
      <c r="M25" s="274">
        <f>_xlfn.XLOOKUP(K25,Rootcauses!$B$2:$B$21,Rootcauses!$E$2:$E$21)</f>
        <v>0</v>
      </c>
      <c r="N25" s="274">
        <f>_xlfn.XLOOKUP(K25,Rootcauses!$B$2:$B$21,Rootcauses!$F$2:$F$21)</f>
        <v>0</v>
      </c>
      <c r="O25" t="str">
        <f t="shared" si="1"/>
        <v>SC4 – S07 - Estimated - Not received because The Consol is not attached to shipment with "is Linked" Flag</v>
      </c>
    </row>
    <row r="26" spans="1:15" ht="89" customHeight="1">
      <c r="A26" s="232">
        <v>25</v>
      </c>
      <c r="B26" s="236" t="s">
        <v>502</v>
      </c>
      <c r="C26" s="286" t="s">
        <v>504</v>
      </c>
      <c r="D26" s="286" t="s">
        <v>11</v>
      </c>
      <c r="E26" s="233" t="str" cm="1">
        <f t="array" ref="E26:F26">_xlfn.TEXTSPLIT(D26,"(")</f>
        <v xml:space="preserve">Completeness </v>
      </c>
      <c r="F26" s="233" t="str">
        <v>Critical)</v>
      </c>
      <c r="G26" s="285" t="str" cm="1">
        <f t="array" ref="G26:H26">_xlfn.TEXTSPLIT(C26,"(")</f>
        <v xml:space="preserve"> Vessel/flight arrived </v>
      </c>
      <c r="H26" s="285" t="str">
        <v>Actual)</v>
      </c>
      <c r="I26" s="285" t="str">
        <f t="shared" si="2"/>
        <v>Actual</v>
      </c>
      <c r="J26" s="274" t="str">
        <f t="shared" si="3"/>
        <v>Not received because The Consol is not attached to shipment with "is Linked" Flag</v>
      </c>
      <c r="K26" s="274" t="s">
        <v>594</v>
      </c>
      <c r="L26" s="274" t="str">
        <f>_xlfn.XLOOKUP(K26,Rootcauses!$B$2:$B$21,Rootcauses!$D$2:$D$21)</f>
        <v>Optimise automation flow of ETD / ETA Milestones in operation system (CW1)</v>
      </c>
      <c r="M26" s="274">
        <f>_xlfn.XLOOKUP(K26,Rootcauses!$B$2:$B$21,Rootcauses!$E$2:$E$21)</f>
        <v>0</v>
      </c>
      <c r="N26" s="274">
        <f>_xlfn.XLOOKUP(K26,Rootcauses!$B$2:$B$21,Rootcauses!$F$2:$F$21)</f>
        <v>0</v>
      </c>
      <c r="O26" t="str">
        <f t="shared" si="1"/>
        <v>SC4 – S07 - Actual - Not received because The Consol is not attached to shipment with "is Linked" Flag</v>
      </c>
    </row>
    <row r="27" spans="1:15" ht="89" customHeight="1">
      <c r="A27" s="232">
        <v>26</v>
      </c>
      <c r="B27" s="236" t="s">
        <v>502</v>
      </c>
      <c r="C27" s="286" t="s">
        <v>504</v>
      </c>
      <c r="D27" s="286" t="s">
        <v>12</v>
      </c>
      <c r="E27" s="233" t="str" cm="1">
        <f t="array" ref="E27:F27">_xlfn.TEXTSPLIT(D27,"(")</f>
        <v xml:space="preserve">Timeliness </v>
      </c>
      <c r="F27" s="233" t="str">
        <v>Critical)</v>
      </c>
      <c r="G27" s="285" t="str" cm="1">
        <f t="array" ref="G27:H27">_xlfn.TEXTSPLIT(C27,"(")</f>
        <v xml:space="preserve"> Vessel/flight arrived </v>
      </c>
      <c r="H27" s="285" t="str">
        <v>Actual)</v>
      </c>
      <c r="I27" s="285" t="str">
        <f t="shared" si="2"/>
        <v>Actual</v>
      </c>
      <c r="J27" s="274" t="str">
        <f t="shared" si="3"/>
        <v>Not received because The Consol is not attached to shipment with "is Linked" Flag</v>
      </c>
      <c r="K27" s="274" t="s">
        <v>594</v>
      </c>
      <c r="L27" s="274" t="str">
        <f>_xlfn.XLOOKUP(K27,Rootcauses!$B$2:$B$21,Rootcauses!$D$2:$D$21)</f>
        <v>Optimise automation flow of ETD / ETA Milestones in operation system (CW1)</v>
      </c>
      <c r="M27" s="274">
        <f>_xlfn.XLOOKUP(K27,Rootcauses!$B$2:$B$21,Rootcauses!$E$2:$E$21)</f>
        <v>0</v>
      </c>
      <c r="N27" s="274">
        <f>_xlfn.XLOOKUP(K27,Rootcauses!$B$2:$B$21,Rootcauses!$F$2:$F$21)</f>
        <v>0</v>
      </c>
      <c r="O27" t="str">
        <f t="shared" si="1"/>
        <v>SC4 – S07 - Actual - Not received because The Consol is not attached to shipment with "is Linked" Flag</v>
      </c>
    </row>
    <row r="28" spans="1:15" ht="89" customHeight="1">
      <c r="A28" s="232">
        <v>27</v>
      </c>
      <c r="B28" s="236" t="s">
        <v>505</v>
      </c>
      <c r="C28" s="286" t="s">
        <v>506</v>
      </c>
      <c r="D28" s="286" t="s">
        <v>14</v>
      </c>
      <c r="E28" s="233" t="str" cm="1">
        <f t="array" ref="E28:F28">_xlfn.TEXTSPLIT(D28,"(")</f>
        <v xml:space="preserve">Completeness </v>
      </c>
      <c r="F28" s="233" t="str">
        <v>All)</v>
      </c>
      <c r="G28" s="285" t="str" cm="1">
        <f t="array" ref="G28:H28">_xlfn.TEXTSPLIT(C28,"(")</f>
        <v xml:space="preserve"> Arrived destination CFS </v>
      </c>
      <c r="H28" s="285" t="str">
        <v>Actual)</v>
      </c>
      <c r="I28" s="285" t="str">
        <f t="shared" si="2"/>
        <v>Actual</v>
      </c>
      <c r="J28" s="274" t="str">
        <f t="shared" si="3"/>
        <v>Not received because The Automation of the Milestones is not working based the DEX events</v>
      </c>
      <c r="K28" s="274" t="s">
        <v>600</v>
      </c>
      <c r="L28" s="274" t="str">
        <f>_xlfn.XLOOKUP(K28,Rootcauses!$B$2:$B$21,Rootcauses!$D$2:$D$21)</f>
        <v>Retrigger missing Milestones for delivered Shipments</v>
      </c>
      <c r="M28" s="274">
        <f>_xlfn.XLOOKUP(K28,Rootcauses!$B$2:$B$21,Rootcauses!$E$2:$E$21)</f>
        <v>0</v>
      </c>
      <c r="N28" s="274">
        <f>_xlfn.XLOOKUP(K28,Rootcauses!$B$2:$B$21,Rootcauses!$F$2:$F$21)</f>
        <v>0</v>
      </c>
      <c r="O28" t="str">
        <f t="shared" si="1"/>
        <v>SC4 – S51 - Actual - Not received because The Automation of the Milestones is not working based the DEX events</v>
      </c>
    </row>
    <row r="29" spans="1:15" ht="89" customHeight="1">
      <c r="A29" s="232">
        <v>28</v>
      </c>
      <c r="B29" s="236" t="s">
        <v>505</v>
      </c>
      <c r="C29" s="286" t="s">
        <v>506</v>
      </c>
      <c r="D29" s="286" t="s">
        <v>16</v>
      </c>
      <c r="E29" s="233" t="str" cm="1">
        <f t="array" ref="E29:F29">_xlfn.TEXTSPLIT(D29,"(")</f>
        <v xml:space="preserve">Timeliness </v>
      </c>
      <c r="F29" s="233" t="str">
        <v>All)</v>
      </c>
      <c r="G29" s="285" t="str" cm="1">
        <f t="array" ref="G29:H29">_xlfn.TEXTSPLIT(C29,"(")</f>
        <v xml:space="preserve"> Arrived destination CFS </v>
      </c>
      <c r="H29" s="285" t="str">
        <v>Actual)</v>
      </c>
      <c r="I29" s="285" t="str">
        <f t="shared" si="2"/>
        <v>Actual</v>
      </c>
      <c r="J29" s="274" t="str">
        <f t="shared" si="3"/>
        <v>Not received because The Automation of the Milestones is not working based the DEX events</v>
      </c>
      <c r="K29" s="274" t="s">
        <v>600</v>
      </c>
      <c r="L29" s="274" t="str">
        <f>_xlfn.XLOOKUP(K29,Rootcauses!$B$2:$B$21,Rootcauses!$D$2:$D$21)</f>
        <v>Retrigger missing Milestones for delivered Shipments</v>
      </c>
      <c r="M29" s="274">
        <f>_xlfn.XLOOKUP(K29,Rootcauses!$B$2:$B$21,Rootcauses!$E$2:$E$21)</f>
        <v>0</v>
      </c>
      <c r="N29" s="274">
        <f>_xlfn.XLOOKUP(K29,Rootcauses!$B$2:$B$21,Rootcauses!$F$2:$F$21)</f>
        <v>0</v>
      </c>
      <c r="O29" t="str">
        <f t="shared" si="1"/>
        <v>SC4 – S51 - Actual - Not received because The Automation of the Milestones is not working based the DEX events</v>
      </c>
    </row>
    <row r="30" spans="1:15" ht="89" customHeight="1">
      <c r="A30" s="232">
        <v>29</v>
      </c>
      <c r="B30" s="236" t="s">
        <v>507</v>
      </c>
      <c r="C30" s="286" t="s">
        <v>508</v>
      </c>
      <c r="D30" s="286" t="s">
        <v>14</v>
      </c>
      <c r="E30" s="233" t="str" cm="1">
        <f t="array" ref="E30:F30">_xlfn.TEXTSPLIT(D30,"(")</f>
        <v xml:space="preserve">Completeness </v>
      </c>
      <c r="F30" s="233" t="str">
        <v>All)</v>
      </c>
      <c r="G30" s="285" t="str" cm="1">
        <f t="array" ref="G30:H30">_xlfn.TEXTSPLIT(C30,"(")</f>
        <v xml:space="preserve"> Recovered from carrier </v>
      </c>
      <c r="H30" s="285" t="str">
        <v>Actual)</v>
      </c>
      <c r="I30" s="285" t="str">
        <f t="shared" si="2"/>
        <v>Actual</v>
      </c>
      <c r="J30" s="274" t="str">
        <f t="shared" si="3"/>
        <v>Not received because CW1 configurations are not set up correctly to handle Bosch requirements</v>
      </c>
      <c r="K30" s="274" t="s">
        <v>591</v>
      </c>
      <c r="L30" s="274" t="str">
        <f>_xlfn.XLOOKUP(K30,Rootcauses!$B$2:$B$21,Rootcauses!$D$2:$D$21)</f>
        <v>Implement Mandatory Field Validation in CW1 , causing EDI faliure</v>
      </c>
      <c r="M30" s="274" t="str">
        <f>_xlfn.XLOOKUP(K30,Rootcauses!$B$2:$B$21,Rootcauses!$E$2:$E$21)</f>
        <v xml:space="preserve">Review the legacy system shipments flow for the branch in Japan </v>
      </c>
      <c r="N30" s="274" t="str">
        <f>_xlfn.XLOOKUP(K30,Rootcauses!$B$2:$B$21,Rootcauses!$F$2:$F$21)</f>
        <v>Review the legacy system shipments flow for the branch in Japan</v>
      </c>
      <c r="O30" t="str">
        <f t="shared" si="1"/>
        <v>SC4 – S18 - Actual - Not received because CW1 configurations are not set up correctly to handle Bosch requirements</v>
      </c>
    </row>
    <row r="31" spans="1:15" ht="89" customHeight="1">
      <c r="A31" s="232">
        <v>30</v>
      </c>
      <c r="B31" s="236" t="s">
        <v>507</v>
      </c>
      <c r="C31" s="286" t="s">
        <v>508</v>
      </c>
      <c r="D31" s="286" t="s">
        <v>16</v>
      </c>
      <c r="E31" s="233" t="str" cm="1">
        <f t="array" ref="E31:F31">_xlfn.TEXTSPLIT(D31,"(")</f>
        <v xml:space="preserve">Timeliness </v>
      </c>
      <c r="F31" s="233" t="str">
        <v>All)</v>
      </c>
      <c r="G31" s="285" t="str" cm="1">
        <f t="array" ref="G31:H31">_xlfn.TEXTSPLIT(C31,"(")</f>
        <v xml:space="preserve"> Recovered from carrier </v>
      </c>
      <c r="H31" s="285" t="str">
        <v>Actual)</v>
      </c>
      <c r="I31" s="285" t="str">
        <f t="shared" si="2"/>
        <v>Actual</v>
      </c>
      <c r="J31" s="274" t="str">
        <f t="shared" si="3"/>
        <v>Not received because CW1 configurations are not set up correctly to handle Bosch requirements</v>
      </c>
      <c r="K31" s="274" t="s">
        <v>591</v>
      </c>
      <c r="L31" s="274" t="str">
        <f>_xlfn.XLOOKUP(K31,Rootcauses!$B$2:$B$21,Rootcauses!$D$2:$D$21)</f>
        <v>Implement Mandatory Field Validation in CW1 , causing EDI faliure</v>
      </c>
      <c r="M31" s="274" t="str">
        <f>_xlfn.XLOOKUP(K31,Rootcauses!$B$2:$B$21,Rootcauses!$E$2:$E$21)</f>
        <v xml:space="preserve">Review the legacy system shipments flow for the branch in Japan </v>
      </c>
      <c r="N31" s="274" t="str">
        <f>_xlfn.XLOOKUP(K31,Rootcauses!$B$2:$B$21,Rootcauses!$F$2:$F$21)</f>
        <v>Review the legacy system shipments flow for the branch in Japan</v>
      </c>
      <c r="O31" t="str">
        <f t="shared" si="1"/>
        <v>SC4 – S18 - Actual - Not received because CW1 configurations are not set up correctly to handle Bosch requirements</v>
      </c>
    </row>
    <row r="32" spans="1:15" ht="89" customHeight="1">
      <c r="A32" s="232">
        <v>31</v>
      </c>
      <c r="B32" s="236" t="s">
        <v>509</v>
      </c>
      <c r="C32" s="286" t="s">
        <v>510</v>
      </c>
      <c r="D32" s="286" t="s">
        <v>14</v>
      </c>
      <c r="E32" s="233" t="str" cm="1">
        <f t="array" ref="E32:F32">_xlfn.TEXTSPLIT(D32,"(")</f>
        <v xml:space="preserve">Completeness </v>
      </c>
      <c r="F32" s="233" t="str">
        <v>All)</v>
      </c>
      <c r="G32" s="285" t="str" cm="1">
        <f t="array" ref="G32:H32">_xlfn.TEXTSPLIT(C32,"(")</f>
        <v xml:space="preserve"> On hand at destination Hub/CC </v>
      </c>
      <c r="H32" s="285" t="str">
        <v>Actual)</v>
      </c>
      <c r="I32" s="285" t="str">
        <f t="shared" si="2"/>
        <v>Actual</v>
      </c>
      <c r="J32" s="274" t="str">
        <f t="shared" si="3"/>
        <v>Not received because Milestone is dependent on Manual input and is missed due to Lack of resources</v>
      </c>
      <c r="K32" s="274" t="s">
        <v>599</v>
      </c>
      <c r="L32" s="274" t="str">
        <f>_xlfn.XLOOKUP(K32,Rootcauses!$B$2:$B$21,Rootcauses!$D$2:$D$21)</f>
        <v>Dedicated Ops owner is 3 most afftected Regions (GCA + NEC + CSE) to focus on completness of Manual milestones S02, S31, S00</v>
      </c>
      <c r="M32" s="274" t="str">
        <f>_xlfn.XLOOKUP(K32,Rootcauses!$B$2:$B$21,Rootcauses!$E$2:$E$21)</f>
        <v>Dedicated Ops owner is 3 most afftected Regions (GCA + NEC + CSE) to focus on Timeliness of Manual milestones S02, S31, S00</v>
      </c>
      <c r="N32" s="274">
        <f>_xlfn.XLOOKUP(K32,Rootcauses!$B$2:$B$21,Rootcauses!$F$2:$F$21)</f>
        <v>0</v>
      </c>
      <c r="O32" t="str">
        <f t="shared" si="1"/>
        <v>SC4 – S12 - Actual - Not received because Milestone is dependent on Manual input and is missed due to Lack of resources</v>
      </c>
    </row>
    <row r="33" spans="1:15" ht="89" customHeight="1">
      <c r="A33" s="232">
        <v>32</v>
      </c>
      <c r="B33" s="236" t="s">
        <v>509</v>
      </c>
      <c r="C33" s="286" t="s">
        <v>510</v>
      </c>
      <c r="D33" s="286" t="s">
        <v>16</v>
      </c>
      <c r="E33" s="233" t="str" cm="1">
        <f t="array" ref="E33:F33">_xlfn.TEXTSPLIT(D33,"(")</f>
        <v xml:space="preserve">Timeliness </v>
      </c>
      <c r="F33" s="233" t="str">
        <v>All)</v>
      </c>
      <c r="G33" s="285" t="str" cm="1">
        <f t="array" ref="G33:H33">_xlfn.TEXTSPLIT(C33,"(")</f>
        <v xml:space="preserve"> On hand at destination Hub/CC </v>
      </c>
      <c r="H33" s="285" t="str">
        <v>Actual)</v>
      </c>
      <c r="I33" s="285" t="str">
        <f t="shared" si="2"/>
        <v>Actual</v>
      </c>
      <c r="J33" s="274" t="str">
        <f t="shared" si="3"/>
        <v>Not received because Milestone is dependent on Manual input and is missed due to Lack of resources</v>
      </c>
      <c r="K33" s="274" t="s">
        <v>599</v>
      </c>
      <c r="L33" s="274" t="str">
        <f>_xlfn.XLOOKUP(K33,Rootcauses!$B$2:$B$21,Rootcauses!$D$2:$D$21)</f>
        <v>Dedicated Ops owner is 3 most afftected Regions (GCA + NEC + CSE) to focus on completness of Manual milestones S02, S31, S00</v>
      </c>
      <c r="M33" s="274" t="str">
        <f>_xlfn.XLOOKUP(K33,Rootcauses!$B$2:$B$21,Rootcauses!$E$2:$E$21)</f>
        <v>Dedicated Ops owner is 3 most afftected Regions (GCA + NEC + CSE) to focus on Timeliness of Manual milestones S02, S31, S00</v>
      </c>
      <c r="N33" s="274">
        <f>_xlfn.XLOOKUP(K33,Rootcauses!$B$2:$B$21,Rootcauses!$F$2:$F$21)</f>
        <v>0</v>
      </c>
      <c r="O33" t="str">
        <f t="shared" si="1"/>
        <v>SC4 – S12 - Actual - Not received because Milestone is dependent on Manual input and is missed due to Lack of resources</v>
      </c>
    </row>
    <row r="34" spans="1:15" ht="89" customHeight="1">
      <c r="A34" s="232">
        <v>33</v>
      </c>
      <c r="B34" s="236" t="s">
        <v>511</v>
      </c>
      <c r="C34" s="286" t="s">
        <v>512</v>
      </c>
      <c r="D34" s="286" t="s">
        <v>14</v>
      </c>
      <c r="E34" s="233" t="str" cm="1">
        <f t="array" ref="E34:F34">_xlfn.TEXTSPLIT(D34,"(")</f>
        <v xml:space="preserve">Completeness </v>
      </c>
      <c r="F34" s="233" t="str">
        <v>All)</v>
      </c>
      <c r="G34" s="285" t="str" cm="1">
        <f t="array" ref="G34:H34">_xlfn.TEXTSPLIT(C34,"(")</f>
        <v xml:space="preserve"> On hand at destination SVC </v>
      </c>
      <c r="H34" s="285" t="str">
        <v>Actual)</v>
      </c>
      <c r="I34" s="285" t="str">
        <f t="shared" si="2"/>
        <v>Actual</v>
      </c>
      <c r="J34" s="274" t="str">
        <f t="shared" si="3"/>
        <v>Not received because SOP to fill CW1 fields are not followed by Operators due to lack of resources</v>
      </c>
      <c r="K34" s="274" t="s">
        <v>590</v>
      </c>
      <c r="L34" s="274" t="str">
        <f>_xlfn.XLOOKUP(K34,Rootcauses!$B$2:$B$21,Rootcauses!$D$2:$D$21)</f>
        <v>Dedicated Ops owner is 3 most afftected Regions (GCA + NEC + CSE) to focus on completness of Manual milestones S02, S31, S00</v>
      </c>
      <c r="M34" s="274" t="str">
        <f>_xlfn.XLOOKUP(K34,Rootcauses!$B$2:$B$21,Rootcauses!$E$2:$E$21)</f>
        <v>Ops retraining in Problemetic area</v>
      </c>
      <c r="N34" s="274" t="str">
        <f>_xlfn.XLOOKUP(K34,Rootcauses!$B$2:$B$21,Rootcauses!$F$2:$F$21)</f>
        <v>Dedicated Ops owner is 3 most afftected Regions (GCA + NEC + CSE) to focus on Timeliness of Manual milestones S02, S31, S00</v>
      </c>
      <c r="O34" t="str">
        <f t="shared" ref="O34:O65" si="4">B34&amp;"- "&amp;I34&amp;" - "&amp;J34</f>
        <v>SC4 – S13 - Actual - Not received because SOP to fill CW1 fields are not followed by Operators due to lack of resources</v>
      </c>
    </row>
    <row r="35" spans="1:15" ht="89" customHeight="1">
      <c r="A35" s="232">
        <v>34</v>
      </c>
      <c r="B35" s="236" t="s">
        <v>511</v>
      </c>
      <c r="C35" s="286" t="s">
        <v>512</v>
      </c>
      <c r="D35" s="286" t="s">
        <v>16</v>
      </c>
      <c r="E35" s="233" t="str" cm="1">
        <f t="array" ref="E35:F35">_xlfn.TEXTSPLIT(D35,"(")</f>
        <v xml:space="preserve">Timeliness </v>
      </c>
      <c r="F35" s="233" t="str">
        <v>All)</v>
      </c>
      <c r="G35" s="285" t="str" cm="1">
        <f t="array" ref="G35:H35">_xlfn.TEXTSPLIT(C35,"(")</f>
        <v xml:space="preserve"> On hand at destination SVC </v>
      </c>
      <c r="H35" s="285" t="str">
        <v>Actual)</v>
      </c>
      <c r="I35" s="285" t="str">
        <f t="shared" si="2"/>
        <v>Actual</v>
      </c>
      <c r="J35" s="274" t="str">
        <f t="shared" si="3"/>
        <v>Not received because Milestone is dependent on Manual input and is missed due to Lack of resources</v>
      </c>
      <c r="K35" s="274" t="s">
        <v>599</v>
      </c>
      <c r="L35" s="274" t="str">
        <f>_xlfn.XLOOKUP(K35,Rootcauses!$B$2:$B$21,Rootcauses!$D$2:$D$21)</f>
        <v>Dedicated Ops owner is 3 most afftected Regions (GCA + NEC + CSE) to focus on completness of Manual milestones S02, S31, S00</v>
      </c>
      <c r="M35" s="274" t="str">
        <f>_xlfn.XLOOKUP(K35,Rootcauses!$B$2:$B$21,Rootcauses!$E$2:$E$21)</f>
        <v>Dedicated Ops owner is 3 most afftected Regions (GCA + NEC + CSE) to focus on Timeliness of Manual milestones S02, S31, S00</v>
      </c>
      <c r="N35" s="274">
        <f>_xlfn.XLOOKUP(K35,Rootcauses!$B$2:$B$21,Rootcauses!$F$2:$F$21)</f>
        <v>0</v>
      </c>
      <c r="O35" t="str">
        <f t="shared" si="4"/>
        <v>SC4 – S13 - Actual - Not received because Milestone is dependent on Manual input and is missed due to Lack of resources</v>
      </c>
    </row>
    <row r="36" spans="1:15" ht="89" customHeight="1">
      <c r="A36" s="232">
        <v>35</v>
      </c>
      <c r="B36" s="236" t="s">
        <v>513</v>
      </c>
      <c r="C36" s="286" t="s">
        <v>514</v>
      </c>
      <c r="D36" s="286" t="s">
        <v>11</v>
      </c>
      <c r="E36" s="233" t="str" cm="1">
        <f t="array" ref="E36:F36">_xlfn.TEXTSPLIT(D36,"(")</f>
        <v xml:space="preserve">Completeness </v>
      </c>
      <c r="F36" s="233" t="str">
        <v>Critical)</v>
      </c>
      <c r="G36" s="285" t="str" cm="1">
        <f t="array" ref="G36:H36">_xlfn.TEXTSPLIT(C36,"(")</f>
        <v xml:space="preserve"> Handover to broker </v>
      </c>
      <c r="H36" s="285" t="str">
        <v>Actual)</v>
      </c>
      <c r="I36" s="285" t="str">
        <f t="shared" si="2"/>
        <v>Actual</v>
      </c>
      <c r="J36" s="274" t="str">
        <f t="shared" si="3"/>
        <v>Not received because The HBL div mode is changed after receiving</v>
      </c>
      <c r="K36" s="274" t="s">
        <v>595</v>
      </c>
      <c r="L36" s="274" t="str">
        <f>_xlfn.XLOOKUP(K36,Rootcauses!$B$2:$B$21,Rootcauses!$D$2:$D$21)</f>
        <v>TS to review and address the data fields completition across Maersk systems (CW1, ALP, Seeburger) causing failures in the EDI delivery of critical milestones to Bosch system</v>
      </c>
      <c r="M36" s="274" t="str">
        <f>_xlfn.XLOOKUP(K36,Rootcauses!$B$2:$B$21,Rootcauses!$E$2:$E$21)</f>
        <v>Fix S45 trigger based on the HBL div mode</v>
      </c>
      <c r="N36" s="274">
        <f>_xlfn.XLOOKUP(K36,Rootcauses!$B$2:$B$21,Rootcauses!$F$2:$F$21)</f>
        <v>0</v>
      </c>
      <c r="O36" t="str">
        <f t="shared" si="4"/>
        <v>SC4 – S45 - Actual - Not received because The HBL div mode is changed after receiving</v>
      </c>
    </row>
    <row r="37" spans="1:15" ht="89" customHeight="1">
      <c r="A37" s="232">
        <v>36</v>
      </c>
      <c r="B37" s="236" t="s">
        <v>513</v>
      </c>
      <c r="C37" s="286" t="s">
        <v>514</v>
      </c>
      <c r="D37" s="286" t="s">
        <v>12</v>
      </c>
      <c r="E37" s="233" t="str" cm="1">
        <f t="array" ref="E37:F37">_xlfn.TEXTSPLIT(D37,"(")</f>
        <v xml:space="preserve">Timeliness </v>
      </c>
      <c r="F37" s="233" t="str">
        <v>Critical)</v>
      </c>
      <c r="G37" s="285" t="str" cm="1">
        <f t="array" ref="G37:H37">_xlfn.TEXTSPLIT(C37,"(")</f>
        <v xml:space="preserve"> Handover to broker </v>
      </c>
      <c r="H37" s="285" t="str">
        <v>Actual)</v>
      </c>
      <c r="I37" s="285" t="str">
        <f t="shared" si="2"/>
        <v>Actual</v>
      </c>
      <c r="J37" s="274" t="str">
        <f t="shared" si="3"/>
        <v>Not received because The HBL div mode is changed after receiving</v>
      </c>
      <c r="K37" s="274" t="s">
        <v>595</v>
      </c>
      <c r="L37" s="274" t="str">
        <f>_xlfn.XLOOKUP(K37,Rootcauses!$B$2:$B$21,Rootcauses!$D$2:$D$21)</f>
        <v>TS to review and address the data fields completition across Maersk systems (CW1, ALP, Seeburger) causing failures in the EDI delivery of critical milestones to Bosch system</v>
      </c>
      <c r="M37" s="274" t="str">
        <f>_xlfn.XLOOKUP(K37,Rootcauses!$B$2:$B$21,Rootcauses!$E$2:$E$21)</f>
        <v>Fix S45 trigger based on the HBL div mode</v>
      </c>
      <c r="N37" s="274">
        <f>_xlfn.XLOOKUP(K37,Rootcauses!$B$2:$B$21,Rootcauses!$F$2:$F$21)</f>
        <v>0</v>
      </c>
      <c r="O37" t="str">
        <f t="shared" si="4"/>
        <v>SC4 – S45 - Actual - Not received because The HBL div mode is changed after receiving</v>
      </c>
    </row>
    <row r="38" spans="1:15" ht="89" customHeight="1">
      <c r="A38" s="232">
        <v>37</v>
      </c>
      <c r="B38" s="236" t="s">
        <v>515</v>
      </c>
      <c r="C38" s="286" t="s">
        <v>516</v>
      </c>
      <c r="D38" s="286" t="s">
        <v>14</v>
      </c>
      <c r="E38" s="233" t="str" cm="1">
        <f t="array" ref="E38:F38">_xlfn.TEXTSPLIT(D38,"(")</f>
        <v xml:space="preserve">Completeness </v>
      </c>
      <c r="F38" s="233" t="str">
        <v>All)</v>
      </c>
      <c r="G38" s="285" t="str" cm="1">
        <f t="array" ref="G38:H38">_xlfn.TEXTSPLIT(C38,"(")</f>
        <v xml:space="preserve"> In delivery </v>
      </c>
      <c r="H38" s="285" t="str">
        <v>Actual)</v>
      </c>
      <c r="I38" s="285" t="str">
        <f t="shared" si="2"/>
        <v>Actual</v>
      </c>
      <c r="J38" s="274" t="str">
        <f t="shared" si="3"/>
        <v>Not received because CW1 configurations are not set up correctly to handle Bosch requirements</v>
      </c>
      <c r="K38" s="274" t="s">
        <v>591</v>
      </c>
      <c r="L38" s="274" t="str">
        <f>_xlfn.XLOOKUP(K38,Rootcauses!$B$2:$B$21,Rootcauses!$D$2:$D$21)</f>
        <v>Implement Mandatory Field Validation in CW1 , causing EDI faliure</v>
      </c>
      <c r="M38" s="274" t="str">
        <f>_xlfn.XLOOKUP(K38,Rootcauses!$B$2:$B$21,Rootcauses!$E$2:$E$21)</f>
        <v xml:space="preserve">Review the legacy system shipments flow for the branch in Japan </v>
      </c>
      <c r="N38" s="274" t="str">
        <f>_xlfn.XLOOKUP(K38,Rootcauses!$B$2:$B$21,Rootcauses!$F$2:$F$21)</f>
        <v>Review the legacy system shipments flow for the branch in Japan</v>
      </c>
      <c r="O38" t="str">
        <f t="shared" si="4"/>
        <v>SC4 – S05 - Actual - Not received because CW1 configurations are not set up correctly to handle Bosch requirements</v>
      </c>
    </row>
    <row r="39" spans="1:15" ht="89" customHeight="1">
      <c r="A39" s="232">
        <v>38</v>
      </c>
      <c r="B39" s="236" t="s">
        <v>515</v>
      </c>
      <c r="C39" s="286" t="s">
        <v>516</v>
      </c>
      <c r="D39" s="286" t="s">
        <v>16</v>
      </c>
      <c r="E39" s="233" t="str" cm="1">
        <f t="array" ref="E39:F39">_xlfn.TEXTSPLIT(D39,"(")</f>
        <v xml:space="preserve">Timeliness </v>
      </c>
      <c r="F39" s="233" t="str">
        <v>All)</v>
      </c>
      <c r="G39" s="285" t="str" cm="1">
        <f t="array" ref="G39:H39">_xlfn.TEXTSPLIT(C39,"(")</f>
        <v xml:space="preserve"> In delivery </v>
      </c>
      <c r="H39" s="285" t="str">
        <v>Actual)</v>
      </c>
      <c r="I39" s="285" t="str">
        <f t="shared" si="2"/>
        <v>Actual</v>
      </c>
      <c r="J39" s="274" t="str">
        <f t="shared" si="3"/>
        <v>Not received because CW1 configurations are not set up correctly to handle Bosch requirements</v>
      </c>
      <c r="K39" s="274" t="s">
        <v>591</v>
      </c>
      <c r="L39" s="274" t="str">
        <f>_xlfn.XLOOKUP(K39,Rootcauses!$B$2:$B$21,Rootcauses!$D$2:$D$21)</f>
        <v>Implement Mandatory Field Validation in CW1 , causing EDI faliure</v>
      </c>
      <c r="M39" s="274" t="str">
        <f>_xlfn.XLOOKUP(K39,Rootcauses!$B$2:$B$21,Rootcauses!$E$2:$E$21)</f>
        <v xml:space="preserve">Review the legacy system shipments flow for the branch in Japan </v>
      </c>
      <c r="N39" s="274" t="str">
        <f>_xlfn.XLOOKUP(K39,Rootcauses!$B$2:$B$21,Rootcauses!$F$2:$F$21)</f>
        <v>Review the legacy system shipments flow for the branch in Japan</v>
      </c>
      <c r="O39" t="str">
        <f t="shared" si="4"/>
        <v>SC4 – S05 - Actual - Not received because CW1 configurations are not set up correctly to handle Bosch requirements</v>
      </c>
    </row>
    <row r="40" spans="1:15" ht="89" customHeight="1">
      <c r="A40" s="232">
        <v>39</v>
      </c>
      <c r="B40" s="236" t="s">
        <v>517</v>
      </c>
      <c r="C40" s="286" t="s">
        <v>518</v>
      </c>
      <c r="D40" s="286" t="s">
        <v>11</v>
      </c>
      <c r="E40" s="233" t="str" cm="1">
        <f t="array" ref="E40:F40">_xlfn.TEXTSPLIT(D40,"(")</f>
        <v xml:space="preserve">Completeness </v>
      </c>
      <c r="F40" s="233" t="str">
        <v>Critical)</v>
      </c>
      <c r="G40" s="285" t="str" cm="1">
        <f t="array" ref="G40:H40">_xlfn.TEXTSPLIT(C40,"(")</f>
        <v xml:space="preserve"> Delivered </v>
      </c>
      <c r="H40" s="285" t="str">
        <v>Estimated)</v>
      </c>
      <c r="I40" s="285" t="str">
        <f t="shared" si="2"/>
        <v>Estimated</v>
      </c>
      <c r="J40" s="274" t="str">
        <f t="shared" si="3"/>
        <v>Not received because Milestone is dependent on Manual input and is missed due to Lack of resources</v>
      </c>
      <c r="K40" s="274" t="s">
        <v>599</v>
      </c>
      <c r="L40" s="274" t="str">
        <f>_xlfn.XLOOKUP(K40,Rootcauses!$B$2:$B$21,Rootcauses!$D$2:$D$21)</f>
        <v>Dedicated Ops owner is 3 most afftected Regions (GCA + NEC + CSE) to focus on completness of Manual milestones S02, S31, S00</v>
      </c>
      <c r="M40" s="274" t="str">
        <f>_xlfn.XLOOKUP(K40,Rootcauses!$B$2:$B$21,Rootcauses!$E$2:$E$21)</f>
        <v>Dedicated Ops owner is 3 most afftected Regions (GCA + NEC + CSE) to focus on Timeliness of Manual milestones S02, S31, S00</v>
      </c>
      <c r="N40" s="274">
        <f>_xlfn.XLOOKUP(K40,Rootcauses!$B$2:$B$21,Rootcauses!$F$2:$F$21)</f>
        <v>0</v>
      </c>
      <c r="O40" t="str">
        <f t="shared" si="4"/>
        <v>SC4 – S31 - Estimated - Not received because Milestone is dependent on Manual input and is missed due to Lack of resources</v>
      </c>
    </row>
    <row r="41" spans="1:15" ht="89" customHeight="1">
      <c r="A41" s="232">
        <v>40</v>
      </c>
      <c r="B41" s="236" t="s">
        <v>517</v>
      </c>
      <c r="C41" s="286" t="s">
        <v>518</v>
      </c>
      <c r="D41" s="286" t="s">
        <v>12</v>
      </c>
      <c r="E41" s="233" t="str" cm="1">
        <f t="array" ref="E41:F41">_xlfn.TEXTSPLIT(D41,"(")</f>
        <v xml:space="preserve">Timeliness </v>
      </c>
      <c r="F41" s="233" t="str">
        <v>Critical)</v>
      </c>
      <c r="G41" s="285" t="str" cm="1">
        <f t="array" ref="G41:H41">_xlfn.TEXTSPLIT(C41,"(")</f>
        <v xml:space="preserve"> Delivered </v>
      </c>
      <c r="H41" s="285" t="str">
        <v>Estimated)</v>
      </c>
      <c r="I41" s="285" t="str">
        <f t="shared" si="2"/>
        <v>Estimated</v>
      </c>
      <c r="J41" s="274" t="str">
        <f t="shared" si="3"/>
        <v>Not received because Milestone is dependent on Manual input and is missed due to Lack of resources</v>
      </c>
      <c r="K41" s="274" t="s">
        <v>599</v>
      </c>
      <c r="L41" s="274" t="str">
        <f>_xlfn.XLOOKUP(K41,Rootcauses!$B$2:$B$21,Rootcauses!$D$2:$D$21)</f>
        <v>Dedicated Ops owner is 3 most afftected Regions (GCA + NEC + CSE) to focus on completness of Manual milestones S02, S31, S00</v>
      </c>
      <c r="M41" s="274" t="str">
        <f>_xlfn.XLOOKUP(K41,Rootcauses!$B$2:$B$21,Rootcauses!$E$2:$E$21)</f>
        <v>Dedicated Ops owner is 3 most afftected Regions (GCA + NEC + CSE) to focus on Timeliness of Manual milestones S02, S31, S00</v>
      </c>
      <c r="N41" s="274">
        <f>_xlfn.XLOOKUP(K41,Rootcauses!$B$2:$B$21,Rootcauses!$F$2:$F$21)</f>
        <v>0</v>
      </c>
      <c r="O41" t="str">
        <f t="shared" si="4"/>
        <v>SC4 – S31 - Estimated - Not received because Milestone is dependent on Manual input and is missed due to Lack of resources</v>
      </c>
    </row>
    <row r="42" spans="1:15" ht="89" customHeight="1">
      <c r="A42" s="232">
        <v>41</v>
      </c>
      <c r="B42" s="236" t="s">
        <v>517</v>
      </c>
      <c r="C42" s="286" t="s">
        <v>519</v>
      </c>
      <c r="D42" s="286" t="s">
        <v>11</v>
      </c>
      <c r="E42" s="233" t="str" cm="1">
        <f t="array" ref="E42:F42">_xlfn.TEXTSPLIT(D42,"(")</f>
        <v xml:space="preserve">Completeness </v>
      </c>
      <c r="F42" s="233" t="str">
        <v>Critical)</v>
      </c>
      <c r="G42" s="285" t="str" cm="1">
        <f t="array" ref="G42:H42">_xlfn.TEXTSPLIT(C42,"(")</f>
        <v xml:space="preserve"> Delivered </v>
      </c>
      <c r="H42" s="285" t="str">
        <v>Actual)</v>
      </c>
      <c r="I42" s="285" t="str">
        <f t="shared" si="2"/>
        <v>Actual</v>
      </c>
      <c r="J42" s="274" t="str">
        <f t="shared" si="3"/>
        <v>Not received because Milestone is dependent on Manual input and is missed due to Lack of resources</v>
      </c>
      <c r="K42" s="274" t="s">
        <v>599</v>
      </c>
      <c r="L42" s="274" t="str">
        <f>_xlfn.XLOOKUP(K42,Rootcauses!$B$2:$B$21,Rootcauses!$D$2:$D$21)</f>
        <v>Dedicated Ops owner is 3 most afftected Regions (GCA + NEC + CSE) to focus on completness of Manual milestones S02, S31, S00</v>
      </c>
      <c r="M42" s="274" t="str">
        <f>_xlfn.XLOOKUP(K42,Rootcauses!$B$2:$B$21,Rootcauses!$E$2:$E$21)</f>
        <v>Dedicated Ops owner is 3 most afftected Regions (GCA + NEC + CSE) to focus on Timeliness of Manual milestones S02, S31, S00</v>
      </c>
      <c r="N42" s="274">
        <f>_xlfn.XLOOKUP(K42,Rootcauses!$B$2:$B$21,Rootcauses!$F$2:$F$21)</f>
        <v>0</v>
      </c>
      <c r="O42" t="str">
        <f t="shared" si="4"/>
        <v>SC4 – S31 - Actual - Not received because Milestone is dependent on Manual input and is missed due to Lack of resources</v>
      </c>
    </row>
    <row r="43" spans="1:15" ht="89" customHeight="1">
      <c r="A43" s="232">
        <v>42</v>
      </c>
      <c r="B43" s="236" t="s">
        <v>517</v>
      </c>
      <c r="C43" s="286" t="s">
        <v>519</v>
      </c>
      <c r="D43" s="286" t="s">
        <v>12</v>
      </c>
      <c r="E43" s="233" t="str" cm="1">
        <f t="array" ref="E43:F43">_xlfn.TEXTSPLIT(D43,"(")</f>
        <v xml:space="preserve">Timeliness </v>
      </c>
      <c r="F43" s="233" t="str">
        <v>Critical)</v>
      </c>
      <c r="G43" s="285" t="str" cm="1">
        <f t="array" ref="G43:H43">_xlfn.TEXTSPLIT(C43,"(")</f>
        <v xml:space="preserve"> Delivered </v>
      </c>
      <c r="H43" s="285" t="str">
        <v>Actual)</v>
      </c>
      <c r="I43" s="285" t="str">
        <f t="shared" si="2"/>
        <v>Actual</v>
      </c>
      <c r="J43" s="274" t="str">
        <f t="shared" si="3"/>
        <v>Not received because Milestone is dependent on Manual input and is missed due to Lack of resources</v>
      </c>
      <c r="K43" s="274" t="s">
        <v>599</v>
      </c>
      <c r="L43" s="274" t="str">
        <f>_xlfn.XLOOKUP(K43,Rootcauses!$B$2:$B$21,Rootcauses!$D$2:$D$21)</f>
        <v>Dedicated Ops owner is 3 most afftected Regions (GCA + NEC + CSE) to focus on completness of Manual milestones S02, S31, S00</v>
      </c>
      <c r="M43" s="274" t="str">
        <f>_xlfn.XLOOKUP(K43,Rootcauses!$B$2:$B$21,Rootcauses!$E$2:$E$21)</f>
        <v>Dedicated Ops owner is 3 most afftected Regions (GCA + NEC + CSE) to focus on Timeliness of Manual milestones S02, S31, S00</v>
      </c>
      <c r="N43" s="274">
        <f>_xlfn.XLOOKUP(K43,Rootcauses!$B$2:$B$21,Rootcauses!$F$2:$F$21)</f>
        <v>0</v>
      </c>
      <c r="O43" t="str">
        <f t="shared" si="4"/>
        <v>SC4 – S31 - Actual - Not received because Milestone is dependent on Manual input and is missed due to Lack of resources</v>
      </c>
    </row>
    <row r="44" spans="1:15" ht="89" customHeight="1">
      <c r="A44" s="232">
        <v>43</v>
      </c>
      <c r="B44" s="236" t="s">
        <v>520</v>
      </c>
      <c r="C44" s="286" t="s">
        <v>541</v>
      </c>
      <c r="D44" s="286" t="s">
        <v>14</v>
      </c>
      <c r="E44" s="233" t="str" cm="1">
        <f t="array" ref="E44:F44">_xlfn.TEXTSPLIT(D44,"(")</f>
        <v xml:space="preserve">Completeness </v>
      </c>
      <c r="F44" s="233" t="str">
        <v>All)</v>
      </c>
      <c r="G44" s="285" t="str" cm="1">
        <f t="array" ref="G44:H44">_xlfn.TEXTSPLIT(C44,"(")</f>
        <v xml:space="preserve"> Pre Booking confirmed </v>
      </c>
      <c r="H44" s="285" t="str">
        <v>Actual)</v>
      </c>
      <c r="I44" s="285" t="str">
        <f t="shared" si="2"/>
        <v>Actual</v>
      </c>
      <c r="J44" s="274" t="str">
        <f t="shared" si="3"/>
        <v>No RCA</v>
      </c>
      <c r="K44" s="274"/>
      <c r="L44" s="274">
        <f>_xlfn.XLOOKUP(K44,Rootcauses!$B$2:$B$21,Rootcauses!$D$2:$D$21)</f>
        <v>0</v>
      </c>
      <c r="M44" s="274">
        <f>_xlfn.XLOOKUP(K44,Rootcauses!$B$2:$B$21,Rootcauses!$E$2:$E$21)</f>
        <v>0</v>
      </c>
      <c r="N44" s="274">
        <f>_xlfn.XLOOKUP(K44,Rootcauses!$B$2:$B$21,Rootcauses!$F$2:$F$21)</f>
        <v>0</v>
      </c>
      <c r="O44" t="str">
        <f t="shared" si="4"/>
        <v>SC3 – S60 - Actual - No RCA</v>
      </c>
    </row>
    <row r="45" spans="1:15" ht="89" customHeight="1">
      <c r="A45" s="232">
        <v>44</v>
      </c>
      <c r="B45" s="236" t="s">
        <v>520</v>
      </c>
      <c r="C45" s="286" t="s">
        <v>541</v>
      </c>
      <c r="D45" s="286" t="s">
        <v>16</v>
      </c>
      <c r="E45" s="233" t="str" cm="1">
        <f t="array" ref="E45:F45">_xlfn.TEXTSPLIT(D45,"(")</f>
        <v xml:space="preserve">Timeliness </v>
      </c>
      <c r="F45" s="233" t="str">
        <v>All)</v>
      </c>
      <c r="G45" s="285" t="str" cm="1">
        <f t="array" ref="G45:H45">_xlfn.TEXTSPLIT(C45,"(")</f>
        <v xml:space="preserve"> Pre Booking confirmed </v>
      </c>
      <c r="H45" s="285" t="str">
        <v>Actual)</v>
      </c>
      <c r="I45" s="285" t="str">
        <f t="shared" si="2"/>
        <v>Actual</v>
      </c>
      <c r="J45" s="274" t="str">
        <f t="shared" si="3"/>
        <v>No RCA</v>
      </c>
      <c r="K45" s="274"/>
      <c r="L45" s="274">
        <f>_xlfn.XLOOKUP(K45,Rootcauses!$B$2:$B$21,Rootcauses!$D$2:$D$21)</f>
        <v>0</v>
      </c>
      <c r="M45" s="274">
        <f>_xlfn.XLOOKUP(K45,Rootcauses!$B$2:$B$21,Rootcauses!$E$2:$E$21)</f>
        <v>0</v>
      </c>
      <c r="N45" s="274">
        <f>_xlfn.XLOOKUP(K45,Rootcauses!$B$2:$B$21,Rootcauses!$F$2:$F$21)</f>
        <v>0</v>
      </c>
      <c r="O45" t="str">
        <f t="shared" si="4"/>
        <v>SC3 – S60 - Actual - No RCA</v>
      </c>
    </row>
    <row r="46" spans="1:15" ht="89" customHeight="1">
      <c r="A46" s="232">
        <v>45</v>
      </c>
      <c r="B46" s="236" t="s">
        <v>521</v>
      </c>
      <c r="C46" s="286" t="s">
        <v>522</v>
      </c>
      <c r="D46" s="286" t="s">
        <v>14</v>
      </c>
      <c r="E46" s="233" t="str" cm="1">
        <f t="array" ref="E46:F46">_xlfn.TEXTSPLIT(D46,"(")</f>
        <v xml:space="preserve">Completeness </v>
      </c>
      <c r="F46" s="233" t="str">
        <v>All)</v>
      </c>
      <c r="G46" s="285" t="str" cm="1">
        <f t="array" ref="G46:H46">_xlfn.TEXTSPLIT(C46,"(")</f>
        <v xml:space="preserve"> Empty Container picked up </v>
      </c>
      <c r="H46" s="285" t="str">
        <v>Actual)</v>
      </c>
      <c r="I46" s="285" t="str">
        <f t="shared" si="2"/>
        <v>Actual</v>
      </c>
      <c r="J46" s="274" t="str">
        <f t="shared" si="3"/>
        <v>Not received because CW1 configurations are not set up correctly to handle Bosch requirements</v>
      </c>
      <c r="K46" s="274" t="s">
        <v>591</v>
      </c>
      <c r="L46" s="274" t="str">
        <f>_xlfn.XLOOKUP(K46,Rootcauses!$B$2:$B$21,Rootcauses!$D$2:$D$21)</f>
        <v>Implement Mandatory Field Validation in CW1 , causing EDI faliure</v>
      </c>
      <c r="M46" s="274" t="str">
        <f>_xlfn.XLOOKUP(K46,Rootcauses!$B$2:$B$21,Rootcauses!$E$2:$E$21)</f>
        <v xml:space="preserve">Review the legacy system shipments flow for the branch in Japan </v>
      </c>
      <c r="N46" s="274" t="str">
        <f>_xlfn.XLOOKUP(K46,Rootcauses!$B$2:$B$21,Rootcauses!$F$2:$F$21)</f>
        <v>Review the legacy system shipments flow for the branch in Japan</v>
      </c>
      <c r="O46" t="str">
        <f t="shared" si="4"/>
        <v>SC3 – S52 - Actual - Not received because CW1 configurations are not set up correctly to handle Bosch requirements</v>
      </c>
    </row>
    <row r="47" spans="1:15" ht="89" customHeight="1">
      <c r="A47" s="232">
        <v>46</v>
      </c>
      <c r="B47" s="236" t="s">
        <v>521</v>
      </c>
      <c r="C47" s="286" t="s">
        <v>522</v>
      </c>
      <c r="D47" s="286" t="s">
        <v>16</v>
      </c>
      <c r="E47" s="233" t="str" cm="1">
        <f t="array" ref="E47:F47">_xlfn.TEXTSPLIT(D47,"(")</f>
        <v xml:space="preserve">Timeliness </v>
      </c>
      <c r="F47" s="233" t="str">
        <v>All)</v>
      </c>
      <c r="G47" s="285" t="str" cm="1">
        <f t="array" ref="G47:H47">_xlfn.TEXTSPLIT(C47,"(")</f>
        <v xml:space="preserve"> Empty Container picked up </v>
      </c>
      <c r="H47" s="285" t="str">
        <v>Actual)</v>
      </c>
      <c r="I47" s="285" t="str">
        <f t="shared" si="2"/>
        <v>Actual</v>
      </c>
      <c r="J47" s="274" t="str">
        <f t="shared" si="3"/>
        <v>Not received because CW1 configurations are not set up correctly to handle Bosch requirements</v>
      </c>
      <c r="K47" s="274" t="s">
        <v>591</v>
      </c>
      <c r="L47" s="274" t="str">
        <f>_xlfn.XLOOKUP(K47,Rootcauses!$B$2:$B$21,Rootcauses!$D$2:$D$21)</f>
        <v>Implement Mandatory Field Validation in CW1 , causing EDI faliure</v>
      </c>
      <c r="M47" s="274" t="str">
        <f>_xlfn.XLOOKUP(K47,Rootcauses!$B$2:$B$21,Rootcauses!$E$2:$E$21)</f>
        <v xml:space="preserve">Review the legacy system shipments flow for the branch in Japan </v>
      </c>
      <c r="N47" s="274" t="str">
        <f>_xlfn.XLOOKUP(K47,Rootcauses!$B$2:$B$21,Rootcauses!$F$2:$F$21)</f>
        <v>Review the legacy system shipments flow for the branch in Japan</v>
      </c>
      <c r="O47" t="str">
        <f t="shared" si="4"/>
        <v>SC3 – S52 - Actual - Not received because CW1 configurations are not set up correctly to handle Bosch requirements</v>
      </c>
    </row>
    <row r="48" spans="1:15" ht="89" customHeight="1">
      <c r="A48" s="232">
        <v>47</v>
      </c>
      <c r="B48" s="236" t="s">
        <v>523</v>
      </c>
      <c r="C48" s="286" t="s">
        <v>486</v>
      </c>
      <c r="D48" s="286" t="s">
        <v>11</v>
      </c>
      <c r="E48" s="233" t="str" cm="1">
        <f t="array" ref="E48:F48">_xlfn.TEXTSPLIT(D48,"(")</f>
        <v xml:space="preserve">Completeness </v>
      </c>
      <c r="F48" s="233" t="str">
        <v>Critical)</v>
      </c>
      <c r="G48" s="285" t="str" cm="1">
        <f t="array" ref="G48:H48">_xlfn.TEXTSPLIT(C48,"(")</f>
        <v xml:space="preserve"> Collected </v>
      </c>
      <c r="H48" s="285" t="str">
        <v>Actual)</v>
      </c>
      <c r="I48" s="285" t="str">
        <f t="shared" si="2"/>
        <v>Actual</v>
      </c>
      <c r="J48" s="274" t="str">
        <f t="shared" si="3"/>
        <v>Not received because Manual milestones not updated on time by Operators due to lack of resources</v>
      </c>
      <c r="K48" s="274" t="s">
        <v>597</v>
      </c>
      <c r="L48" s="274" t="str">
        <f>_xlfn.XLOOKUP(K48,Rootcauses!$B$2:$B$21,Rootcauses!$D$2:$D$21)</f>
        <v>Dedicated Ops owner is 3 most afftected Regions (GCA + NEC + CSE) to focus on completness of Manual milestones S02, S31, S00</v>
      </c>
      <c r="M48" s="274" t="str">
        <f>_xlfn.XLOOKUP(K48,Rootcauses!$B$2:$B$21,Rootcauses!$E$2:$E$21)</f>
        <v>Dedicated Ops owner is 3 most afftected Regions (GCA + NEC + CSE) to focus on Timeliness of Manual milestones S02, S31, S00</v>
      </c>
      <c r="N48" s="274">
        <f>_xlfn.XLOOKUP(K48,Rootcauses!$B$2:$B$21,Rootcauses!$F$2:$F$21)</f>
        <v>0</v>
      </c>
      <c r="O48" t="str">
        <f t="shared" si="4"/>
        <v>SC3 – S02 - Actual - Not received because Manual milestones not updated on time by Operators due to lack of resources</v>
      </c>
    </row>
    <row r="49" spans="1:15" ht="89" customHeight="1">
      <c r="A49" s="232">
        <v>48</v>
      </c>
      <c r="B49" s="236" t="s">
        <v>523</v>
      </c>
      <c r="C49" s="286" t="s">
        <v>486</v>
      </c>
      <c r="D49" s="286" t="s">
        <v>12</v>
      </c>
      <c r="E49" s="233" t="str" cm="1">
        <f t="array" ref="E49:F49">_xlfn.TEXTSPLIT(D49,"(")</f>
        <v xml:space="preserve">Timeliness </v>
      </c>
      <c r="F49" s="233" t="str">
        <v>Critical)</v>
      </c>
      <c r="G49" s="285" t="str" cm="1">
        <f t="array" ref="G49:H49">_xlfn.TEXTSPLIT(C49,"(")</f>
        <v xml:space="preserve"> Collected </v>
      </c>
      <c r="H49" s="285" t="str">
        <v>Actual)</v>
      </c>
      <c r="I49" s="285" t="str">
        <f t="shared" si="2"/>
        <v>Actual</v>
      </c>
      <c r="J49" s="274" t="str">
        <f t="shared" si="3"/>
        <v>Not received because Manual milestones not updated on time by Operators due to lack of resources</v>
      </c>
      <c r="K49" s="274" t="s">
        <v>597</v>
      </c>
      <c r="L49" s="274" t="str">
        <f>_xlfn.XLOOKUP(K49,Rootcauses!$B$2:$B$21,Rootcauses!$D$2:$D$21)</f>
        <v>Dedicated Ops owner is 3 most afftected Regions (GCA + NEC + CSE) to focus on completness of Manual milestones S02, S31, S00</v>
      </c>
      <c r="M49" s="274" t="str">
        <f>_xlfn.XLOOKUP(K49,Rootcauses!$B$2:$B$21,Rootcauses!$E$2:$E$21)</f>
        <v>Dedicated Ops owner is 3 most afftected Regions (GCA + NEC + CSE) to focus on Timeliness of Manual milestones S02, S31, S00</v>
      </c>
      <c r="N49" s="274">
        <f>_xlfn.XLOOKUP(K49,Rootcauses!$B$2:$B$21,Rootcauses!$F$2:$F$21)</f>
        <v>0</v>
      </c>
      <c r="O49" t="str">
        <f t="shared" si="4"/>
        <v>SC3 – S02 - Actual - Not received because Manual milestones not updated on time by Operators due to lack of resources</v>
      </c>
    </row>
    <row r="50" spans="1:15" ht="89" customHeight="1">
      <c r="A50" s="232">
        <v>49</v>
      </c>
      <c r="B50" s="236" t="s">
        <v>523</v>
      </c>
      <c r="C50" s="286" t="s">
        <v>485</v>
      </c>
      <c r="D50" s="286" t="s">
        <v>11</v>
      </c>
      <c r="E50" s="233" t="str" cm="1">
        <f t="array" ref="E50:F50">_xlfn.TEXTSPLIT(D50,"(")</f>
        <v xml:space="preserve">Completeness </v>
      </c>
      <c r="F50" s="233" t="str">
        <v>Critical)</v>
      </c>
      <c r="G50" s="285" t="str" cm="1">
        <f t="array" ref="G50:H50">_xlfn.TEXTSPLIT(C50,"(")</f>
        <v xml:space="preserve"> Collected </v>
      </c>
      <c r="H50" s="285" t="str">
        <v>Estimated)</v>
      </c>
      <c r="I50" s="285" t="str">
        <f t="shared" si="2"/>
        <v>Estimated</v>
      </c>
      <c r="J50" s="274" t="str">
        <f t="shared" si="3"/>
        <v>Not received because Manual milestones not updated on time by Operators due to lack of resources</v>
      </c>
      <c r="K50" s="274" t="s">
        <v>597</v>
      </c>
      <c r="L50" s="274" t="str">
        <f>_xlfn.XLOOKUP(K50,Rootcauses!$B$2:$B$21,Rootcauses!$D$2:$D$21)</f>
        <v>Dedicated Ops owner is 3 most afftected Regions (GCA + NEC + CSE) to focus on completness of Manual milestones S02, S31, S00</v>
      </c>
      <c r="M50" s="274" t="str">
        <f>_xlfn.XLOOKUP(K50,Rootcauses!$B$2:$B$21,Rootcauses!$E$2:$E$21)</f>
        <v>Dedicated Ops owner is 3 most afftected Regions (GCA + NEC + CSE) to focus on Timeliness of Manual milestones S02, S31, S00</v>
      </c>
      <c r="N50" s="274">
        <f>_xlfn.XLOOKUP(K50,Rootcauses!$B$2:$B$21,Rootcauses!$F$2:$F$21)</f>
        <v>0</v>
      </c>
      <c r="O50" t="str">
        <f t="shared" si="4"/>
        <v>SC3 – S02 - Estimated - Not received because Manual milestones not updated on time by Operators due to lack of resources</v>
      </c>
    </row>
    <row r="51" spans="1:15" ht="89" customHeight="1">
      <c r="A51" s="232">
        <v>50</v>
      </c>
      <c r="B51" s="236" t="s">
        <v>523</v>
      </c>
      <c r="C51" s="286" t="s">
        <v>485</v>
      </c>
      <c r="D51" s="286" t="s">
        <v>12</v>
      </c>
      <c r="E51" s="233" t="str" cm="1">
        <f t="array" ref="E51:F51">_xlfn.TEXTSPLIT(D51,"(")</f>
        <v xml:space="preserve">Timeliness </v>
      </c>
      <c r="F51" s="233" t="str">
        <v>Critical)</v>
      </c>
      <c r="G51" s="285" t="str" cm="1">
        <f t="array" ref="G51:H51">_xlfn.TEXTSPLIT(C51,"(")</f>
        <v xml:space="preserve"> Collected </v>
      </c>
      <c r="H51" s="285" t="str">
        <v>Estimated)</v>
      </c>
      <c r="I51" s="285" t="str">
        <f t="shared" si="2"/>
        <v>Estimated</v>
      </c>
      <c r="J51" s="274" t="str">
        <f t="shared" si="3"/>
        <v>Not received because Manual milestones not updated on time by Operators due to lack of resources</v>
      </c>
      <c r="K51" s="274" t="s">
        <v>597</v>
      </c>
      <c r="L51" s="274" t="str">
        <f>_xlfn.XLOOKUP(K51,Rootcauses!$B$2:$B$21,Rootcauses!$D$2:$D$21)</f>
        <v>Dedicated Ops owner is 3 most afftected Regions (GCA + NEC + CSE) to focus on completness of Manual milestones S02, S31, S00</v>
      </c>
      <c r="M51" s="274" t="str">
        <f>_xlfn.XLOOKUP(K51,Rootcauses!$B$2:$B$21,Rootcauses!$E$2:$E$21)</f>
        <v>Dedicated Ops owner is 3 most afftected Regions (GCA + NEC + CSE) to focus on Timeliness of Manual milestones S02, S31, S00</v>
      </c>
      <c r="N51" s="274">
        <f>_xlfn.XLOOKUP(K51,Rootcauses!$B$2:$B$21,Rootcauses!$F$2:$F$21)</f>
        <v>0</v>
      </c>
      <c r="O51" t="str">
        <f t="shared" si="4"/>
        <v>SC3 – S02 - Estimated - Not received because Manual milestones not updated on time by Operators due to lack of resources</v>
      </c>
    </row>
    <row r="52" spans="1:15" ht="89" customHeight="1">
      <c r="A52" s="232">
        <v>51</v>
      </c>
      <c r="B52" s="236" t="s">
        <v>524</v>
      </c>
      <c r="C52" s="286" t="s">
        <v>490</v>
      </c>
      <c r="D52" s="286" t="s">
        <v>14</v>
      </c>
      <c r="E52" s="233" t="str" cm="1">
        <f t="array" ref="E52:F52">_xlfn.TEXTSPLIT(D52,"(")</f>
        <v xml:space="preserve">Completeness </v>
      </c>
      <c r="F52" s="233" t="str">
        <v>All)</v>
      </c>
      <c r="G52" s="285" t="str" cm="1">
        <f t="array" ref="G52:H52">_xlfn.TEXTSPLIT(C52,"(")</f>
        <v xml:space="preserve"> On hand at origin SVC </v>
      </c>
      <c r="H52" s="285" t="str">
        <v>Actual)</v>
      </c>
      <c r="I52" s="285" t="str">
        <f t="shared" si="2"/>
        <v>Actual</v>
      </c>
      <c r="J52" s="274" t="str">
        <f t="shared" si="3"/>
        <v>Not received because SOP to fill CW1 fields are not followed by Operators due to lack of resources</v>
      </c>
      <c r="K52" s="274" t="s">
        <v>590</v>
      </c>
      <c r="L52" s="274" t="str">
        <f>_xlfn.XLOOKUP(K52,Rootcauses!$B$2:$B$21,Rootcauses!$D$2:$D$21)</f>
        <v>Dedicated Ops owner is 3 most afftected Regions (GCA + NEC + CSE) to focus on completness of Manual milestones S02, S31, S00</v>
      </c>
      <c r="M52" s="274" t="str">
        <f>_xlfn.XLOOKUP(K52,Rootcauses!$B$2:$B$21,Rootcauses!$E$2:$E$21)</f>
        <v>Ops retraining in Problemetic area</v>
      </c>
      <c r="N52" s="274" t="str">
        <f>_xlfn.XLOOKUP(K52,Rootcauses!$B$2:$B$21,Rootcauses!$F$2:$F$21)</f>
        <v>Dedicated Ops owner is 3 most afftected Regions (GCA + NEC + CSE) to focus on Timeliness of Manual milestones S02, S31, S00</v>
      </c>
      <c r="O52" t="str">
        <f t="shared" si="4"/>
        <v>SC3 – S10 - Actual - Not received because SOP to fill CW1 fields are not followed by Operators due to lack of resources</v>
      </c>
    </row>
    <row r="53" spans="1:15" ht="89" customHeight="1">
      <c r="A53" s="232">
        <v>52</v>
      </c>
      <c r="B53" s="236" t="s">
        <v>524</v>
      </c>
      <c r="C53" s="286" t="s">
        <v>490</v>
      </c>
      <c r="D53" s="286" t="s">
        <v>16</v>
      </c>
      <c r="E53" s="233" t="str" cm="1">
        <f t="array" ref="E53:F53">_xlfn.TEXTSPLIT(D53,"(")</f>
        <v xml:space="preserve">Timeliness </v>
      </c>
      <c r="F53" s="233" t="str">
        <v>All)</v>
      </c>
      <c r="G53" s="285" t="str" cm="1">
        <f t="array" ref="G53:H53">_xlfn.TEXTSPLIT(C53,"(")</f>
        <v xml:space="preserve"> On hand at origin SVC </v>
      </c>
      <c r="H53" s="285" t="str">
        <v>Actual)</v>
      </c>
      <c r="I53" s="285" t="str">
        <f t="shared" si="2"/>
        <v>Actual</v>
      </c>
      <c r="J53" s="274" t="str">
        <f t="shared" si="3"/>
        <v>Not received because SOP to fill CW1 fields are not followed by Operators due to lack of resources</v>
      </c>
      <c r="K53" s="274" t="s">
        <v>590</v>
      </c>
      <c r="L53" s="274" t="str">
        <f>_xlfn.XLOOKUP(K53,Rootcauses!$B$2:$B$21,Rootcauses!$D$2:$D$21)</f>
        <v>Dedicated Ops owner is 3 most afftected Regions (GCA + NEC + CSE) to focus on completness of Manual milestones S02, S31, S00</v>
      </c>
      <c r="M53" s="274" t="str">
        <f>_xlfn.XLOOKUP(K53,Rootcauses!$B$2:$B$21,Rootcauses!$E$2:$E$21)</f>
        <v>Ops retraining in Problemetic area</v>
      </c>
      <c r="N53" s="274" t="str">
        <f>_xlfn.XLOOKUP(K53,Rootcauses!$B$2:$B$21,Rootcauses!$F$2:$F$21)</f>
        <v>Dedicated Ops owner is 3 most afftected Regions (GCA + NEC + CSE) to focus on Timeliness of Manual milestones S02, S31, S00</v>
      </c>
      <c r="O53" t="str">
        <f t="shared" si="4"/>
        <v>SC3 – S10 - Actual - Not received because SOP to fill CW1 fields are not followed by Operators due to lack of resources</v>
      </c>
    </row>
    <row r="54" spans="1:15" ht="89" customHeight="1">
      <c r="A54" s="232">
        <v>53</v>
      </c>
      <c r="B54" s="236" t="s">
        <v>525</v>
      </c>
      <c r="C54" s="286" t="s">
        <v>498</v>
      </c>
      <c r="D54" s="286" t="s">
        <v>14</v>
      </c>
      <c r="E54" s="233" t="str" cm="1">
        <f t="array" ref="E54:F54">_xlfn.TEXTSPLIT(D54,"(")</f>
        <v xml:space="preserve">Completeness </v>
      </c>
      <c r="F54" s="233" t="str">
        <v>All)</v>
      </c>
      <c r="G54" s="285" t="str" cm="1">
        <f t="array" ref="G54:H54">_xlfn.TEXTSPLIT(C54,"(")</f>
        <v xml:space="preserve"> Received origin CFS </v>
      </c>
      <c r="H54" s="285" t="str">
        <v>Actual)</v>
      </c>
      <c r="I54" s="285" t="str">
        <f t="shared" si="2"/>
        <v>Actual</v>
      </c>
      <c r="J54" s="274" t="str">
        <f t="shared" si="3"/>
        <v>Not received because Manual milestones not updated on time by Operators due to lack of resources</v>
      </c>
      <c r="K54" s="274" t="s">
        <v>597</v>
      </c>
      <c r="L54" s="274" t="str">
        <f>_xlfn.XLOOKUP(K54,Rootcauses!$B$2:$B$21,Rootcauses!$D$2:$D$21)</f>
        <v>Dedicated Ops owner is 3 most afftected Regions (GCA + NEC + CSE) to focus on completness of Manual milestones S02, S31, S00</v>
      </c>
      <c r="M54" s="274" t="str">
        <f>_xlfn.XLOOKUP(K54,Rootcauses!$B$2:$B$21,Rootcauses!$E$2:$E$21)</f>
        <v>Dedicated Ops owner is 3 most afftected Regions (GCA + NEC + CSE) to focus on Timeliness of Manual milestones S02, S31, S00</v>
      </c>
      <c r="N54" s="274">
        <f>_xlfn.XLOOKUP(K54,Rootcauses!$B$2:$B$21,Rootcauses!$F$2:$F$21)</f>
        <v>0</v>
      </c>
      <c r="O54" t="str">
        <f t="shared" si="4"/>
        <v>SC3 – S50 - Actual - Not received because Manual milestones not updated on time by Operators due to lack of resources</v>
      </c>
    </row>
    <row r="55" spans="1:15" ht="89" customHeight="1">
      <c r="A55" s="232">
        <v>54</v>
      </c>
      <c r="B55" s="236" t="s">
        <v>525</v>
      </c>
      <c r="C55" s="286" t="s">
        <v>498</v>
      </c>
      <c r="D55" s="286" t="s">
        <v>16</v>
      </c>
      <c r="E55" s="233" t="str" cm="1">
        <f t="array" ref="E55:F55">_xlfn.TEXTSPLIT(D55,"(")</f>
        <v xml:space="preserve">Timeliness </v>
      </c>
      <c r="F55" s="233" t="str">
        <v>All)</v>
      </c>
      <c r="G55" s="285" t="str" cm="1">
        <f t="array" ref="G55:H55">_xlfn.TEXTSPLIT(C55,"(")</f>
        <v xml:space="preserve"> Received origin CFS </v>
      </c>
      <c r="H55" s="285" t="str">
        <v>Actual)</v>
      </c>
      <c r="I55" s="285" t="str">
        <f t="shared" si="2"/>
        <v>Actual</v>
      </c>
      <c r="J55" s="274" t="str">
        <f t="shared" si="3"/>
        <v>Not received because Manual milestones not updated on time by Operators due to lack of resources</v>
      </c>
      <c r="K55" s="274" t="s">
        <v>597</v>
      </c>
      <c r="L55" s="274" t="str">
        <f>_xlfn.XLOOKUP(K55,Rootcauses!$B$2:$B$21,Rootcauses!$D$2:$D$21)</f>
        <v>Dedicated Ops owner is 3 most afftected Regions (GCA + NEC + CSE) to focus on completness of Manual milestones S02, S31, S00</v>
      </c>
      <c r="M55" s="274" t="str">
        <f>_xlfn.XLOOKUP(K55,Rootcauses!$B$2:$B$21,Rootcauses!$E$2:$E$21)</f>
        <v>Dedicated Ops owner is 3 most afftected Regions (GCA + NEC + CSE) to focus on Timeliness of Manual milestones S02, S31, S00</v>
      </c>
      <c r="N55" s="274">
        <f>_xlfn.XLOOKUP(K55,Rootcauses!$B$2:$B$21,Rootcauses!$F$2:$F$21)</f>
        <v>0</v>
      </c>
      <c r="O55" t="str">
        <f t="shared" si="4"/>
        <v>SC3 – S50 - Actual - Not received because Manual milestones not updated on time by Operators due to lack of resources</v>
      </c>
    </row>
    <row r="56" spans="1:15" ht="89" customHeight="1">
      <c r="A56" s="232">
        <v>55</v>
      </c>
      <c r="B56" s="236" t="s">
        <v>526</v>
      </c>
      <c r="C56" s="286" t="s">
        <v>527</v>
      </c>
      <c r="D56" s="286" t="s">
        <v>14</v>
      </c>
      <c r="E56" s="233" t="str" cm="1">
        <f t="array" ref="E56:F56">_xlfn.TEXTSPLIT(D56,"(")</f>
        <v xml:space="preserve">Completeness </v>
      </c>
      <c r="F56" s="233" t="str">
        <v>All)</v>
      </c>
      <c r="G56" s="285" t="str" cm="1">
        <f t="array" ref="G56:H56">_xlfn.TEXTSPLIT(C56,"(")</f>
        <v xml:space="preserve"> Full Container loaded on vessel </v>
      </c>
      <c r="H56" s="285" t="str">
        <v>Actual)</v>
      </c>
      <c r="I56" s="285" t="str">
        <f t="shared" si="2"/>
        <v>Actual</v>
      </c>
      <c r="J56" s="274" t="str">
        <f t="shared" si="3"/>
        <v>Not received because CW1 configurations are not set up correctly to handle Bosch requirements</v>
      </c>
      <c r="K56" s="274" t="s">
        <v>591</v>
      </c>
      <c r="L56" s="274" t="str">
        <f>_xlfn.XLOOKUP(K56,Rootcauses!$B$2:$B$21,Rootcauses!$D$2:$D$21)</f>
        <v>Implement Mandatory Field Validation in CW1 , causing EDI faliure</v>
      </c>
      <c r="M56" s="274" t="str">
        <f>_xlfn.XLOOKUP(K56,Rootcauses!$B$2:$B$21,Rootcauses!$E$2:$E$21)</f>
        <v xml:space="preserve">Review the legacy system shipments flow for the branch in Japan </v>
      </c>
      <c r="N56" s="274" t="str">
        <f>_xlfn.XLOOKUP(K56,Rootcauses!$B$2:$B$21,Rootcauses!$F$2:$F$21)</f>
        <v>Review the legacy system shipments flow for the branch in Japan</v>
      </c>
      <c r="O56" t="str">
        <f t="shared" si="4"/>
        <v>SC3 – S53 - Actual - Not received because CW1 configurations are not set up correctly to handle Bosch requirements</v>
      </c>
    </row>
    <row r="57" spans="1:15" ht="89" customHeight="1">
      <c r="A57" s="232">
        <v>56</v>
      </c>
      <c r="B57" s="236" t="s">
        <v>526</v>
      </c>
      <c r="C57" s="286" t="s">
        <v>527</v>
      </c>
      <c r="D57" s="286" t="s">
        <v>16</v>
      </c>
      <c r="E57" s="233" t="str" cm="1">
        <f t="array" ref="E57:F57">_xlfn.TEXTSPLIT(D57,"(")</f>
        <v xml:space="preserve">Timeliness </v>
      </c>
      <c r="F57" s="233" t="str">
        <v>All)</v>
      </c>
      <c r="G57" s="285" t="str" cm="1">
        <f t="array" ref="G57:H57">_xlfn.TEXTSPLIT(C57,"(")</f>
        <v xml:space="preserve"> Full Container loaded on vessel </v>
      </c>
      <c r="H57" s="285" t="str">
        <v>Actual)</v>
      </c>
      <c r="I57" s="285" t="str">
        <f t="shared" si="2"/>
        <v>Actual</v>
      </c>
      <c r="J57" s="274" t="str">
        <f t="shared" si="3"/>
        <v>Not received because CW1 configurations are not set up correctly to handle Bosch requirements</v>
      </c>
      <c r="K57" s="274" t="s">
        <v>591</v>
      </c>
      <c r="L57" s="274" t="str">
        <f>_xlfn.XLOOKUP(K57,Rootcauses!$B$2:$B$21,Rootcauses!$D$2:$D$21)</f>
        <v>Implement Mandatory Field Validation in CW1 , causing EDI faliure</v>
      </c>
      <c r="M57" s="274" t="str">
        <f>_xlfn.XLOOKUP(K57,Rootcauses!$B$2:$B$21,Rootcauses!$E$2:$E$21)</f>
        <v xml:space="preserve">Review the legacy system shipments flow for the branch in Japan </v>
      </c>
      <c r="N57" s="274" t="str">
        <f>_xlfn.XLOOKUP(K57,Rootcauses!$B$2:$B$21,Rootcauses!$F$2:$F$21)</f>
        <v>Review the legacy system shipments flow for the branch in Japan</v>
      </c>
      <c r="O57" t="str">
        <f t="shared" si="4"/>
        <v>SC3 – S53 - Actual - Not received because CW1 configurations are not set up correctly to handle Bosch requirements</v>
      </c>
    </row>
    <row r="58" spans="1:15" ht="89" customHeight="1">
      <c r="A58" s="232">
        <v>57</v>
      </c>
      <c r="B58" s="236" t="s">
        <v>528</v>
      </c>
      <c r="C58" s="286" t="s">
        <v>501</v>
      </c>
      <c r="D58" s="286" t="s">
        <v>11</v>
      </c>
      <c r="E58" s="233" t="str" cm="1">
        <f t="array" ref="E58:F58">_xlfn.TEXTSPLIT(D58,"(")</f>
        <v xml:space="preserve">Completeness </v>
      </c>
      <c r="F58" s="233" t="str">
        <v>Critical)</v>
      </c>
      <c r="G58" s="285" t="str" cm="1">
        <f t="array" ref="G58:H58">_xlfn.TEXTSPLIT(C58,"(")</f>
        <v xml:space="preserve"> Vessel/flight departed </v>
      </c>
      <c r="H58" s="285" t="str">
        <v>Actual)</v>
      </c>
      <c r="I58" s="285" t="str">
        <f t="shared" si="2"/>
        <v>Actual</v>
      </c>
      <c r="J58" s="274" t="str">
        <f t="shared" si="3"/>
        <v>Not received because The Consol is not attached to shipment with "is Linked" Flag</v>
      </c>
      <c r="K58" s="274" t="s">
        <v>594</v>
      </c>
      <c r="L58" s="274" t="str">
        <f>_xlfn.XLOOKUP(K58,Rootcauses!$B$2:$B$21,Rootcauses!$D$2:$D$21)</f>
        <v>Optimise automation flow of ETD / ETA Milestones in operation system (CW1)</v>
      </c>
      <c r="M58" s="274">
        <f>_xlfn.XLOOKUP(K58,Rootcauses!$B$2:$B$21,Rootcauses!$E$2:$E$21)</f>
        <v>0</v>
      </c>
      <c r="N58" s="274">
        <f>_xlfn.XLOOKUP(K58,Rootcauses!$B$2:$B$21,Rootcauses!$F$2:$F$21)</f>
        <v>0</v>
      </c>
      <c r="O58" t="str">
        <f t="shared" si="4"/>
        <v>SC3 – S04 - Actual - Not received because The Consol is not attached to shipment with "is Linked" Flag</v>
      </c>
    </row>
    <row r="59" spans="1:15" ht="89" customHeight="1">
      <c r="A59" s="232">
        <v>58</v>
      </c>
      <c r="B59" s="236" t="s">
        <v>528</v>
      </c>
      <c r="C59" s="286" t="s">
        <v>501</v>
      </c>
      <c r="D59" s="286" t="s">
        <v>12</v>
      </c>
      <c r="E59" s="233" t="str" cm="1">
        <f t="array" ref="E59:F59">_xlfn.TEXTSPLIT(D59,"(")</f>
        <v xml:space="preserve">Timeliness </v>
      </c>
      <c r="F59" s="233" t="str">
        <v>Critical)</v>
      </c>
      <c r="G59" s="285" t="str" cm="1">
        <f t="array" ref="G59:H59">_xlfn.TEXTSPLIT(C59,"(")</f>
        <v xml:space="preserve"> Vessel/flight departed </v>
      </c>
      <c r="H59" s="285" t="str">
        <v>Actual)</v>
      </c>
      <c r="I59" s="285" t="str">
        <f t="shared" si="2"/>
        <v>Actual</v>
      </c>
      <c r="J59" s="274" t="str">
        <f t="shared" si="3"/>
        <v>Not received because The Consol is not attached to shipment with "is Linked" Flag</v>
      </c>
      <c r="K59" s="274" t="s">
        <v>594</v>
      </c>
      <c r="L59" s="274" t="str">
        <f>_xlfn.XLOOKUP(K59,Rootcauses!$B$2:$B$21,Rootcauses!$D$2:$D$21)</f>
        <v>Optimise automation flow of ETD / ETA Milestones in operation system (CW1)</v>
      </c>
      <c r="M59" s="274">
        <f>_xlfn.XLOOKUP(K59,Rootcauses!$B$2:$B$21,Rootcauses!$E$2:$E$21)</f>
        <v>0</v>
      </c>
      <c r="N59" s="274">
        <f>_xlfn.XLOOKUP(K59,Rootcauses!$B$2:$B$21,Rootcauses!$F$2:$F$21)</f>
        <v>0</v>
      </c>
      <c r="O59" t="str">
        <f t="shared" si="4"/>
        <v>SC3 – S04 - Actual - Not received because The Consol is not attached to shipment with "is Linked" Flag</v>
      </c>
    </row>
    <row r="60" spans="1:15" ht="89" customHeight="1">
      <c r="A60" s="232">
        <v>59</v>
      </c>
      <c r="B60" s="236" t="s">
        <v>528</v>
      </c>
      <c r="C60" s="286" t="s">
        <v>500</v>
      </c>
      <c r="D60" s="286" t="s">
        <v>11</v>
      </c>
      <c r="E60" s="233" t="str" cm="1">
        <f t="array" ref="E60:F60">_xlfn.TEXTSPLIT(D60,"(")</f>
        <v xml:space="preserve">Completeness </v>
      </c>
      <c r="F60" s="233" t="str">
        <v>Critical)</v>
      </c>
      <c r="G60" s="285" t="str" cm="1">
        <f t="array" ref="G60:H60">_xlfn.TEXTSPLIT(C60,"(")</f>
        <v xml:space="preserve"> Vessel/flight departed </v>
      </c>
      <c r="H60" s="285" t="str">
        <v>Estimated)</v>
      </c>
      <c r="I60" s="285" t="str">
        <f t="shared" si="2"/>
        <v>Estimated</v>
      </c>
      <c r="J60" s="274" t="str">
        <f t="shared" si="3"/>
        <v>Not received because The Consol is not attached to shipment with "is Linked" Flag</v>
      </c>
      <c r="K60" s="274" t="s">
        <v>594</v>
      </c>
      <c r="L60" s="274" t="str">
        <f>_xlfn.XLOOKUP(K60,Rootcauses!$B$2:$B$21,Rootcauses!$D$2:$D$21)</f>
        <v>Optimise automation flow of ETD / ETA Milestones in operation system (CW1)</v>
      </c>
      <c r="M60" s="274">
        <f>_xlfn.XLOOKUP(K60,Rootcauses!$B$2:$B$21,Rootcauses!$E$2:$E$21)</f>
        <v>0</v>
      </c>
      <c r="N60" s="274">
        <f>_xlfn.XLOOKUP(K60,Rootcauses!$B$2:$B$21,Rootcauses!$F$2:$F$21)</f>
        <v>0</v>
      </c>
      <c r="O60" t="str">
        <f t="shared" si="4"/>
        <v>SC3 – S04 - Estimated - Not received because The Consol is not attached to shipment with "is Linked" Flag</v>
      </c>
    </row>
    <row r="61" spans="1:15" ht="89" customHeight="1">
      <c r="A61" s="232">
        <v>60</v>
      </c>
      <c r="B61" s="236" t="s">
        <v>528</v>
      </c>
      <c r="C61" s="286" t="s">
        <v>500</v>
      </c>
      <c r="D61" s="286" t="s">
        <v>12</v>
      </c>
      <c r="E61" s="233" t="str" cm="1">
        <f t="array" ref="E61:F61">_xlfn.TEXTSPLIT(D61,"(")</f>
        <v xml:space="preserve">Timeliness </v>
      </c>
      <c r="F61" s="233" t="str">
        <v>Critical)</v>
      </c>
      <c r="G61" s="285" t="str" cm="1">
        <f t="array" ref="G61:H61">_xlfn.TEXTSPLIT(C61,"(")</f>
        <v xml:space="preserve"> Vessel/flight departed </v>
      </c>
      <c r="H61" s="285" t="str">
        <v>Estimated)</v>
      </c>
      <c r="I61" s="285" t="str">
        <f t="shared" si="2"/>
        <v>Estimated</v>
      </c>
      <c r="J61" s="274" t="str">
        <f t="shared" si="3"/>
        <v>Not received because The Consol is not attached to shipment with "is Linked" Flag</v>
      </c>
      <c r="K61" s="274" t="s">
        <v>594</v>
      </c>
      <c r="L61" s="274" t="str">
        <f>_xlfn.XLOOKUP(K61,Rootcauses!$B$2:$B$21,Rootcauses!$D$2:$D$21)</f>
        <v>Optimise automation flow of ETD / ETA Milestones in operation system (CW1)</v>
      </c>
      <c r="M61" s="274">
        <f>_xlfn.XLOOKUP(K61,Rootcauses!$B$2:$B$21,Rootcauses!$E$2:$E$21)</f>
        <v>0</v>
      </c>
      <c r="N61" s="274">
        <f>_xlfn.XLOOKUP(K61,Rootcauses!$B$2:$B$21,Rootcauses!$F$2:$F$21)</f>
        <v>0</v>
      </c>
      <c r="O61" t="str">
        <f t="shared" si="4"/>
        <v>SC3 – S04 - Estimated - Not received because The Consol is not attached to shipment with "is Linked" Flag</v>
      </c>
    </row>
    <row r="62" spans="1:15" ht="89" customHeight="1">
      <c r="A62" s="232">
        <v>61</v>
      </c>
      <c r="B62" s="236" t="s">
        <v>529</v>
      </c>
      <c r="C62" s="286" t="s">
        <v>504</v>
      </c>
      <c r="D62" s="286" t="s">
        <v>11</v>
      </c>
      <c r="E62" s="233" t="str" cm="1">
        <f t="array" ref="E62:F62">_xlfn.TEXTSPLIT(D62,"(")</f>
        <v xml:space="preserve">Completeness </v>
      </c>
      <c r="F62" s="233" t="str">
        <v>Critical)</v>
      </c>
      <c r="G62" s="285" t="str" cm="1">
        <f t="array" ref="G62:H62">_xlfn.TEXTSPLIT(C62,"(")</f>
        <v xml:space="preserve"> Vessel/flight arrived </v>
      </c>
      <c r="H62" s="285" t="str">
        <v>Actual)</v>
      </c>
      <c r="I62" s="285" t="str">
        <f t="shared" si="2"/>
        <v>Actual</v>
      </c>
      <c r="J62" s="274" t="str">
        <f t="shared" si="3"/>
        <v>Not received because The Consol is not attached to shipment with "is Linked" Flag</v>
      </c>
      <c r="K62" s="274" t="s">
        <v>594</v>
      </c>
      <c r="L62" s="274" t="str">
        <f>_xlfn.XLOOKUP(K62,Rootcauses!$B$2:$B$21,Rootcauses!$D$2:$D$21)</f>
        <v>Optimise automation flow of ETD / ETA Milestones in operation system (CW1)</v>
      </c>
      <c r="M62" s="274">
        <f>_xlfn.XLOOKUP(K62,Rootcauses!$B$2:$B$21,Rootcauses!$E$2:$E$21)</f>
        <v>0</v>
      </c>
      <c r="N62" s="274">
        <f>_xlfn.XLOOKUP(K62,Rootcauses!$B$2:$B$21,Rootcauses!$F$2:$F$21)</f>
        <v>0</v>
      </c>
      <c r="O62" t="str">
        <f t="shared" si="4"/>
        <v>SC3 – S07 - Actual - Not received because The Consol is not attached to shipment with "is Linked" Flag</v>
      </c>
    </row>
    <row r="63" spans="1:15" ht="89" customHeight="1">
      <c r="A63" s="232">
        <v>62</v>
      </c>
      <c r="B63" s="236" t="s">
        <v>529</v>
      </c>
      <c r="C63" s="286" t="s">
        <v>504</v>
      </c>
      <c r="D63" s="286" t="s">
        <v>12</v>
      </c>
      <c r="E63" s="233" t="str" cm="1">
        <f t="array" ref="E63:F63">_xlfn.TEXTSPLIT(D63,"(")</f>
        <v xml:space="preserve">Timeliness </v>
      </c>
      <c r="F63" s="233" t="str">
        <v>Critical)</v>
      </c>
      <c r="G63" s="285" t="str" cm="1">
        <f t="array" ref="G63:H63">_xlfn.TEXTSPLIT(C63,"(")</f>
        <v xml:space="preserve"> Vessel/flight arrived </v>
      </c>
      <c r="H63" s="285" t="str">
        <v>Actual)</v>
      </c>
      <c r="I63" s="285" t="str">
        <f t="shared" si="2"/>
        <v>Actual</v>
      </c>
      <c r="J63" s="274" t="str">
        <f t="shared" si="3"/>
        <v>Not received because The Consol is not attached to shipment with "is Linked" Flag</v>
      </c>
      <c r="K63" s="274" t="s">
        <v>594</v>
      </c>
      <c r="L63" s="274" t="str">
        <f>_xlfn.XLOOKUP(K63,Rootcauses!$B$2:$B$21,Rootcauses!$D$2:$D$21)</f>
        <v>Optimise automation flow of ETD / ETA Milestones in operation system (CW1)</v>
      </c>
      <c r="M63" s="274">
        <f>_xlfn.XLOOKUP(K63,Rootcauses!$B$2:$B$21,Rootcauses!$E$2:$E$21)</f>
        <v>0</v>
      </c>
      <c r="N63" s="274">
        <f>_xlfn.XLOOKUP(K63,Rootcauses!$B$2:$B$21,Rootcauses!$F$2:$F$21)</f>
        <v>0</v>
      </c>
      <c r="O63" t="str">
        <f t="shared" si="4"/>
        <v>SC3 – S07 - Actual - Not received because The Consol is not attached to shipment with "is Linked" Flag</v>
      </c>
    </row>
    <row r="64" spans="1:15" ht="89" customHeight="1">
      <c r="A64" s="232">
        <v>63</v>
      </c>
      <c r="B64" s="236" t="s">
        <v>529</v>
      </c>
      <c r="C64" s="286" t="s">
        <v>503</v>
      </c>
      <c r="D64" s="286" t="s">
        <v>11</v>
      </c>
      <c r="E64" s="233" t="str" cm="1">
        <f t="array" ref="E64:F64">_xlfn.TEXTSPLIT(D64,"(")</f>
        <v xml:space="preserve">Completeness </v>
      </c>
      <c r="F64" s="233" t="str">
        <v>Critical)</v>
      </c>
      <c r="G64" s="285" t="str" cm="1">
        <f t="array" ref="G64:H64">_xlfn.TEXTSPLIT(C64,"(")</f>
        <v xml:space="preserve"> Vessel/flight arrived </v>
      </c>
      <c r="H64" s="285" t="str">
        <v>Estimated)</v>
      </c>
      <c r="I64" s="285" t="str">
        <f t="shared" si="2"/>
        <v>Estimated</v>
      </c>
      <c r="J64" s="274" t="str">
        <f t="shared" si="3"/>
        <v>Not received because The Consol is not attached to shipment with "is Linked" Flag</v>
      </c>
      <c r="K64" s="274" t="s">
        <v>594</v>
      </c>
      <c r="L64" s="274" t="str">
        <f>_xlfn.XLOOKUP(K64,Rootcauses!$B$2:$B$21,Rootcauses!$D$2:$D$21)</f>
        <v>Optimise automation flow of ETD / ETA Milestones in operation system (CW1)</v>
      </c>
      <c r="M64" s="274">
        <f>_xlfn.XLOOKUP(K64,Rootcauses!$B$2:$B$21,Rootcauses!$E$2:$E$21)</f>
        <v>0</v>
      </c>
      <c r="N64" s="274">
        <f>_xlfn.XLOOKUP(K64,Rootcauses!$B$2:$B$21,Rootcauses!$F$2:$F$21)</f>
        <v>0</v>
      </c>
      <c r="O64" t="str">
        <f t="shared" si="4"/>
        <v>SC3 – S07 - Estimated - Not received because The Consol is not attached to shipment with "is Linked" Flag</v>
      </c>
    </row>
    <row r="65" spans="1:15" ht="89" customHeight="1">
      <c r="A65" s="232">
        <v>64</v>
      </c>
      <c r="B65" s="236" t="s">
        <v>529</v>
      </c>
      <c r="C65" s="286" t="s">
        <v>503</v>
      </c>
      <c r="D65" s="286" t="s">
        <v>12</v>
      </c>
      <c r="E65" s="233" t="str" cm="1">
        <f t="array" ref="E65:F65">_xlfn.TEXTSPLIT(D65,"(")</f>
        <v xml:space="preserve">Timeliness </v>
      </c>
      <c r="F65" s="233" t="str">
        <v>Critical)</v>
      </c>
      <c r="G65" s="285" t="str" cm="1">
        <f t="array" ref="G65:H65">_xlfn.TEXTSPLIT(C65,"(")</f>
        <v xml:space="preserve"> Vessel/flight arrived </v>
      </c>
      <c r="H65" s="285" t="str">
        <v>Estimated)</v>
      </c>
      <c r="I65" s="285" t="str">
        <f t="shared" si="2"/>
        <v>Estimated</v>
      </c>
      <c r="J65" s="274" t="str">
        <f t="shared" si="3"/>
        <v>Not received because The Consol is not attached to shipment with "is Linked" Flag</v>
      </c>
      <c r="K65" s="274" t="s">
        <v>594</v>
      </c>
      <c r="L65" s="274" t="str">
        <f>_xlfn.XLOOKUP(K65,Rootcauses!$B$2:$B$21,Rootcauses!$D$2:$D$21)</f>
        <v>Optimise automation flow of ETD / ETA Milestones in operation system (CW1)</v>
      </c>
      <c r="M65" s="274">
        <f>_xlfn.XLOOKUP(K65,Rootcauses!$B$2:$B$21,Rootcauses!$E$2:$E$21)</f>
        <v>0</v>
      </c>
      <c r="N65" s="274">
        <f>_xlfn.XLOOKUP(K65,Rootcauses!$B$2:$B$21,Rootcauses!$F$2:$F$21)</f>
        <v>0</v>
      </c>
      <c r="O65" t="str">
        <f t="shared" si="4"/>
        <v>SC3 – S07 - Estimated - Not received because The Consol is not attached to shipment with "is Linked" Flag</v>
      </c>
    </row>
    <row r="66" spans="1:15" ht="89" customHeight="1">
      <c r="A66" s="232">
        <v>65</v>
      </c>
      <c r="B66" s="236" t="s">
        <v>530</v>
      </c>
      <c r="C66" s="286" t="s">
        <v>531</v>
      </c>
      <c r="D66" s="286" t="s">
        <v>14</v>
      </c>
      <c r="E66" s="233" t="str" cm="1">
        <f t="array" ref="E66:F66">_xlfn.TEXTSPLIT(D66,"(")</f>
        <v xml:space="preserve">Completeness </v>
      </c>
      <c r="F66" s="233" t="str">
        <v>All)</v>
      </c>
      <c r="G66" s="285" t="str" cm="1">
        <f t="array" ref="G66:H66">_xlfn.TEXTSPLIT(C66,"(")</f>
        <v xml:space="preserve"> Full Container discharge </v>
      </c>
      <c r="H66" s="285" t="str">
        <v>Actual)</v>
      </c>
      <c r="I66" s="285" t="str">
        <f t="shared" si="2"/>
        <v>Actual</v>
      </c>
      <c r="J66" s="274" t="str">
        <f t="shared" si="3"/>
        <v>Not received because CW1 configurations are not set up correctly to handle Bosch requirements</v>
      </c>
      <c r="K66" s="274" t="s">
        <v>591</v>
      </c>
      <c r="L66" s="274" t="str">
        <f>_xlfn.XLOOKUP(K66,Rootcauses!$B$2:$B$21,Rootcauses!$D$2:$D$21)</f>
        <v>Implement Mandatory Field Validation in CW1 , causing EDI faliure</v>
      </c>
      <c r="M66" s="274" t="str">
        <f>_xlfn.XLOOKUP(K66,Rootcauses!$B$2:$B$21,Rootcauses!$E$2:$E$21)</f>
        <v xml:space="preserve">Review the legacy system shipments flow for the branch in Japan </v>
      </c>
      <c r="N66" s="274" t="str">
        <f>_xlfn.XLOOKUP(K66,Rootcauses!$B$2:$B$21,Rootcauses!$F$2:$F$21)</f>
        <v>Review the legacy system shipments flow for the branch in Japan</v>
      </c>
      <c r="O66" t="str">
        <f t="shared" ref="O66:O89" si="5">B66&amp;"- "&amp;I66&amp;" - "&amp;J66</f>
        <v>SC3 – S54 - Actual - Not received because CW1 configurations are not set up correctly to handle Bosch requirements</v>
      </c>
    </row>
    <row r="67" spans="1:15" ht="89" customHeight="1">
      <c r="A67" s="232">
        <v>66</v>
      </c>
      <c r="B67" s="236" t="s">
        <v>530</v>
      </c>
      <c r="C67" s="286" t="s">
        <v>531</v>
      </c>
      <c r="D67" s="286" t="s">
        <v>16</v>
      </c>
      <c r="E67" s="233" t="str" cm="1">
        <f t="array" ref="E67:F67">_xlfn.TEXTSPLIT(D67,"(")</f>
        <v xml:space="preserve">Timeliness </v>
      </c>
      <c r="F67" s="233" t="str">
        <v>All)</v>
      </c>
      <c r="G67" s="285" t="str" cm="1">
        <f t="array" ref="G67:H67">_xlfn.TEXTSPLIT(C67,"(")</f>
        <v xml:space="preserve"> Full Container discharge </v>
      </c>
      <c r="H67" s="285" t="str">
        <v>Actual)</v>
      </c>
      <c r="I67" s="285" t="str">
        <f t="shared" ref="I67:I83" si="6">SUBSTITUTE(H67,")","")</f>
        <v>Actual</v>
      </c>
      <c r="J67" s="274" t="str">
        <f t="shared" si="3"/>
        <v>Not received because CW1 configurations are not set up correctly to handle Bosch requirements</v>
      </c>
      <c r="K67" s="274" t="s">
        <v>591</v>
      </c>
      <c r="L67" s="274" t="str">
        <f>_xlfn.XLOOKUP(K67,Rootcauses!$B$2:$B$21,Rootcauses!$D$2:$D$21)</f>
        <v>Implement Mandatory Field Validation in CW1 , causing EDI faliure</v>
      </c>
      <c r="M67" s="274" t="str">
        <f>_xlfn.XLOOKUP(K67,Rootcauses!$B$2:$B$21,Rootcauses!$E$2:$E$21)</f>
        <v xml:space="preserve">Review the legacy system shipments flow for the branch in Japan </v>
      </c>
      <c r="N67" s="274" t="str">
        <f>_xlfn.XLOOKUP(K67,Rootcauses!$B$2:$B$21,Rootcauses!$F$2:$F$21)</f>
        <v>Review the legacy system shipments flow for the branch in Japan</v>
      </c>
      <c r="O67" t="str">
        <f t="shared" si="5"/>
        <v>SC3 – S54 - Actual - Not received because CW1 configurations are not set up correctly to handle Bosch requirements</v>
      </c>
    </row>
    <row r="68" spans="1:15" ht="89" customHeight="1">
      <c r="A68" s="232">
        <v>67</v>
      </c>
      <c r="B68" s="236" t="s">
        <v>532</v>
      </c>
      <c r="C68" s="286" t="s">
        <v>506</v>
      </c>
      <c r="D68" s="286" t="s">
        <v>14</v>
      </c>
      <c r="E68" s="233" t="str" cm="1">
        <f t="array" ref="E68:F68">_xlfn.TEXTSPLIT(D68,"(")</f>
        <v xml:space="preserve">Completeness </v>
      </c>
      <c r="F68" s="233" t="str">
        <v>All)</v>
      </c>
      <c r="G68" s="285" t="str" cm="1">
        <f t="array" ref="G68:H68">_xlfn.TEXTSPLIT(C68,"(")</f>
        <v xml:space="preserve"> Arrived destination CFS </v>
      </c>
      <c r="H68" s="285" t="str">
        <v>Actual)</v>
      </c>
      <c r="I68" s="285" t="str">
        <f t="shared" si="6"/>
        <v>Actual</v>
      </c>
      <c r="J68" s="274" t="str">
        <f t="shared" si="3"/>
        <v>Not received because CW1 configurations are not set up correctly to handle Bosch requirements</v>
      </c>
      <c r="K68" s="274" t="s">
        <v>591</v>
      </c>
      <c r="L68" s="274" t="str">
        <f>_xlfn.XLOOKUP(K68,Rootcauses!$B$2:$B$21,Rootcauses!$D$2:$D$21)</f>
        <v>Implement Mandatory Field Validation in CW1 , causing EDI faliure</v>
      </c>
      <c r="M68" s="274" t="str">
        <f>_xlfn.XLOOKUP(K68,Rootcauses!$B$2:$B$21,Rootcauses!$E$2:$E$21)</f>
        <v xml:space="preserve">Review the legacy system shipments flow for the branch in Japan </v>
      </c>
      <c r="N68" s="274" t="str">
        <f>_xlfn.XLOOKUP(K68,Rootcauses!$B$2:$B$21,Rootcauses!$F$2:$F$21)</f>
        <v>Review the legacy system shipments flow for the branch in Japan</v>
      </c>
      <c r="O68" t="str">
        <f t="shared" si="5"/>
        <v>SC3 – S51 - Actual - Not received because CW1 configurations are not set up correctly to handle Bosch requirements</v>
      </c>
    </row>
    <row r="69" spans="1:15" ht="89" customHeight="1">
      <c r="A69" s="232">
        <v>68</v>
      </c>
      <c r="B69" s="236" t="s">
        <v>532</v>
      </c>
      <c r="C69" s="286" t="s">
        <v>506</v>
      </c>
      <c r="D69" s="286" t="s">
        <v>16</v>
      </c>
      <c r="E69" s="233" t="str" cm="1">
        <f t="array" ref="E69:F69">_xlfn.TEXTSPLIT(D69,"(")</f>
        <v xml:space="preserve">Timeliness </v>
      </c>
      <c r="F69" s="233" t="str">
        <v>All)</v>
      </c>
      <c r="G69" s="285" t="str" cm="1">
        <f t="array" ref="G69:H69">_xlfn.TEXTSPLIT(C69,"(")</f>
        <v xml:space="preserve"> Arrived destination CFS </v>
      </c>
      <c r="H69" s="285" t="str">
        <v>Actual)</v>
      </c>
      <c r="I69" s="285" t="str">
        <f t="shared" si="6"/>
        <v>Actual</v>
      </c>
      <c r="J69" s="274" t="str">
        <f t="shared" si="3"/>
        <v>Not received because CW1 configurations are not set up correctly to handle Bosch requirements</v>
      </c>
      <c r="K69" s="274" t="s">
        <v>591</v>
      </c>
      <c r="L69" s="274" t="str">
        <f>_xlfn.XLOOKUP(K69,Rootcauses!$B$2:$B$21,Rootcauses!$D$2:$D$21)</f>
        <v>Implement Mandatory Field Validation in CW1 , causing EDI faliure</v>
      </c>
      <c r="M69" s="274" t="str">
        <f>_xlfn.XLOOKUP(K69,Rootcauses!$B$2:$B$21,Rootcauses!$E$2:$E$21)</f>
        <v xml:space="preserve">Review the legacy system shipments flow for the branch in Japan </v>
      </c>
      <c r="N69" s="274" t="str">
        <f>_xlfn.XLOOKUP(K69,Rootcauses!$B$2:$B$21,Rootcauses!$F$2:$F$21)</f>
        <v>Review the legacy system shipments flow for the branch in Japan</v>
      </c>
      <c r="O69" t="str">
        <f t="shared" si="5"/>
        <v>SC3 – S51 - Actual - Not received because CW1 configurations are not set up correctly to handle Bosch requirements</v>
      </c>
    </row>
    <row r="70" spans="1:15" ht="89" customHeight="1">
      <c r="A70" s="232">
        <v>69</v>
      </c>
      <c r="B70" s="236" t="s">
        <v>533</v>
      </c>
      <c r="C70" s="286" t="s">
        <v>512</v>
      </c>
      <c r="D70" s="286" t="s">
        <v>14</v>
      </c>
      <c r="E70" s="233" t="str" cm="1">
        <f t="array" ref="E70:F70">_xlfn.TEXTSPLIT(D70,"(")</f>
        <v xml:space="preserve">Completeness </v>
      </c>
      <c r="F70" s="233" t="str">
        <v>All)</v>
      </c>
      <c r="G70" s="285" t="str" cm="1">
        <f t="array" ref="G70:H70">_xlfn.TEXTSPLIT(C70,"(")</f>
        <v xml:space="preserve"> On hand at destination SVC </v>
      </c>
      <c r="H70" s="285" t="str">
        <v>Actual)</v>
      </c>
      <c r="I70" s="285" t="str">
        <f t="shared" si="6"/>
        <v>Actual</v>
      </c>
      <c r="J70" s="274" t="str">
        <f t="shared" si="3"/>
        <v>Not received because Manual milestones not updated on time by Operators due to lack of resources</v>
      </c>
      <c r="K70" s="274" t="s">
        <v>597</v>
      </c>
      <c r="L70" s="274" t="str">
        <f>_xlfn.XLOOKUP(K70,Rootcauses!$B$2:$B$21,Rootcauses!$D$2:$D$21)</f>
        <v>Dedicated Ops owner is 3 most afftected Regions (GCA + NEC + CSE) to focus on completness of Manual milestones S02, S31, S00</v>
      </c>
      <c r="M70" s="274" t="str">
        <f>_xlfn.XLOOKUP(K70,Rootcauses!$B$2:$B$21,Rootcauses!$E$2:$E$21)</f>
        <v>Dedicated Ops owner is 3 most afftected Regions (GCA + NEC + CSE) to focus on Timeliness of Manual milestones S02, S31, S00</v>
      </c>
      <c r="N70" s="274">
        <f>_xlfn.XLOOKUP(K70,Rootcauses!$B$2:$B$21,Rootcauses!$F$2:$F$21)</f>
        <v>0</v>
      </c>
      <c r="O70" t="str">
        <f t="shared" si="5"/>
        <v>SC3 – S13 - Actual - Not received because Manual milestones not updated on time by Operators due to lack of resources</v>
      </c>
    </row>
    <row r="71" spans="1:15" ht="89" customHeight="1">
      <c r="A71" s="232">
        <v>70</v>
      </c>
      <c r="B71" s="236" t="s">
        <v>533</v>
      </c>
      <c r="C71" s="286" t="s">
        <v>512</v>
      </c>
      <c r="D71" s="286" t="s">
        <v>16</v>
      </c>
      <c r="E71" s="233" t="str" cm="1">
        <f t="array" ref="E71:F71">_xlfn.TEXTSPLIT(D71,"(")</f>
        <v xml:space="preserve">Timeliness </v>
      </c>
      <c r="F71" s="233" t="str">
        <v>All)</v>
      </c>
      <c r="G71" s="285" t="str" cm="1">
        <f t="array" ref="G71:H71">_xlfn.TEXTSPLIT(C71,"(")</f>
        <v xml:space="preserve"> On hand at destination SVC </v>
      </c>
      <c r="H71" s="285" t="str">
        <v>Actual)</v>
      </c>
      <c r="I71" s="285" t="str">
        <f t="shared" si="6"/>
        <v>Actual</v>
      </c>
      <c r="J71" s="274" t="str">
        <f t="shared" si="3"/>
        <v>Not received because Manual milestones not updated on time by Operators due to lack of resources</v>
      </c>
      <c r="K71" s="274" t="s">
        <v>597</v>
      </c>
      <c r="L71" s="274" t="str">
        <f>_xlfn.XLOOKUP(K71,Rootcauses!$B$2:$B$21,Rootcauses!$D$2:$D$21)</f>
        <v>Dedicated Ops owner is 3 most afftected Regions (GCA + NEC + CSE) to focus on completness of Manual milestones S02, S31, S00</v>
      </c>
      <c r="M71" s="274" t="str">
        <f>_xlfn.XLOOKUP(K71,Rootcauses!$B$2:$B$21,Rootcauses!$E$2:$E$21)</f>
        <v>Dedicated Ops owner is 3 most afftected Regions (GCA + NEC + CSE) to focus on Timeliness of Manual milestones S02, S31, S00</v>
      </c>
      <c r="N71" s="274">
        <f>_xlfn.XLOOKUP(K71,Rootcauses!$B$2:$B$21,Rootcauses!$F$2:$F$21)</f>
        <v>0</v>
      </c>
      <c r="O71" t="str">
        <f t="shared" si="5"/>
        <v>SC3 – S13 - Actual - Not received because Manual milestones not updated on time by Operators due to lack of resources</v>
      </c>
    </row>
    <row r="72" spans="1:15" ht="89" customHeight="1">
      <c r="A72" s="232">
        <v>71</v>
      </c>
      <c r="B72" s="236" t="s">
        <v>534</v>
      </c>
      <c r="C72" s="286" t="s">
        <v>514</v>
      </c>
      <c r="D72" s="286" t="s">
        <v>11</v>
      </c>
      <c r="E72" s="233" t="str" cm="1">
        <f t="array" ref="E72:F72">_xlfn.TEXTSPLIT(D72,"(")</f>
        <v xml:space="preserve">Completeness </v>
      </c>
      <c r="F72" s="233" t="str">
        <v>Critical)</v>
      </c>
      <c r="G72" s="285" t="str" cm="1">
        <f t="array" ref="G72:H72">_xlfn.TEXTSPLIT(C72,"(")</f>
        <v xml:space="preserve"> Handover to broker </v>
      </c>
      <c r="H72" s="285" t="str">
        <v>Actual)</v>
      </c>
      <c r="I72" s="285" t="str">
        <f t="shared" si="6"/>
        <v>Actual</v>
      </c>
      <c r="J72" s="274" t="str">
        <f t="shared" si="3"/>
        <v>Not received because The HBL div mode is changed after receiving</v>
      </c>
      <c r="K72" s="274" t="s">
        <v>595</v>
      </c>
      <c r="L72" s="274" t="str">
        <f>_xlfn.XLOOKUP(K72,Rootcauses!$B$2:$B$21,Rootcauses!$D$2:$D$21)</f>
        <v>TS to review and address the data fields completition across Maersk systems (CW1, ALP, Seeburger) causing failures in the EDI delivery of critical milestones to Bosch system</v>
      </c>
      <c r="M72" s="274" t="str">
        <f>_xlfn.XLOOKUP(K72,Rootcauses!$B$2:$B$21,Rootcauses!$E$2:$E$21)</f>
        <v>Fix S45 trigger based on the HBL div mode</v>
      </c>
      <c r="N72" s="274">
        <f>_xlfn.XLOOKUP(K72,Rootcauses!$B$2:$B$21,Rootcauses!$F$2:$F$21)</f>
        <v>0</v>
      </c>
      <c r="O72" t="str">
        <f t="shared" si="5"/>
        <v>SC3 – S45 - Actual - Not received because The HBL div mode is changed after receiving</v>
      </c>
    </row>
    <row r="73" spans="1:15" ht="89" customHeight="1">
      <c r="A73" s="232">
        <v>72</v>
      </c>
      <c r="B73" s="236" t="s">
        <v>534</v>
      </c>
      <c r="C73" s="286" t="s">
        <v>514</v>
      </c>
      <c r="D73" s="286" t="s">
        <v>12</v>
      </c>
      <c r="E73" s="233" t="str" cm="1">
        <f t="array" ref="E73:F73">_xlfn.TEXTSPLIT(D73,"(")</f>
        <v xml:space="preserve">Timeliness </v>
      </c>
      <c r="F73" s="233" t="str">
        <v>Critical)</v>
      </c>
      <c r="G73" s="285" t="str" cm="1">
        <f t="array" ref="G73:H73">_xlfn.TEXTSPLIT(C73,"(")</f>
        <v xml:space="preserve"> Handover to broker </v>
      </c>
      <c r="H73" s="285" t="str">
        <v>Actual)</v>
      </c>
      <c r="I73" s="285" t="str">
        <f t="shared" si="6"/>
        <v>Actual</v>
      </c>
      <c r="J73" s="274" t="str">
        <f t="shared" si="3"/>
        <v>Not received because The HBL div mode is changed after receiving</v>
      </c>
      <c r="K73" s="274" t="s">
        <v>595</v>
      </c>
      <c r="L73" s="274" t="str">
        <f>_xlfn.XLOOKUP(K73,Rootcauses!$B$2:$B$21,Rootcauses!$D$2:$D$21)</f>
        <v>TS to review and address the data fields completition across Maersk systems (CW1, ALP, Seeburger) causing failures in the EDI delivery of critical milestones to Bosch system</v>
      </c>
      <c r="M73" s="274" t="str">
        <f>_xlfn.XLOOKUP(K73,Rootcauses!$B$2:$B$21,Rootcauses!$E$2:$E$21)</f>
        <v>Fix S45 trigger based on the HBL div mode</v>
      </c>
      <c r="N73" s="274">
        <f>_xlfn.XLOOKUP(K73,Rootcauses!$B$2:$B$21,Rootcauses!$F$2:$F$21)</f>
        <v>0</v>
      </c>
      <c r="O73" t="str">
        <f t="shared" si="5"/>
        <v>SC3 – S45 - Actual - Not received because The HBL div mode is changed after receiving</v>
      </c>
    </row>
    <row r="74" spans="1:15" ht="89" customHeight="1">
      <c r="A74" s="232">
        <v>73</v>
      </c>
      <c r="B74" s="236" t="s">
        <v>534</v>
      </c>
      <c r="C74" s="286" t="s">
        <v>535</v>
      </c>
      <c r="D74" s="286" t="s">
        <v>11</v>
      </c>
      <c r="E74" s="233" t="str" cm="1">
        <f t="array" ref="E74:F74">_xlfn.TEXTSPLIT(D74,"(")</f>
        <v xml:space="preserve">Completeness </v>
      </c>
      <c r="F74" s="233" t="str">
        <v>Critical)</v>
      </c>
      <c r="G74" s="285" t="str" cm="1">
        <f t="array" ref="G74:H74">_xlfn.TEXTSPLIT(C74,"(")</f>
        <v xml:space="preserve"> Handover to broker </v>
      </c>
      <c r="H74" s="285" t="str">
        <v>Estimated)</v>
      </c>
      <c r="I74" s="285" t="str">
        <f t="shared" si="6"/>
        <v>Estimated</v>
      </c>
      <c r="J74" s="274" t="str">
        <f t="shared" si="3"/>
        <v>Not received because The HBL div mode is changed after receiving</v>
      </c>
      <c r="K74" s="274" t="s">
        <v>595</v>
      </c>
      <c r="L74" s="274" t="str">
        <f>_xlfn.XLOOKUP(K74,Rootcauses!$B$2:$B$21,Rootcauses!$D$2:$D$21)</f>
        <v>TS to review and address the data fields completition across Maersk systems (CW1, ALP, Seeburger) causing failures in the EDI delivery of critical milestones to Bosch system</v>
      </c>
      <c r="M74" s="274" t="str">
        <f>_xlfn.XLOOKUP(K74,Rootcauses!$B$2:$B$21,Rootcauses!$E$2:$E$21)</f>
        <v>Fix S45 trigger based on the HBL div mode</v>
      </c>
      <c r="N74" s="274">
        <f>_xlfn.XLOOKUP(K74,Rootcauses!$B$2:$B$21,Rootcauses!$F$2:$F$21)</f>
        <v>0</v>
      </c>
      <c r="O74" t="str">
        <f t="shared" si="5"/>
        <v>SC3 – S45 - Estimated - Not received because The HBL div mode is changed after receiving</v>
      </c>
    </row>
    <row r="75" spans="1:15" ht="89" customHeight="1">
      <c r="A75" s="232">
        <v>74</v>
      </c>
      <c r="B75" s="236" t="s">
        <v>534</v>
      </c>
      <c r="C75" s="286" t="s">
        <v>535</v>
      </c>
      <c r="D75" s="286" t="s">
        <v>12</v>
      </c>
      <c r="E75" s="233" t="str" cm="1">
        <f t="array" ref="E75:F75">_xlfn.TEXTSPLIT(D75,"(")</f>
        <v xml:space="preserve">Timeliness </v>
      </c>
      <c r="F75" s="233" t="str">
        <v>Critical)</v>
      </c>
      <c r="G75" s="285" t="str" cm="1">
        <f t="array" ref="G75:H75">_xlfn.TEXTSPLIT(C75,"(")</f>
        <v xml:space="preserve"> Handover to broker </v>
      </c>
      <c r="H75" s="285" t="str">
        <v>Estimated)</v>
      </c>
      <c r="I75" s="285" t="str">
        <f t="shared" si="6"/>
        <v>Estimated</v>
      </c>
      <c r="J75" s="274" t="str">
        <f t="shared" si="3"/>
        <v>Not received because The HBL div mode is changed after receiving</v>
      </c>
      <c r="K75" s="274" t="s">
        <v>595</v>
      </c>
      <c r="L75" s="274" t="str">
        <f>_xlfn.XLOOKUP(K75,Rootcauses!$B$2:$B$21,Rootcauses!$D$2:$D$21)</f>
        <v>TS to review and address the data fields completition across Maersk systems (CW1, ALP, Seeburger) causing failures in the EDI delivery of critical milestones to Bosch system</v>
      </c>
      <c r="M75" s="274" t="str">
        <f>_xlfn.XLOOKUP(K75,Rootcauses!$B$2:$B$21,Rootcauses!$E$2:$E$21)</f>
        <v>Fix S45 trigger based on the HBL div mode</v>
      </c>
      <c r="N75" s="274">
        <f>_xlfn.XLOOKUP(K75,Rootcauses!$B$2:$B$21,Rootcauses!$F$2:$F$21)</f>
        <v>0</v>
      </c>
      <c r="O75" t="str">
        <f t="shared" si="5"/>
        <v>SC3 – S45 - Estimated - Not received because The HBL div mode is changed after receiving</v>
      </c>
    </row>
    <row r="76" spans="1:15" ht="89" customHeight="1">
      <c r="A76" s="232">
        <v>75</v>
      </c>
      <c r="B76" s="236" t="s">
        <v>536</v>
      </c>
      <c r="C76" s="286" t="s">
        <v>516</v>
      </c>
      <c r="D76" s="286" t="s">
        <v>14</v>
      </c>
      <c r="E76" s="233" t="str" cm="1">
        <f t="array" ref="E76:F76">_xlfn.TEXTSPLIT(D76,"(")</f>
        <v xml:space="preserve">Completeness </v>
      </c>
      <c r="F76" s="233" t="str">
        <v>All)</v>
      </c>
      <c r="G76" s="285" t="str" cm="1">
        <f t="array" ref="G76:H76">_xlfn.TEXTSPLIT(C76,"(")</f>
        <v xml:space="preserve"> In delivery </v>
      </c>
      <c r="H76" s="285" t="str">
        <v>Actual)</v>
      </c>
      <c r="I76" s="285" t="str">
        <f t="shared" si="6"/>
        <v>Actual</v>
      </c>
      <c r="J76" s="274" t="str">
        <f t="shared" si="3"/>
        <v>Not received because Milestone is dependent on Manual input and is missed due to Lack of resources</v>
      </c>
      <c r="K76" s="274" t="s">
        <v>599</v>
      </c>
      <c r="L76" s="274" t="str">
        <f>_xlfn.XLOOKUP(K76,Rootcauses!$B$2:$B$21,Rootcauses!$D$2:$D$21)</f>
        <v>Dedicated Ops owner is 3 most afftected Regions (GCA + NEC + CSE) to focus on completness of Manual milestones S02, S31, S00</v>
      </c>
      <c r="M76" s="274" t="str">
        <f>_xlfn.XLOOKUP(K76,Rootcauses!$B$2:$B$21,Rootcauses!$E$2:$E$21)</f>
        <v>Dedicated Ops owner is 3 most afftected Regions (GCA + NEC + CSE) to focus on Timeliness of Manual milestones S02, S31, S00</v>
      </c>
      <c r="N76" s="274">
        <f>_xlfn.XLOOKUP(K76,Rootcauses!$B$2:$B$21,Rootcauses!$F$2:$F$21)</f>
        <v>0</v>
      </c>
      <c r="O76" t="str">
        <f t="shared" si="5"/>
        <v>SC3 – S05 - Actual - Not received because Milestone is dependent on Manual input and is missed due to Lack of resources</v>
      </c>
    </row>
    <row r="77" spans="1:15" ht="89" customHeight="1">
      <c r="A77" s="232">
        <v>76</v>
      </c>
      <c r="B77" s="236" t="s">
        <v>536</v>
      </c>
      <c r="C77" s="286" t="s">
        <v>516</v>
      </c>
      <c r="D77" s="286" t="s">
        <v>16</v>
      </c>
      <c r="E77" s="233" t="str" cm="1">
        <f t="array" ref="E77:F77">_xlfn.TEXTSPLIT(D77,"(")</f>
        <v xml:space="preserve">Timeliness </v>
      </c>
      <c r="F77" s="233" t="str">
        <v>All)</v>
      </c>
      <c r="G77" s="285" t="str" cm="1">
        <f t="array" ref="G77:H77">_xlfn.TEXTSPLIT(C77,"(")</f>
        <v xml:space="preserve"> In delivery </v>
      </c>
      <c r="H77" s="285" t="str">
        <v>Actual)</v>
      </c>
      <c r="I77" s="285" t="str">
        <f t="shared" si="6"/>
        <v>Actual</v>
      </c>
      <c r="J77" s="274" t="str">
        <f t="shared" ref="J77:J89" si="7">IF(K77="","No RCA","Not received because "&amp;K77)</f>
        <v>Not received because Milestone is dependent on Manual input and is missed due to Lack of resources</v>
      </c>
      <c r="K77" s="274" t="s">
        <v>599</v>
      </c>
      <c r="L77" s="274" t="str">
        <f>_xlfn.XLOOKUP(K77,Rootcauses!$B$2:$B$21,Rootcauses!$D$2:$D$21)</f>
        <v>Dedicated Ops owner is 3 most afftected Regions (GCA + NEC + CSE) to focus on completness of Manual milestones S02, S31, S00</v>
      </c>
      <c r="M77" s="274" t="str">
        <f>_xlfn.XLOOKUP(K77,Rootcauses!$B$2:$B$21,Rootcauses!$E$2:$E$21)</f>
        <v>Dedicated Ops owner is 3 most afftected Regions (GCA + NEC + CSE) to focus on Timeliness of Manual milestones S02, S31, S00</v>
      </c>
      <c r="N77" s="274">
        <f>_xlfn.XLOOKUP(K77,Rootcauses!$B$2:$B$21,Rootcauses!$F$2:$F$21)</f>
        <v>0</v>
      </c>
      <c r="O77" t="str">
        <f t="shared" si="5"/>
        <v>SC3 – S05 - Actual - Not received because Milestone is dependent on Manual input and is missed due to Lack of resources</v>
      </c>
    </row>
    <row r="78" spans="1:15" ht="89" customHeight="1">
      <c r="A78" s="232">
        <v>77</v>
      </c>
      <c r="B78" s="236" t="s">
        <v>537</v>
      </c>
      <c r="C78" s="286" t="s">
        <v>519</v>
      </c>
      <c r="D78" s="286" t="s">
        <v>11</v>
      </c>
      <c r="E78" s="233" t="str" cm="1">
        <f t="array" ref="E78:F78">_xlfn.TEXTSPLIT(D78,"(")</f>
        <v xml:space="preserve">Completeness </v>
      </c>
      <c r="F78" s="233" t="str">
        <v>Critical)</v>
      </c>
      <c r="G78" s="285" t="str" cm="1">
        <f t="array" ref="G78:H78">_xlfn.TEXTSPLIT(C78,"(")</f>
        <v xml:space="preserve"> Delivered </v>
      </c>
      <c r="H78" s="285" t="str">
        <v>Actual)</v>
      </c>
      <c r="I78" s="285" t="str">
        <f t="shared" si="6"/>
        <v>Actual</v>
      </c>
      <c r="J78" s="274" t="str">
        <f t="shared" si="7"/>
        <v>Not received because Milestone is dependent on Manual input and is missed due to Lack of resources</v>
      </c>
      <c r="K78" s="274" t="s">
        <v>599</v>
      </c>
      <c r="L78" s="274" t="str">
        <f>_xlfn.XLOOKUP(K78,Rootcauses!$B$2:$B$21,Rootcauses!$D$2:$D$21)</f>
        <v>Dedicated Ops owner is 3 most afftected Regions (GCA + NEC + CSE) to focus on completness of Manual milestones S02, S31, S00</v>
      </c>
      <c r="M78" s="274" t="str">
        <f>_xlfn.XLOOKUP(K78,Rootcauses!$B$2:$B$21,Rootcauses!$E$2:$E$21)</f>
        <v>Dedicated Ops owner is 3 most afftected Regions (GCA + NEC + CSE) to focus on Timeliness of Manual milestones S02, S31, S00</v>
      </c>
      <c r="N78" s="274">
        <f>_xlfn.XLOOKUP(K78,Rootcauses!$B$2:$B$21,Rootcauses!$F$2:$F$21)</f>
        <v>0</v>
      </c>
      <c r="O78" t="str">
        <f t="shared" si="5"/>
        <v>SC3 – S31 - Actual - Not received because Milestone is dependent on Manual input and is missed due to Lack of resources</v>
      </c>
    </row>
    <row r="79" spans="1:15" ht="89" customHeight="1">
      <c r="A79" s="232">
        <v>78</v>
      </c>
      <c r="B79" s="236" t="s">
        <v>537</v>
      </c>
      <c r="C79" s="286" t="s">
        <v>519</v>
      </c>
      <c r="D79" s="286" t="s">
        <v>12</v>
      </c>
      <c r="E79" s="233" t="str" cm="1">
        <f t="array" ref="E79:F79">_xlfn.TEXTSPLIT(D79,"(")</f>
        <v xml:space="preserve">Timeliness </v>
      </c>
      <c r="F79" s="233" t="str">
        <v>Critical)</v>
      </c>
      <c r="G79" s="285" t="str" cm="1">
        <f t="array" ref="G79:H79">_xlfn.TEXTSPLIT(C79,"(")</f>
        <v xml:space="preserve"> Delivered </v>
      </c>
      <c r="H79" s="285" t="str">
        <v>Actual)</v>
      </c>
      <c r="I79" s="285" t="str">
        <f t="shared" si="6"/>
        <v>Actual</v>
      </c>
      <c r="J79" s="274" t="str">
        <f t="shared" si="7"/>
        <v>Not received because Milestone is dependent on Manual input and is missed due to Lack of resources</v>
      </c>
      <c r="K79" s="274" t="s">
        <v>599</v>
      </c>
      <c r="L79" s="274" t="str">
        <f>_xlfn.XLOOKUP(K79,Rootcauses!$B$2:$B$21,Rootcauses!$D$2:$D$21)</f>
        <v>Dedicated Ops owner is 3 most afftected Regions (GCA + NEC + CSE) to focus on completness of Manual milestones S02, S31, S00</v>
      </c>
      <c r="M79" s="274" t="str">
        <f>_xlfn.XLOOKUP(K79,Rootcauses!$B$2:$B$21,Rootcauses!$E$2:$E$21)</f>
        <v>Dedicated Ops owner is 3 most afftected Regions (GCA + NEC + CSE) to focus on Timeliness of Manual milestones S02, S31, S00</v>
      </c>
      <c r="N79" s="274">
        <f>_xlfn.XLOOKUP(K79,Rootcauses!$B$2:$B$21,Rootcauses!$F$2:$F$21)</f>
        <v>0</v>
      </c>
      <c r="O79" t="str">
        <f t="shared" si="5"/>
        <v>SC3 – S31 - Actual - Not received because Milestone is dependent on Manual input and is missed due to Lack of resources</v>
      </c>
    </row>
    <row r="80" spans="1:15" ht="89" customHeight="1">
      <c r="A80" s="232">
        <v>79</v>
      </c>
      <c r="B80" s="236" t="s">
        <v>537</v>
      </c>
      <c r="C80" s="286" t="s">
        <v>518</v>
      </c>
      <c r="D80" s="286" t="s">
        <v>11</v>
      </c>
      <c r="E80" s="233" t="str" cm="1">
        <f t="array" ref="E80:F80">_xlfn.TEXTSPLIT(D80,"(")</f>
        <v xml:space="preserve">Completeness </v>
      </c>
      <c r="F80" s="233" t="str">
        <v>Critical)</v>
      </c>
      <c r="G80" s="285" t="str" cm="1">
        <f t="array" ref="G80:H80">_xlfn.TEXTSPLIT(C80,"(")</f>
        <v xml:space="preserve"> Delivered </v>
      </c>
      <c r="H80" s="285" t="str">
        <v>Estimated)</v>
      </c>
      <c r="I80" s="285" t="str">
        <f t="shared" si="6"/>
        <v>Estimated</v>
      </c>
      <c r="J80" s="274" t="str">
        <f t="shared" si="7"/>
        <v>Not received because Milestone is dependent on Manual input and is missed due to Lack of resources</v>
      </c>
      <c r="K80" s="274" t="s">
        <v>599</v>
      </c>
      <c r="L80" s="274" t="str">
        <f>_xlfn.XLOOKUP(K80,Rootcauses!$B$2:$B$21,Rootcauses!$D$2:$D$21)</f>
        <v>Dedicated Ops owner is 3 most afftected Regions (GCA + NEC + CSE) to focus on completness of Manual milestones S02, S31, S00</v>
      </c>
      <c r="M80" s="274" t="str">
        <f>_xlfn.XLOOKUP(K80,Rootcauses!$B$2:$B$21,Rootcauses!$E$2:$E$21)</f>
        <v>Dedicated Ops owner is 3 most afftected Regions (GCA + NEC + CSE) to focus on Timeliness of Manual milestones S02, S31, S00</v>
      </c>
      <c r="N80" s="274">
        <f>_xlfn.XLOOKUP(K80,Rootcauses!$B$2:$B$21,Rootcauses!$F$2:$F$21)</f>
        <v>0</v>
      </c>
      <c r="O80" t="str">
        <f t="shared" si="5"/>
        <v>SC3 – S31 - Estimated - Not received because Milestone is dependent on Manual input and is missed due to Lack of resources</v>
      </c>
    </row>
    <row r="81" spans="1:15" ht="89" customHeight="1">
      <c r="A81" s="232">
        <v>80</v>
      </c>
      <c r="B81" s="236" t="s">
        <v>537</v>
      </c>
      <c r="C81" s="286" t="s">
        <v>518</v>
      </c>
      <c r="D81" s="286" t="s">
        <v>12</v>
      </c>
      <c r="E81" s="233" t="str" cm="1">
        <f t="array" ref="E81:F81">_xlfn.TEXTSPLIT(D81,"(")</f>
        <v xml:space="preserve">Timeliness </v>
      </c>
      <c r="F81" s="233" t="str">
        <v>Critical)</v>
      </c>
      <c r="G81" s="285" t="str" cm="1">
        <f t="array" ref="G81:H81">_xlfn.TEXTSPLIT(C81,"(")</f>
        <v xml:space="preserve"> Delivered </v>
      </c>
      <c r="H81" s="285" t="str">
        <v>Estimated)</v>
      </c>
      <c r="I81" s="285" t="str">
        <f t="shared" si="6"/>
        <v>Estimated</v>
      </c>
      <c r="J81" s="274" t="str">
        <f t="shared" si="7"/>
        <v>Not received because Milestone is dependent on Manual input and is missed due to Lack of resources</v>
      </c>
      <c r="K81" s="274" t="s">
        <v>599</v>
      </c>
      <c r="L81" s="274" t="str">
        <f>_xlfn.XLOOKUP(K81,Rootcauses!$B$2:$B$21,Rootcauses!$D$2:$D$21)</f>
        <v>Dedicated Ops owner is 3 most afftected Regions (GCA + NEC + CSE) to focus on completness of Manual milestones S02, S31, S00</v>
      </c>
      <c r="M81" s="274" t="str">
        <f>_xlfn.XLOOKUP(K81,Rootcauses!$B$2:$B$21,Rootcauses!$E$2:$E$21)</f>
        <v>Dedicated Ops owner is 3 most afftected Regions (GCA + NEC + CSE) to focus on Timeliness of Manual milestones S02, S31, S00</v>
      </c>
      <c r="N81" s="274">
        <f>_xlfn.XLOOKUP(K81,Rootcauses!$B$2:$B$21,Rootcauses!$F$2:$F$21)</f>
        <v>0</v>
      </c>
      <c r="O81" t="str">
        <f t="shared" si="5"/>
        <v>SC3 – S31 - Estimated - Not received because Milestone is dependent on Manual input and is missed due to Lack of resources</v>
      </c>
    </row>
    <row r="82" spans="1:15" ht="89" customHeight="1">
      <c r="A82" s="232">
        <v>81</v>
      </c>
      <c r="B82" s="236" t="s">
        <v>538</v>
      </c>
      <c r="C82" s="286" t="s">
        <v>539</v>
      </c>
      <c r="D82" s="286" t="s">
        <v>14</v>
      </c>
      <c r="E82" s="233" t="str" cm="1">
        <f t="array" ref="E82:F82">_xlfn.TEXTSPLIT(D82,"(")</f>
        <v xml:space="preserve">Completeness </v>
      </c>
      <c r="F82" s="233" t="str">
        <v>All)</v>
      </c>
      <c r="G82" s="285" t="str" cm="1">
        <f t="array" ref="G82:H82">_xlfn.TEXTSPLIT(C82,"(")</f>
        <v xml:space="preserve"> Empty Container returned </v>
      </c>
      <c r="H82" s="285" t="str">
        <v>Actual)</v>
      </c>
      <c r="I82" s="285" t="str">
        <f t="shared" si="6"/>
        <v>Actual</v>
      </c>
      <c r="J82" s="274" t="str">
        <f t="shared" si="7"/>
        <v>Not received because Milestone is dependent on Manual input and is missed due to Lack of resources</v>
      </c>
      <c r="K82" s="274" t="s">
        <v>599</v>
      </c>
      <c r="L82" s="274" t="str">
        <f>_xlfn.XLOOKUP(K82,Rootcauses!$B$2:$B$21,Rootcauses!$D$2:$D$21)</f>
        <v>Dedicated Ops owner is 3 most afftected Regions (GCA + NEC + CSE) to focus on completness of Manual milestones S02, S31, S00</v>
      </c>
      <c r="M82" s="274" t="str">
        <f>_xlfn.XLOOKUP(K82,Rootcauses!$B$2:$B$21,Rootcauses!$E$2:$E$21)</f>
        <v>Dedicated Ops owner is 3 most afftected Regions (GCA + NEC + CSE) to focus on Timeliness of Manual milestones S02, S31, S00</v>
      </c>
      <c r="N82" s="274">
        <f>_xlfn.XLOOKUP(K82,Rootcauses!$B$2:$B$21,Rootcauses!$F$2:$F$21)</f>
        <v>0</v>
      </c>
      <c r="O82" t="str">
        <f t="shared" si="5"/>
        <v>SC3 – S55 - Actual - Not received because Milestone is dependent on Manual input and is missed due to Lack of resources</v>
      </c>
    </row>
    <row r="83" spans="1:15" ht="89" customHeight="1">
      <c r="A83" s="232">
        <v>82</v>
      </c>
      <c r="B83" s="236" t="s">
        <v>538</v>
      </c>
      <c r="C83" s="286" t="s">
        <v>539</v>
      </c>
      <c r="D83" s="286" t="s">
        <v>16</v>
      </c>
      <c r="E83" s="233" t="str" cm="1">
        <f t="array" ref="E83:F83">_xlfn.TEXTSPLIT(D83,"(")</f>
        <v xml:space="preserve">Timeliness </v>
      </c>
      <c r="F83" s="233" t="str">
        <v>All)</v>
      </c>
      <c r="G83" s="285" t="str" cm="1">
        <f t="array" ref="G83:H83">_xlfn.TEXTSPLIT(C83,"(")</f>
        <v xml:space="preserve"> Empty Container returned </v>
      </c>
      <c r="H83" s="285" t="str">
        <v>Actual)</v>
      </c>
      <c r="I83" s="285" t="str">
        <f t="shared" si="6"/>
        <v>Actual</v>
      </c>
      <c r="J83" s="274" t="str">
        <f t="shared" si="7"/>
        <v>Not received because Milestone is dependent on Manual input and is missed due to Lack of resources</v>
      </c>
      <c r="K83" s="274" t="s">
        <v>599</v>
      </c>
      <c r="L83" s="274" t="str">
        <f>_xlfn.XLOOKUP(K83,Rootcauses!$B$2:$B$21,Rootcauses!$D$2:$D$21)</f>
        <v>Dedicated Ops owner is 3 most afftected Regions (GCA + NEC + CSE) to focus on completness of Manual milestones S02, S31, S00</v>
      </c>
      <c r="M83" s="274" t="str">
        <f>_xlfn.XLOOKUP(K83,Rootcauses!$B$2:$B$21,Rootcauses!$E$2:$E$21)</f>
        <v>Dedicated Ops owner is 3 most afftected Regions (GCA + NEC + CSE) to focus on Timeliness of Manual milestones S02, S31, S00</v>
      </c>
      <c r="N83" s="274">
        <f>_xlfn.XLOOKUP(K83,Rootcauses!$B$2:$B$21,Rootcauses!$F$2:$F$21)</f>
        <v>0</v>
      </c>
      <c r="O83" t="str">
        <f t="shared" si="5"/>
        <v>SC3 – S55 - Actual - Not received because Milestone is dependent on Manual input and is missed due to Lack of resources</v>
      </c>
    </row>
    <row r="84" spans="1:15" ht="89" customHeight="1">
      <c r="A84" s="232">
        <v>83</v>
      </c>
      <c r="B84" s="233" t="s">
        <v>502</v>
      </c>
      <c r="C84" s="286" t="s">
        <v>32</v>
      </c>
      <c r="D84" s="303" t="s">
        <v>17</v>
      </c>
      <c r="E84" s="285"/>
      <c r="F84" s="285"/>
      <c r="G84" s="285"/>
      <c r="H84" s="285"/>
      <c r="I84" s="286" t="s">
        <v>601</v>
      </c>
      <c r="J84" s="274" t="str">
        <f t="shared" si="7"/>
        <v>Not received because CW1 lacks chronological sequence validation</v>
      </c>
      <c r="K84" s="274" t="s">
        <v>592</v>
      </c>
      <c r="L84" s="274" t="str">
        <f>_xlfn.XLOOKUP(K84,Rootcauses!$B$2:$B$21,Rootcauses!$D$2:$D$21)</f>
        <v>Implement date sequence field validation in CW1 for Milestone</v>
      </c>
      <c r="M84" s="274" t="str">
        <f>_xlfn.XLOOKUP(K84,Rootcauses!$B$2:$B$21,Rootcauses!$E$2:$E$21)</f>
        <v>Optmise automation flow of ETD / ETA Milestones in operation system (CW1)</v>
      </c>
      <c r="N84" s="274" t="str">
        <f>_xlfn.XLOOKUP(K84,Rootcauses!$B$2:$B$21,Rootcauses!$F$2:$F$21)</f>
        <v>Add Plausibility Measures into the Control Tower Dashboard</v>
      </c>
      <c r="O84" t="str">
        <f t="shared" si="5"/>
        <v>SC4 – S07 - Estimates are not received 7 days before of the Actual event - Not received because CW1 lacks chronological sequence validation</v>
      </c>
    </row>
    <row r="85" spans="1:15" ht="89" customHeight="1">
      <c r="A85" s="232">
        <v>84</v>
      </c>
      <c r="B85" s="198" t="s">
        <v>529</v>
      </c>
      <c r="C85" s="286" t="s">
        <v>32</v>
      </c>
      <c r="D85" s="303" t="s">
        <v>17</v>
      </c>
      <c r="E85" s="285"/>
      <c r="F85" s="285"/>
      <c r="G85" s="285"/>
      <c r="H85" s="285"/>
      <c r="I85" s="286" t="s">
        <v>601</v>
      </c>
      <c r="J85" s="274" t="str">
        <f t="shared" si="7"/>
        <v>Not received because CW1 lacks chronological sequence validation</v>
      </c>
      <c r="K85" s="274" t="s">
        <v>592</v>
      </c>
      <c r="L85" s="274" t="str">
        <f>_xlfn.XLOOKUP(K85,Rootcauses!$B$2:$B$21,Rootcauses!$D$2:$D$21)</f>
        <v>Implement date sequence field validation in CW1 for Milestone</v>
      </c>
      <c r="M85" s="274" t="str">
        <f>_xlfn.XLOOKUP(K85,Rootcauses!$B$2:$B$21,Rootcauses!$E$2:$E$21)</f>
        <v>Optmise automation flow of ETD / ETA Milestones in operation system (CW1)</v>
      </c>
      <c r="N85" s="274" t="str">
        <f>_xlfn.XLOOKUP(K85,Rootcauses!$B$2:$B$21,Rootcauses!$F$2:$F$21)</f>
        <v>Add Plausibility Measures into the Control Tower Dashboard</v>
      </c>
      <c r="O85" t="str">
        <f t="shared" si="5"/>
        <v>SC3 – S07 - Estimates are not received 7 days before of the Actual event - Not received because CW1 lacks chronological sequence validation</v>
      </c>
    </row>
    <row r="86" spans="1:15" ht="89" customHeight="1">
      <c r="A86" s="232">
        <v>85</v>
      </c>
      <c r="B86" s="198" t="s">
        <v>517</v>
      </c>
      <c r="C86" s="286" t="s">
        <v>34</v>
      </c>
      <c r="D86" s="303" t="s">
        <v>30</v>
      </c>
      <c r="E86" s="285"/>
      <c r="F86" s="285"/>
      <c r="G86" s="285"/>
      <c r="H86" s="285"/>
      <c r="I86" s="286" t="s">
        <v>601</v>
      </c>
      <c r="J86" s="274" t="str">
        <f t="shared" si="7"/>
        <v>Not received because CW1 lacks chronological sequence validation</v>
      </c>
      <c r="K86" s="274" t="s">
        <v>592</v>
      </c>
      <c r="L86" s="274" t="str">
        <f>_xlfn.XLOOKUP(K86,Rootcauses!$B$2:$B$21,Rootcauses!$D$2:$D$21)</f>
        <v>Implement date sequence field validation in CW1 for Milestone</v>
      </c>
      <c r="M86" s="274" t="str">
        <f>_xlfn.XLOOKUP(K86,Rootcauses!$B$2:$B$21,Rootcauses!$E$2:$E$21)</f>
        <v>Optmise automation flow of ETD / ETA Milestones in operation system (CW1)</v>
      </c>
      <c r="N86" s="274" t="str">
        <f>_xlfn.XLOOKUP(K86,Rootcauses!$B$2:$B$21,Rootcauses!$F$2:$F$21)</f>
        <v>Add Plausibility Measures into the Control Tower Dashboard</v>
      </c>
      <c r="O86" t="str">
        <f t="shared" si="5"/>
        <v>SC4 – S31 - Estimates are not received 7 days before of the Actual event - Not received because CW1 lacks chronological sequence validation</v>
      </c>
    </row>
    <row r="87" spans="1:15" ht="89" customHeight="1">
      <c r="A87" s="232">
        <v>86</v>
      </c>
      <c r="B87" s="198" t="s">
        <v>537</v>
      </c>
      <c r="C87" s="286" t="s">
        <v>34</v>
      </c>
      <c r="D87" s="303" t="s">
        <v>30</v>
      </c>
      <c r="E87" s="285"/>
      <c r="F87" s="285"/>
      <c r="G87" s="285"/>
      <c r="H87" s="285"/>
      <c r="I87" s="286" t="s">
        <v>601</v>
      </c>
      <c r="J87" s="274" t="str">
        <f t="shared" si="7"/>
        <v>Not received because CW1 lacks chronological sequence validation</v>
      </c>
      <c r="K87" s="274" t="s">
        <v>592</v>
      </c>
      <c r="L87" s="274" t="str">
        <f>_xlfn.XLOOKUP(K87,Rootcauses!$B$2:$B$21,Rootcauses!$D$2:$D$21)</f>
        <v>Implement date sequence field validation in CW1 for Milestone</v>
      </c>
      <c r="M87" s="274" t="str">
        <f>_xlfn.XLOOKUP(K87,Rootcauses!$B$2:$B$21,Rootcauses!$E$2:$E$21)</f>
        <v>Optmise automation flow of ETD / ETA Milestones in operation system (CW1)</v>
      </c>
      <c r="N87" s="274" t="str">
        <f>_xlfn.XLOOKUP(K87,Rootcauses!$B$2:$B$21,Rootcauses!$F$2:$F$21)</f>
        <v>Add Plausibility Measures into the Control Tower Dashboard</v>
      </c>
      <c r="O87" t="str">
        <f t="shared" si="5"/>
        <v>SC3 – S31 - Estimates are not received 7 days before of the Actual event - Not received because CW1 lacks chronological sequence validation</v>
      </c>
    </row>
    <row r="88" spans="1:15" ht="89" customHeight="1">
      <c r="A88" s="232">
        <v>87</v>
      </c>
      <c r="B88" s="237" t="s">
        <v>628</v>
      </c>
      <c r="C88" s="286" t="s">
        <v>626</v>
      </c>
      <c r="D88" s="285"/>
      <c r="E88" s="285"/>
      <c r="F88" s="285"/>
      <c r="G88" s="285"/>
      <c r="H88" s="285"/>
      <c r="I88" s="286" t="s">
        <v>626</v>
      </c>
      <c r="J88" s="274" t="str">
        <f t="shared" si="7"/>
        <v>Not received because The refrences are not updated from CIV or PKL docs</v>
      </c>
      <c r="K88" s="274" t="s">
        <v>596</v>
      </c>
      <c r="L88" s="274" t="str">
        <f>_xlfn.XLOOKUP(K88,Rootcauses!$B$2:$B$21,Rootcauses!$D$2:$D$21)</f>
        <v>Review Feasibility of Compliance AI Tool Matching Invoice &amp; Delivery Note Numbers</v>
      </c>
      <c r="M88" s="274" t="str">
        <f>_xlfn.XLOOKUP(K88,Rootcauses!$B$2:$B$21,Rootcauses!$E$2:$E$21)</f>
        <v>Ops retraining in Problemetic area</v>
      </c>
      <c r="N88" s="274" t="str">
        <f>_xlfn.XLOOKUP(K88,Rootcauses!$B$2:$B$21,Rootcauses!$F$2:$F$21)</f>
        <v>Ramp up SC3 Volume from 40% to 80%</v>
      </c>
      <c r="O88" t="str">
        <f t="shared" si="5"/>
        <v>SC4 - &lt;Origin&gt; - Shipment received by Bosch doesn't have the CIV or DN reference - Not received because The refrences are not updated from CIV or PKL docs</v>
      </c>
    </row>
    <row r="89" spans="1:15" ht="89" customHeight="1">
      <c r="A89" s="232">
        <v>88</v>
      </c>
      <c r="B89" s="237" t="s">
        <v>628</v>
      </c>
      <c r="C89" s="286" t="s">
        <v>627</v>
      </c>
      <c r="D89" s="285"/>
      <c r="E89" s="285"/>
      <c r="F89" s="285"/>
      <c r="G89" s="285"/>
      <c r="H89" s="285"/>
      <c r="I89" s="286" t="s">
        <v>627</v>
      </c>
      <c r="J89" s="274" t="str">
        <f t="shared" si="7"/>
        <v>Not received because The refrences are not updated from CIV or PKL docs</v>
      </c>
      <c r="K89" s="274" t="s">
        <v>596</v>
      </c>
      <c r="L89" s="274" t="str">
        <f>_xlfn.XLOOKUP(K89,Rootcauses!$B$2:$B$21,Rootcauses!$D$2:$D$21)</f>
        <v>Review Feasibility of Compliance AI Tool Matching Invoice &amp; Delivery Note Numbers</v>
      </c>
      <c r="M89" s="274" t="str">
        <f>_xlfn.XLOOKUP(K89,Rootcauses!$B$2:$B$21,Rootcauses!$E$2:$E$21)</f>
        <v>Ops retraining in Problemetic area</v>
      </c>
      <c r="N89" s="274" t="str">
        <f>_xlfn.XLOOKUP(K89,Rootcauses!$B$2:$B$21,Rootcauses!$F$2:$F$21)</f>
        <v>Ramp up SC3 Volume from 40% to 80%</v>
      </c>
      <c r="O89" t="str">
        <f t="shared" si="5"/>
        <v>SC4 - &lt;Origin&gt; - Shipment received by Bosch has the CIV or DN reference  but do not have the correct data - Not received because The refrences are not updated from CIV or PKL docs</v>
      </c>
    </row>
  </sheetData>
  <autoFilter ref="B1:L83" xr:uid="{5A1B0884-7AEC-FF4F-8007-B8352BF02219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0567E32-BD79-0547-A2C1-0C29121C3294}">
          <x14:formula1>
            <xm:f>Rootcauses!$B$2:$B$21</xm:f>
          </x14:formula1>
          <xm:sqref>K2:K89</xm:sqref>
        </x14:dataValidation>
        <x14:dataValidation type="list" allowBlank="1" showInputMessage="1" showErrorMessage="1" xr:uid="{EB33E090-968D-FD43-A134-80FA74BAF1C2}">
          <x14:formula1>
            <xm:f>Measures!$B$3:$B$18</xm:f>
          </x14:formula1>
          <xm:sqref>L2:L89</xm:sqref>
        </x14:dataValidation>
        <x14:dataValidation type="list" allowBlank="1" showInputMessage="1" showErrorMessage="1" xr:uid="{4DA8062D-C9DA-374D-AA2F-05F61C7DD3CF}">
          <x14:formula1>
            <xm:f>Measures!$B$3:$B$30</xm:f>
          </x14:formula1>
          <xm:sqref>M2:N89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F736-C65F-194D-9F07-5A2569B8D1C1}">
  <dimension ref="A1:F21"/>
  <sheetViews>
    <sheetView workbookViewId="0">
      <selection activeCell="E6" sqref="E6"/>
    </sheetView>
  </sheetViews>
  <sheetFormatPr baseColWidth="10" defaultRowHeight="13"/>
  <cols>
    <col min="1" max="1" width="6" customWidth="1"/>
    <col min="2" max="2" width="64.5" bestFit="1" customWidth="1"/>
    <col min="3" max="3" width="5.83203125" customWidth="1"/>
    <col min="4" max="4" width="50.5" customWidth="1"/>
    <col min="5" max="5" width="45.83203125" customWidth="1"/>
    <col min="6" max="6" width="41.5" customWidth="1"/>
  </cols>
  <sheetData>
    <row r="1" spans="1:6">
      <c r="A1" s="291" t="s">
        <v>589</v>
      </c>
      <c r="B1" s="291" t="s">
        <v>588</v>
      </c>
      <c r="C1" s="291" t="s">
        <v>603</v>
      </c>
      <c r="D1" s="318" t="s">
        <v>697</v>
      </c>
      <c r="E1" s="318" t="s">
        <v>698</v>
      </c>
      <c r="F1" s="318" t="s">
        <v>699</v>
      </c>
    </row>
    <row r="2" spans="1:6" ht="43" customHeight="1">
      <c r="A2">
        <v>1</v>
      </c>
      <c r="B2" s="289" t="s">
        <v>590</v>
      </c>
      <c r="C2" t="s">
        <v>604</v>
      </c>
      <c r="D2" s="274" t="s">
        <v>92</v>
      </c>
      <c r="E2" s="274" t="s">
        <v>696</v>
      </c>
      <c r="F2" s="274" t="s">
        <v>94</v>
      </c>
    </row>
    <row r="3" spans="1:6" ht="43" customHeight="1">
      <c r="A3">
        <v>2</v>
      </c>
      <c r="B3" s="290" t="s">
        <v>591</v>
      </c>
      <c r="C3" t="s">
        <v>605</v>
      </c>
      <c r="D3" s="274" t="s">
        <v>78</v>
      </c>
      <c r="E3" s="274" t="s">
        <v>86</v>
      </c>
      <c r="F3" s="274" t="s">
        <v>83</v>
      </c>
    </row>
    <row r="4" spans="1:6" ht="43" customHeight="1">
      <c r="A4">
        <v>3</v>
      </c>
      <c r="B4" s="290" t="s">
        <v>592</v>
      </c>
      <c r="C4" t="s">
        <v>605</v>
      </c>
      <c r="D4" s="274" t="s">
        <v>89</v>
      </c>
      <c r="E4" s="274" t="s">
        <v>68</v>
      </c>
      <c r="F4" s="274" t="s">
        <v>87</v>
      </c>
    </row>
    <row r="5" spans="1:6" ht="43" customHeight="1">
      <c r="A5">
        <v>4</v>
      </c>
      <c r="B5" s="289" t="s">
        <v>594</v>
      </c>
      <c r="D5" s="274" t="s">
        <v>77</v>
      </c>
      <c r="E5" s="274"/>
      <c r="F5" s="274"/>
    </row>
    <row r="6" spans="1:6" ht="43" customHeight="1">
      <c r="A6">
        <v>5</v>
      </c>
      <c r="B6" s="292" t="s">
        <v>595</v>
      </c>
      <c r="D6" s="274" t="s">
        <v>60</v>
      </c>
      <c r="E6" s="274" t="s">
        <v>718</v>
      </c>
      <c r="F6" s="274"/>
    </row>
    <row r="7" spans="1:6" ht="43" customHeight="1">
      <c r="A7">
        <v>6</v>
      </c>
      <c r="B7" s="289" t="s">
        <v>596</v>
      </c>
      <c r="D7" s="274" t="s">
        <v>80</v>
      </c>
      <c r="E7" s="274" t="s">
        <v>696</v>
      </c>
      <c r="F7" s="274" t="s">
        <v>71</v>
      </c>
    </row>
    <row r="8" spans="1:6" ht="43" customHeight="1">
      <c r="A8">
        <v>7</v>
      </c>
      <c r="B8" s="289" t="s">
        <v>597</v>
      </c>
      <c r="C8" t="s">
        <v>604</v>
      </c>
      <c r="D8" s="274" t="s">
        <v>92</v>
      </c>
      <c r="E8" s="274" t="s">
        <v>94</v>
      </c>
      <c r="F8" s="274"/>
    </row>
    <row r="9" spans="1:6" ht="43" customHeight="1">
      <c r="A9">
        <v>8</v>
      </c>
      <c r="B9" s="292" t="s">
        <v>598</v>
      </c>
      <c r="D9" s="274" t="s">
        <v>77</v>
      </c>
      <c r="E9" s="274" t="s">
        <v>696</v>
      </c>
      <c r="F9" s="274"/>
    </row>
    <row r="10" spans="1:6" ht="43" customHeight="1">
      <c r="A10">
        <v>9</v>
      </c>
      <c r="B10" s="289" t="s">
        <v>599</v>
      </c>
      <c r="C10" t="s">
        <v>604</v>
      </c>
      <c r="D10" s="274" t="s">
        <v>92</v>
      </c>
      <c r="E10" s="274" t="s">
        <v>94</v>
      </c>
      <c r="F10" s="274"/>
    </row>
    <row r="11" spans="1:6" ht="43" customHeight="1">
      <c r="A11">
        <v>10</v>
      </c>
      <c r="B11" s="290" t="s">
        <v>600</v>
      </c>
      <c r="C11" t="s">
        <v>605</v>
      </c>
      <c r="D11" s="274" t="s">
        <v>90</v>
      </c>
      <c r="E11" s="274"/>
      <c r="F11" s="274"/>
    </row>
    <row r="12" spans="1:6" ht="43" customHeight="1">
      <c r="A12">
        <v>11</v>
      </c>
      <c r="B12" s="289" t="s">
        <v>695</v>
      </c>
      <c r="C12" s="198"/>
      <c r="D12" s="274" t="s">
        <v>696</v>
      </c>
      <c r="E12" s="274"/>
      <c r="F12" s="274"/>
    </row>
    <row r="13" spans="1:6" ht="43" customHeight="1">
      <c r="A13">
        <v>12</v>
      </c>
    </row>
    <row r="14" spans="1:6" ht="43" customHeight="1">
      <c r="A14">
        <v>13</v>
      </c>
    </row>
    <row r="15" spans="1:6" ht="43" customHeight="1">
      <c r="A15">
        <v>14</v>
      </c>
    </row>
    <row r="16" spans="1:6" ht="43" customHeight="1">
      <c r="A16">
        <v>15</v>
      </c>
    </row>
    <row r="17" spans="1:1" ht="43" customHeight="1">
      <c r="A17">
        <v>16</v>
      </c>
    </row>
    <row r="18" spans="1:1" ht="43" customHeight="1">
      <c r="A18">
        <v>17</v>
      </c>
    </row>
    <row r="19" spans="1:1" ht="43" customHeight="1">
      <c r="A19">
        <v>18</v>
      </c>
    </row>
    <row r="20" spans="1:1" ht="43" customHeight="1">
      <c r="A20">
        <v>19</v>
      </c>
    </row>
    <row r="21" spans="1:1" ht="43" customHeight="1">
      <c r="A21">
        <v>20</v>
      </c>
    </row>
  </sheetData>
  <phoneticPr fontId="6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6CF43E-E569-234E-A02E-E74C7A95216F}">
          <x14:formula1>
            <xm:f>Measures!$B$3:$B$100</xm:f>
          </x14:formula1>
          <xm:sqref>D2:D21 E2:F12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96FF-8D46-BC48-A1F5-DF2B73176DA0}">
  <dimension ref="A1:G20"/>
  <sheetViews>
    <sheetView topLeftCell="A9" workbookViewId="0">
      <selection activeCell="G19" sqref="G19"/>
    </sheetView>
  </sheetViews>
  <sheetFormatPr baseColWidth="10" defaultRowHeight="41" customHeight="1"/>
  <cols>
    <col min="2" max="2" width="45.1640625" customWidth="1"/>
    <col min="3" max="3" width="25.83203125" customWidth="1"/>
    <col min="7" max="7" width="110.33203125" bestFit="1" customWidth="1"/>
  </cols>
  <sheetData>
    <row r="1" spans="1:7" ht="41" customHeight="1">
      <c r="A1" s="368" t="s">
        <v>43</v>
      </c>
      <c r="B1" s="370" t="s">
        <v>44</v>
      </c>
      <c r="C1" s="372" t="s">
        <v>22</v>
      </c>
      <c r="D1" s="350" t="s">
        <v>10</v>
      </c>
      <c r="E1" s="350"/>
      <c r="F1" s="350"/>
      <c r="G1" s="372" t="s">
        <v>602</v>
      </c>
    </row>
    <row r="2" spans="1:7" ht="41" customHeight="1">
      <c r="A2" s="369"/>
      <c r="B2" s="371"/>
      <c r="C2" s="374"/>
      <c r="D2" s="351"/>
      <c r="E2" s="351"/>
      <c r="F2" s="351"/>
      <c r="G2" s="373"/>
    </row>
    <row r="3" spans="1:7" ht="41" customHeight="1">
      <c r="A3" s="116">
        <v>1</v>
      </c>
      <c r="B3" s="198" t="s">
        <v>60</v>
      </c>
      <c r="C3" s="199" t="s">
        <v>41</v>
      </c>
      <c r="D3" s="345" t="s">
        <v>61</v>
      </c>
      <c r="E3" s="345"/>
      <c r="F3" s="345"/>
      <c r="G3" s="201" t="str" cm="1">
        <f t="array" ref="G3">_xlfn.TEXTJOIN(", ", TRUE, IF('Mapping Prob-Root'!$L$2:$L$100 = B3, 'Mapping Prob-Root'!$A$2:$A$100, ""))&amp;" "&amp;
_xlfn.TEXTJOIN(", ", TRUE, IF('Mapping Prob-Root'!$M$2:$M$100 = B3, 'Mapping Prob-Root'!$A$2:$A$100, ""))&amp;" "&amp;
_xlfn.TEXTJOIN(", ", TRUE, IF('Mapping Prob-Root'!$N$2:$N$100 = B3, 'Mapping Prob-Root'!$A$2:$A$100, ""))</f>
        <v xml:space="preserve">35, 36, 71, 72, 73, 74  </v>
      </c>
    </row>
    <row r="4" spans="1:7" ht="41" customHeight="1">
      <c r="A4" s="117">
        <v>2</v>
      </c>
      <c r="B4" s="198" t="s">
        <v>60</v>
      </c>
      <c r="C4" s="199" t="s">
        <v>42</v>
      </c>
      <c r="D4" s="345" t="s">
        <v>61</v>
      </c>
      <c r="E4" s="345"/>
      <c r="F4" s="345"/>
      <c r="G4" s="201" t="str" cm="1">
        <f t="array" ref="G4">_xlfn.TEXTJOIN(", ", TRUE, IF('Mapping Prob-Root'!$L$2:$L$100 = B4, 'Mapping Prob-Root'!$A$2:$A$100, ""))&amp;" "&amp;
_xlfn.TEXTJOIN(", ", TRUE, IF('Mapping Prob-Root'!$M$2:$M$100 = B4, 'Mapping Prob-Root'!$A$2:$A$100, ""))&amp;" "&amp;
_xlfn.TEXTJOIN(", ", TRUE, IF('Mapping Prob-Root'!$N$2:$N$100 = B4, 'Mapping Prob-Root'!$A$2:$A$100, ""))</f>
        <v xml:space="preserve">35, 36, 71, 72, 73, 74  </v>
      </c>
    </row>
    <row r="5" spans="1:7" ht="41" customHeight="1">
      <c r="A5" s="116">
        <v>3</v>
      </c>
      <c r="B5" s="198" t="s">
        <v>68</v>
      </c>
      <c r="C5" s="199" t="s">
        <v>17</v>
      </c>
      <c r="D5" s="345" t="s">
        <v>69</v>
      </c>
      <c r="E5" s="345"/>
      <c r="F5" s="345"/>
      <c r="G5" s="201" t="str" cm="1">
        <f t="array" ref="G5">_xlfn.TEXTJOIN(", ", TRUE, IF('Mapping Prob-Root'!$L$2:$L$100 = B5, 'Mapping Prob-Root'!$A$2:$A$100, ""))&amp;" "&amp;
_xlfn.TEXTJOIN(", ", TRUE, IF('Mapping Prob-Root'!$M$2:$M$100 = B5, 'Mapping Prob-Root'!$A$2:$A$100, ""))&amp;" "&amp;
_xlfn.TEXTJOIN(", ", TRUE, IF('Mapping Prob-Root'!$N$2:$N$100 = B5, 'Mapping Prob-Root'!$A$2:$A$100, ""))</f>
        <v xml:space="preserve"> 83, 84, 85, 86 </v>
      </c>
    </row>
    <row r="6" spans="1:7" ht="41" customHeight="1">
      <c r="A6" s="116">
        <v>4</v>
      </c>
      <c r="B6" s="198" t="s">
        <v>71</v>
      </c>
      <c r="C6" s="199" t="s">
        <v>14</v>
      </c>
      <c r="D6" s="345" t="s">
        <v>72</v>
      </c>
      <c r="E6" s="345"/>
      <c r="F6" s="345"/>
      <c r="G6" s="201" t="str" cm="1">
        <f t="array" ref="G6">_xlfn.TEXTJOIN(", ", TRUE, IF('Mapping Prob-Root'!$L$2:$L$100 = B6, 'Mapping Prob-Root'!$A$2:$A$100, ""))&amp;" "&amp;
_xlfn.TEXTJOIN(", ", TRUE, IF('Mapping Prob-Root'!$M$2:$M$100 = B6, 'Mapping Prob-Root'!$A$2:$A$100, ""))&amp;" "&amp;
_xlfn.TEXTJOIN(", ", TRUE, IF('Mapping Prob-Root'!$N$2:$N$100 = B6, 'Mapping Prob-Root'!$A$2:$A$100, ""))</f>
        <v xml:space="preserve">  87, 88</v>
      </c>
    </row>
    <row r="7" spans="1:7" ht="41" customHeight="1">
      <c r="A7" s="116">
        <v>5</v>
      </c>
      <c r="B7" s="198" t="s">
        <v>71</v>
      </c>
      <c r="C7" s="199" t="s">
        <v>16</v>
      </c>
      <c r="D7" s="345" t="s">
        <v>72</v>
      </c>
      <c r="E7" s="345"/>
      <c r="F7" s="345"/>
      <c r="G7" s="201" t="str" cm="1">
        <f t="array" ref="G7">_xlfn.TEXTJOIN(", ", TRUE, IF('Mapping Prob-Root'!$L$2:$L$100 = B7, 'Mapping Prob-Root'!$A$2:$A$100, ""))&amp;" "&amp;
_xlfn.TEXTJOIN(", ", TRUE, IF('Mapping Prob-Root'!$M$2:$M$100 = B7, 'Mapping Prob-Root'!$A$2:$A$100, ""))&amp;" "&amp;
_xlfn.TEXTJOIN(", ", TRUE, IF('Mapping Prob-Root'!$N$2:$N$100 = B7, 'Mapping Prob-Root'!$A$2:$A$100, ""))</f>
        <v xml:space="preserve">  87, 88</v>
      </c>
    </row>
    <row r="8" spans="1:7" ht="41" customHeight="1">
      <c r="A8" s="116">
        <v>6</v>
      </c>
      <c r="B8" s="198" t="s">
        <v>71</v>
      </c>
      <c r="C8" s="199" t="s">
        <v>75</v>
      </c>
      <c r="D8" s="345" t="s">
        <v>72</v>
      </c>
      <c r="E8" s="345"/>
      <c r="F8" s="345"/>
      <c r="G8" s="201" t="str" cm="1">
        <f t="array" ref="G8">_xlfn.TEXTJOIN(", ", TRUE, IF('Mapping Prob-Root'!$L$2:$L$100 = B8, 'Mapping Prob-Root'!$A$2:$A$100, ""))&amp;" "&amp;
_xlfn.TEXTJOIN(", ", TRUE, IF('Mapping Prob-Root'!$M$2:$M$100 = B8, 'Mapping Prob-Root'!$A$2:$A$100, ""))&amp;" "&amp;
_xlfn.TEXTJOIN(", ", TRUE, IF('Mapping Prob-Root'!$N$2:$N$100 = B8, 'Mapping Prob-Root'!$A$2:$A$100, ""))</f>
        <v xml:space="preserve">  87, 88</v>
      </c>
    </row>
    <row r="9" spans="1:7" ht="41" customHeight="1">
      <c r="A9" s="116">
        <v>7</v>
      </c>
      <c r="B9" s="198" t="s">
        <v>77</v>
      </c>
      <c r="C9" s="199" t="s">
        <v>30</v>
      </c>
      <c r="D9" s="345" t="s">
        <v>69</v>
      </c>
      <c r="E9" s="345"/>
      <c r="F9" s="345"/>
      <c r="G9" s="201" t="str" cm="1">
        <f t="array" ref="G9">_xlfn.TEXTJOIN(", ", TRUE, IF('Mapping Prob-Root'!$L$2:$L$100 = B9, 'Mapping Prob-Root'!$A$2:$A$100, ""))&amp;" "&amp;
_xlfn.TEXTJOIN(", ", TRUE, IF('Mapping Prob-Root'!$M$2:$M$100 = B9, 'Mapping Prob-Root'!$A$2:$A$100, ""))&amp;" "&amp;
_xlfn.TEXTJOIN(", ", TRUE, IF('Mapping Prob-Root'!$N$2:$N$100 = B9, 'Mapping Prob-Root'!$A$2:$A$100, ""))</f>
        <v xml:space="preserve">19, 20, 21, 22, 23, 24, 25, 26, 57, 58, 59, 60, 61, 62, 63, 64  </v>
      </c>
    </row>
    <row r="10" spans="1:7" ht="41" customHeight="1">
      <c r="A10" s="73">
        <v>8</v>
      </c>
      <c r="B10" s="198" t="s">
        <v>78</v>
      </c>
      <c r="C10" s="199" t="s">
        <v>42</v>
      </c>
      <c r="D10" s="345" t="s">
        <v>69</v>
      </c>
      <c r="E10" s="345"/>
      <c r="F10" s="345"/>
      <c r="G10" s="201" t="str" cm="1">
        <f t="array" ref="G10">_xlfn.TEXTJOIN(", ", TRUE, IF('Mapping Prob-Root'!$L$2:$L$100 = B10, 'Mapping Prob-Root'!$A$2:$A$100, ""))&amp;" "&amp;
_xlfn.TEXTJOIN(", ", TRUE, IF('Mapping Prob-Root'!$M$2:$M$100 = B10, 'Mapping Prob-Root'!$A$2:$A$100, ""))&amp;" "&amp;
_xlfn.TEXTJOIN(", ", TRUE, IF('Mapping Prob-Root'!$N$2:$N$100 = B10, 'Mapping Prob-Root'!$A$2:$A$100, ""))</f>
        <v xml:space="preserve">1, 2, 15, 16, 18, 29, 30, 37, 38, 45, 46, 55, 56, 65, 66, 67, 68  </v>
      </c>
    </row>
    <row r="11" spans="1:7" ht="41" customHeight="1">
      <c r="A11" s="73">
        <v>9</v>
      </c>
      <c r="B11" s="198" t="s">
        <v>80</v>
      </c>
      <c r="C11" s="199" t="s">
        <v>75</v>
      </c>
      <c r="D11" s="345" t="s">
        <v>81</v>
      </c>
      <c r="E11" s="345"/>
      <c r="F11" s="345"/>
      <c r="G11" s="201" t="str" cm="1">
        <f t="array" ref="G11">_xlfn.TEXTJOIN(", ", TRUE, IF('Mapping Prob-Root'!$L$2:$L$100 = B11, 'Mapping Prob-Root'!$A$2:$A$100, ""))&amp;" "&amp;
_xlfn.TEXTJOIN(", ", TRUE, IF('Mapping Prob-Root'!$M$2:$M$100 = B11, 'Mapping Prob-Root'!$A$2:$A$100, ""))&amp;" "&amp;
_xlfn.TEXTJOIN(", ", TRUE, IF('Mapping Prob-Root'!$N$2:$N$100 = B11, 'Mapping Prob-Root'!$A$2:$A$100, ""))</f>
        <v xml:space="preserve">87, 88  </v>
      </c>
    </row>
    <row r="12" spans="1:7" ht="41" customHeight="1">
      <c r="A12" s="73">
        <v>10</v>
      </c>
      <c r="B12" s="198" t="s">
        <v>83</v>
      </c>
      <c r="C12" s="199" t="s">
        <v>41</v>
      </c>
      <c r="D12" s="345" t="s">
        <v>84</v>
      </c>
      <c r="E12" s="345"/>
      <c r="F12" s="345"/>
      <c r="G12" s="201" t="str" cm="1">
        <f t="array" ref="G12">_xlfn.TEXTJOIN(", ", TRUE, IF('Mapping Prob-Root'!$L$2:$L$100 = B12, 'Mapping Prob-Root'!$A$2:$A$100, ""))&amp;" "&amp;
_xlfn.TEXTJOIN(", ", TRUE, IF('Mapping Prob-Root'!$M$2:$M$100 = B12, 'Mapping Prob-Root'!$A$2:$A$100, ""))&amp;" "&amp;
_xlfn.TEXTJOIN(", ", TRUE, IF('Mapping Prob-Root'!$N$2:$N$100 = B12, 'Mapping Prob-Root'!$A$2:$A$100, ""))</f>
        <v xml:space="preserve">  1, 2, 15, 16, 18, 29, 30, 37, 38, 45, 46, 55, 56, 65, 66, 67, 68</v>
      </c>
    </row>
    <row r="13" spans="1:7" ht="41" customHeight="1">
      <c r="A13" s="73">
        <v>11</v>
      </c>
      <c r="B13" s="198" t="s">
        <v>86</v>
      </c>
      <c r="C13" s="199" t="s">
        <v>42</v>
      </c>
      <c r="D13" s="345" t="s">
        <v>84</v>
      </c>
      <c r="E13" s="345"/>
      <c r="F13" s="345"/>
      <c r="G13" s="201" t="str" cm="1">
        <f t="array" ref="G13">_xlfn.TEXTJOIN(", ", TRUE, IF('Mapping Prob-Root'!$L$2:$L$100 = B13, 'Mapping Prob-Root'!$A$2:$A$100, ""))&amp;" "&amp;
_xlfn.TEXTJOIN(", ", TRUE, IF('Mapping Prob-Root'!$M$2:$M$100 = B13, 'Mapping Prob-Root'!$A$2:$A$100, ""))&amp;" "&amp;
_xlfn.TEXTJOIN(", ", TRUE, IF('Mapping Prob-Root'!$N$2:$N$100 = B13, 'Mapping Prob-Root'!$A$2:$A$100, ""))</f>
        <v xml:space="preserve"> 1, 2, 15, 16, 18, 29, 30, 37, 38, 45, 46, 55, 56, 65, 66, 67, 68 </v>
      </c>
    </row>
    <row r="14" spans="1:7" ht="41" customHeight="1">
      <c r="A14" s="73">
        <v>12</v>
      </c>
      <c r="B14" s="198" t="s">
        <v>87</v>
      </c>
      <c r="C14" s="199" t="s">
        <v>31</v>
      </c>
      <c r="D14" s="345" t="s">
        <v>88</v>
      </c>
      <c r="E14" s="345"/>
      <c r="F14" s="345"/>
      <c r="G14" s="201" t="str" cm="1">
        <f t="array" ref="G14">_xlfn.TEXTJOIN(", ", TRUE, IF('Mapping Prob-Root'!$L$2:$L$100 = B14, 'Mapping Prob-Root'!$A$2:$A$100, ""))&amp;" "&amp;
_xlfn.TEXTJOIN(", ", TRUE, IF('Mapping Prob-Root'!$M$2:$M$100 = B14, 'Mapping Prob-Root'!$A$2:$A$100, ""))&amp;" "&amp;
_xlfn.TEXTJOIN(", ", TRUE, IF('Mapping Prob-Root'!$N$2:$N$100 = B14, 'Mapping Prob-Root'!$A$2:$A$100, ""))</f>
        <v xml:space="preserve">  83, 84, 85, 86</v>
      </c>
    </row>
    <row r="15" spans="1:7" ht="41" customHeight="1">
      <c r="A15" s="73">
        <v>13</v>
      </c>
      <c r="B15" s="198" t="s">
        <v>89</v>
      </c>
      <c r="C15" s="199" t="s">
        <v>31</v>
      </c>
      <c r="D15" s="345" t="s">
        <v>69</v>
      </c>
      <c r="E15" s="345"/>
      <c r="F15" s="345"/>
      <c r="G15" s="201" t="str" cm="1">
        <f t="array" ref="G15">_xlfn.TEXTJOIN(", ", TRUE, IF('Mapping Prob-Root'!$L$2:$L$100 = B15, 'Mapping Prob-Root'!$A$2:$A$100, ""))&amp;" "&amp;
_xlfn.TEXTJOIN(", ", TRUE, IF('Mapping Prob-Root'!$M$2:$M$100 = B15, 'Mapping Prob-Root'!$A$2:$A$100, ""))&amp;" "&amp;
_xlfn.TEXTJOIN(", ", TRUE, IF('Mapping Prob-Root'!$N$2:$N$100 = B15, 'Mapping Prob-Root'!$A$2:$A$100, ""))</f>
        <v xml:space="preserve">83, 84, 85, 86  </v>
      </c>
    </row>
    <row r="16" spans="1:7" ht="41" customHeight="1">
      <c r="A16" s="73">
        <v>14</v>
      </c>
      <c r="B16" s="198" t="s">
        <v>90</v>
      </c>
      <c r="C16" s="199" t="s">
        <v>41</v>
      </c>
      <c r="D16" s="345" t="s">
        <v>91</v>
      </c>
      <c r="E16" s="345"/>
      <c r="F16" s="345"/>
      <c r="G16" s="201" t="str" cm="1">
        <f t="array" ref="G16">_xlfn.TEXTJOIN(", ", TRUE, IF('Mapping Prob-Root'!$L$2:$L$100 = B16, 'Mapping Prob-Root'!$A$2:$A$100, ""))&amp;" "&amp;
_xlfn.TEXTJOIN(", ", TRUE, IF('Mapping Prob-Root'!$M$2:$M$100 = B16, 'Mapping Prob-Root'!$A$2:$A$100, ""))&amp;" "&amp;
_xlfn.TEXTJOIN(", ", TRUE, IF('Mapping Prob-Root'!$N$2:$N$100 = B16, 'Mapping Prob-Root'!$A$2:$A$100, ""))</f>
        <v xml:space="preserve">27, 28  </v>
      </c>
    </row>
    <row r="17" spans="1:7" ht="41" customHeight="1">
      <c r="A17" s="73">
        <v>15</v>
      </c>
      <c r="B17" s="198" t="s">
        <v>92</v>
      </c>
      <c r="C17" s="199" t="s">
        <v>41</v>
      </c>
      <c r="D17" s="345" t="s">
        <v>93</v>
      </c>
      <c r="E17" s="345"/>
      <c r="F17" s="345"/>
      <c r="G17" s="201" t="str" cm="1">
        <f t="array" ref="G17">_xlfn.TEXTJOIN(", ", TRUE, IF('Mapping Prob-Root'!$L$2:$L$100 = B17, 'Mapping Prob-Root'!$A$2:$A$100, ""))&amp;" "&amp;
_xlfn.TEXTJOIN(", ", TRUE, IF('Mapping Prob-Root'!$M$2:$M$100 = B17, 'Mapping Prob-Root'!$A$2:$A$100, ""))&amp;" "&amp;
_xlfn.TEXTJOIN(", ", TRUE, IF('Mapping Prob-Root'!$N$2:$N$100 = B17, 'Mapping Prob-Root'!$A$2:$A$100, ""))</f>
        <v xml:space="preserve">3, 4, 5, 6, 7, 8, 9, 10, 12, 13, 14, 17, 31, 32, 33, 34, 39, 40, 41, 42, 47, 48, 49, 50, 51, 52, 53, 54, 69, 70, 75, 76, 77, 78, 79, 80, 81, 82  </v>
      </c>
    </row>
    <row r="18" spans="1:7" ht="41" customHeight="1">
      <c r="A18" s="73">
        <v>16</v>
      </c>
      <c r="B18" s="198" t="s">
        <v>94</v>
      </c>
      <c r="C18" s="199" t="s">
        <v>42</v>
      </c>
      <c r="D18" s="346" t="s">
        <v>93</v>
      </c>
      <c r="E18" s="347"/>
      <c r="F18" s="348"/>
      <c r="G18" s="201" t="str" cm="1">
        <f t="array" ref="G18">_xlfn.TEXTJOIN(", ", TRUE, IF('Mapping Prob-Root'!$L$2:$L$100 = B18, 'Mapping Prob-Root'!$A$2:$A$100, ""))&amp;" "&amp;
_xlfn.TEXTJOIN(", ", TRUE, IF('Mapping Prob-Root'!$M$2:$M$100 = B18, 'Mapping Prob-Root'!$A$2:$A$100, ""))&amp;" "&amp;
_xlfn.TEXTJOIN(", ", TRUE, IF('Mapping Prob-Root'!$N$2:$N$100 = B18, 'Mapping Prob-Root'!$A$2:$A$100, ""))</f>
        <v xml:space="preserve"> 3, 4, 5, 6, 9, 10, 12, 14, 31, 32, 34, 39, 40, 41, 42, 47, 48, 49, 50, 53, 54, 69, 70, 75, 76, 77, 78, 79, 80, 81, 82 7, 8, 13, 17, 33, 51, 52</v>
      </c>
    </row>
    <row r="19" spans="1:7" ht="41" customHeight="1">
      <c r="A19" s="116">
        <v>17</v>
      </c>
      <c r="B19" s="198" t="s">
        <v>696</v>
      </c>
      <c r="C19" s="199" t="s">
        <v>75</v>
      </c>
      <c r="D19" s="345" t="s">
        <v>93</v>
      </c>
      <c r="E19" s="345"/>
      <c r="F19" s="345"/>
      <c r="G19" s="201" t="str" cm="1">
        <f t="array" ref="G19">_xlfn.TEXTJOIN(", ", TRUE, IF('Mapping Prob-Root'!$L$2:$L$100 = B19, 'Mapping Prob-Root'!$A$2:$A$100, ""))&amp;" "&amp;
_xlfn.TEXTJOIN(", ", TRUE, IF('Mapping Prob-Root'!$M$2:$M$100 = B19, 'Mapping Prob-Root'!$A$2:$A$100, ""))&amp;" "&amp;
_xlfn.TEXTJOIN(", ", TRUE, IF('Mapping Prob-Root'!$N$2:$N$100 = B19, 'Mapping Prob-Root'!$A$2:$A$100, ""))</f>
        <v xml:space="preserve"> 7, 8, 13, 17, 33, 51, 52, 87, 88 </v>
      </c>
    </row>
    <row r="20" spans="1:7" ht="41" customHeight="1">
      <c r="A20" s="421">
        <v>18</v>
      </c>
      <c r="B20" s="422" t="s">
        <v>718</v>
      </c>
      <c r="C20" s="424" t="s">
        <v>14</v>
      </c>
      <c r="D20" s="345" t="s">
        <v>69</v>
      </c>
      <c r="E20" s="345"/>
      <c r="F20" s="345"/>
      <c r="G20" s="423" t="str" cm="1">
        <f t="array" ref="G20">_xlfn.TEXTJOIN(", ", TRUE, IF('Mapping Prob-Root'!$L$2:$L$100 = B20, 'Mapping Prob-Root'!$A$2:$A$100, ""))&amp;" "&amp;
_xlfn.TEXTJOIN(", ", TRUE, IF('Mapping Prob-Root'!$M$2:$M$100 = B20, 'Mapping Prob-Root'!$A$2:$A$100, ""))&amp;" "&amp;
_xlfn.TEXTJOIN(", ", TRUE, IF('Mapping Prob-Root'!$N$2:$N$100 = B20, 'Mapping Prob-Root'!$A$2:$A$100, ""))</f>
        <v xml:space="preserve"> 35, 36, 71, 72, 73, 74 </v>
      </c>
    </row>
  </sheetData>
  <mergeCells count="23">
    <mergeCell ref="D20:F20"/>
    <mergeCell ref="D9:F9"/>
    <mergeCell ref="A1:A2"/>
    <mergeCell ref="B1:B2"/>
    <mergeCell ref="G1:G2"/>
    <mergeCell ref="C1:C2"/>
    <mergeCell ref="D1:F2"/>
    <mergeCell ref="D3:F3"/>
    <mergeCell ref="D4:F4"/>
    <mergeCell ref="D5:F5"/>
    <mergeCell ref="D6:F6"/>
    <mergeCell ref="D7:F7"/>
    <mergeCell ref="D8:F8"/>
    <mergeCell ref="D19:F19"/>
    <mergeCell ref="D16:F16"/>
    <mergeCell ref="D17:F17"/>
    <mergeCell ref="D18:F18"/>
    <mergeCell ref="D10:F10"/>
    <mergeCell ref="D11:F11"/>
    <mergeCell ref="D12:F12"/>
    <mergeCell ref="D13:F13"/>
    <mergeCell ref="D14:F14"/>
    <mergeCell ref="D15:F15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EAB8-71B2-434F-A07D-520FB8939B8F}">
  <dimension ref="A1:J36"/>
  <sheetViews>
    <sheetView workbookViewId="0">
      <selection activeCell="E15" sqref="E15"/>
    </sheetView>
  </sheetViews>
  <sheetFormatPr baseColWidth="10" defaultColWidth="8.83203125" defaultRowHeight="15"/>
  <cols>
    <col min="1" max="1" width="35" style="101" customWidth="1"/>
    <col min="2" max="10" width="12" style="101" customWidth="1"/>
    <col min="11" max="16384" width="8.83203125" style="101"/>
  </cols>
  <sheetData>
    <row r="1" spans="1:10" ht="19">
      <c r="A1" s="386" t="s">
        <v>154</v>
      </c>
      <c r="B1" s="387"/>
      <c r="C1" s="387"/>
      <c r="D1" s="387"/>
      <c r="E1" s="387"/>
      <c r="F1" s="387"/>
      <c r="G1" s="387"/>
      <c r="H1" s="387"/>
      <c r="I1" s="387"/>
      <c r="J1" s="387"/>
    </row>
    <row r="3" spans="1:10" ht="16">
      <c r="A3" s="102" t="s">
        <v>155</v>
      </c>
    </row>
    <row r="5" spans="1:10">
      <c r="A5" s="103" t="s">
        <v>156</v>
      </c>
      <c r="B5" s="103" t="s">
        <v>157</v>
      </c>
      <c r="C5" s="103" t="s">
        <v>18</v>
      </c>
      <c r="D5" s="103" t="s">
        <v>158</v>
      </c>
    </row>
    <row r="6" spans="1:10">
      <c r="A6" s="101" t="s">
        <v>159</v>
      </c>
      <c r="B6" s="101">
        <v>43415</v>
      </c>
      <c r="C6" s="101">
        <v>43415</v>
      </c>
      <c r="D6" s="101">
        <v>0</v>
      </c>
    </row>
    <row r="7" spans="1:10">
      <c r="A7" s="101" t="s">
        <v>160</v>
      </c>
      <c r="B7" s="104">
        <v>0.66497754232408157</v>
      </c>
      <c r="C7" s="104">
        <v>0.95</v>
      </c>
      <c r="D7" s="104">
        <v>0.28502245767591838</v>
      </c>
    </row>
    <row r="8" spans="1:10">
      <c r="A8" s="101" t="s">
        <v>161</v>
      </c>
      <c r="B8" s="104">
        <v>0.41206956121156291</v>
      </c>
      <c r="C8" s="104">
        <v>0.95</v>
      </c>
      <c r="D8" s="104">
        <v>0.53793043878843716</v>
      </c>
    </row>
    <row r="11" spans="1:10" ht="16">
      <c r="A11" s="102" t="s">
        <v>162</v>
      </c>
    </row>
    <row r="13" spans="1:10" ht="32">
      <c r="A13" s="105" t="s">
        <v>123</v>
      </c>
      <c r="B13" s="105" t="s">
        <v>125</v>
      </c>
      <c r="C13" s="105" t="s">
        <v>126</v>
      </c>
      <c r="D13" s="105" t="s">
        <v>127</v>
      </c>
      <c r="E13" s="105" t="s">
        <v>163</v>
      </c>
      <c r="F13" s="105" t="s">
        <v>164</v>
      </c>
      <c r="G13" s="105" t="s">
        <v>165</v>
      </c>
      <c r="H13" s="105" t="s">
        <v>166</v>
      </c>
      <c r="I13" s="105" t="s">
        <v>167</v>
      </c>
      <c r="J13" s="105" t="s">
        <v>168</v>
      </c>
    </row>
    <row r="14" spans="1:10">
      <c r="A14" s="106" t="s">
        <v>130</v>
      </c>
      <c r="B14" s="106">
        <v>5502</v>
      </c>
      <c r="C14" s="106">
        <v>4621</v>
      </c>
      <c r="D14" s="106">
        <v>1140</v>
      </c>
      <c r="E14" s="107">
        <v>0.83987640857869861</v>
      </c>
      <c r="F14" s="107">
        <v>0.20719738276990179</v>
      </c>
      <c r="G14" s="107">
        <v>0.11012359142130131</v>
      </c>
      <c r="H14" s="107">
        <v>0.74280261723009811</v>
      </c>
      <c r="I14" s="106">
        <v>4692.7999999999993</v>
      </c>
      <c r="J14" s="107">
        <v>0.13100000000000001</v>
      </c>
    </row>
    <row r="15" spans="1:10">
      <c r="A15" s="106" t="s">
        <v>146</v>
      </c>
      <c r="B15" s="106">
        <v>4464</v>
      </c>
      <c r="C15" s="106">
        <v>3387</v>
      </c>
      <c r="D15" s="106">
        <v>1761</v>
      </c>
      <c r="E15" s="107">
        <v>0.75873655913978499</v>
      </c>
      <c r="F15" s="107">
        <v>0.39448924731182788</v>
      </c>
      <c r="G15" s="107">
        <v>0.19126344086021491</v>
      </c>
      <c r="H15" s="107">
        <v>0.55551075268817196</v>
      </c>
      <c r="I15" s="106">
        <v>3333.599999999999</v>
      </c>
      <c r="J15" s="107">
        <v>0.22500000000000001</v>
      </c>
    </row>
    <row r="16" spans="1:10">
      <c r="A16" s="106" t="s">
        <v>143</v>
      </c>
      <c r="B16" s="106">
        <v>1779</v>
      </c>
      <c r="C16" s="106">
        <v>139</v>
      </c>
      <c r="D16" s="106">
        <v>89</v>
      </c>
      <c r="E16" s="107">
        <v>7.8133783024170803E-2</v>
      </c>
      <c r="F16" s="107">
        <v>5.00281056773468E-2</v>
      </c>
      <c r="G16" s="107">
        <v>0.87186621697582911</v>
      </c>
      <c r="H16" s="107">
        <v>0.89997189432265312</v>
      </c>
      <c r="I16" s="106">
        <v>3152.1</v>
      </c>
      <c r="J16" s="107">
        <v>0.313</v>
      </c>
    </row>
    <row r="17" spans="1:10">
      <c r="A17" s="106" t="s">
        <v>145</v>
      </c>
      <c r="B17" s="106">
        <v>2232</v>
      </c>
      <c r="C17" s="106">
        <v>686</v>
      </c>
      <c r="D17" s="106">
        <v>542</v>
      </c>
      <c r="E17" s="107">
        <v>0.30734767025089599</v>
      </c>
      <c r="F17" s="107">
        <v>0.2428315412186379</v>
      </c>
      <c r="G17" s="107">
        <v>0.64265232974910391</v>
      </c>
      <c r="H17" s="107">
        <v>0.70716845878136203</v>
      </c>
      <c r="I17" s="106">
        <v>3012.8</v>
      </c>
      <c r="J17" s="107">
        <v>0.39700000000000002</v>
      </c>
    </row>
    <row r="18" spans="1:10">
      <c r="A18" s="106" t="s">
        <v>139</v>
      </c>
      <c r="B18" s="106">
        <v>6636</v>
      </c>
      <c r="C18" s="106">
        <v>5890</v>
      </c>
      <c r="D18" s="106">
        <v>4338</v>
      </c>
      <c r="E18" s="107">
        <v>0.88758288125376728</v>
      </c>
      <c r="F18" s="107">
        <v>0.65370705244122962</v>
      </c>
      <c r="G18" s="107">
        <v>6.2417118746232597E-2</v>
      </c>
      <c r="H18" s="107">
        <v>0.29629294755877028</v>
      </c>
      <c r="I18" s="106">
        <v>2380.4</v>
      </c>
      <c r="J18" s="107">
        <v>0.46400000000000002</v>
      </c>
    </row>
    <row r="19" spans="1:10">
      <c r="A19" s="106" t="s">
        <v>138</v>
      </c>
      <c r="B19" s="106">
        <v>6636</v>
      </c>
      <c r="C19" s="106">
        <v>6029</v>
      </c>
      <c r="D19" s="106">
        <v>4326</v>
      </c>
      <c r="E19" s="107">
        <v>0.90852923447860157</v>
      </c>
      <c r="F19" s="107">
        <v>0.65189873417721522</v>
      </c>
      <c r="G19" s="107">
        <v>4.1470765521398299E-2</v>
      </c>
      <c r="H19" s="107">
        <v>0.29810126582278468</v>
      </c>
      <c r="I19" s="106">
        <v>2253.3999999999992</v>
      </c>
      <c r="J19" s="107">
        <v>0.52700000000000002</v>
      </c>
    </row>
    <row r="20" spans="1:10">
      <c r="A20" s="106" t="s">
        <v>140</v>
      </c>
      <c r="B20" s="106">
        <v>1539</v>
      </c>
      <c r="C20" s="106">
        <v>479</v>
      </c>
      <c r="D20" s="106">
        <v>322</v>
      </c>
      <c r="E20" s="107">
        <v>0.31124106562703052</v>
      </c>
      <c r="F20" s="107">
        <v>0.20922677063027939</v>
      </c>
      <c r="G20" s="107">
        <v>0.63875893437296938</v>
      </c>
      <c r="H20" s="107">
        <v>0.74077322936972056</v>
      </c>
      <c r="I20" s="106">
        <v>2123.1</v>
      </c>
      <c r="J20" s="107">
        <v>0.58599999999999997</v>
      </c>
    </row>
    <row r="21" spans="1:10">
      <c r="A21" s="106" t="s">
        <v>132</v>
      </c>
      <c r="B21" s="106">
        <v>1372</v>
      </c>
      <c r="C21" s="106">
        <v>427</v>
      </c>
      <c r="D21" s="106">
        <v>179</v>
      </c>
      <c r="E21" s="107">
        <v>0.31122448979591838</v>
      </c>
      <c r="F21" s="107">
        <v>0.13046647230320699</v>
      </c>
      <c r="G21" s="107">
        <v>0.63877551020408152</v>
      </c>
      <c r="H21" s="107">
        <v>0.819533527696793</v>
      </c>
      <c r="I21" s="106">
        <v>2000.8</v>
      </c>
      <c r="J21" s="107">
        <v>0.64200000000000002</v>
      </c>
    </row>
    <row r="22" spans="1:10">
      <c r="A22" s="106" t="s">
        <v>128</v>
      </c>
      <c r="B22" s="106">
        <v>1372</v>
      </c>
      <c r="C22" s="106">
        <v>412</v>
      </c>
      <c r="D22" s="106">
        <v>406</v>
      </c>
      <c r="E22" s="107">
        <v>0.30029154518950429</v>
      </c>
      <c r="F22" s="107">
        <v>0.29591836734693872</v>
      </c>
      <c r="G22" s="107">
        <v>0.64970845481049566</v>
      </c>
      <c r="H22" s="107">
        <v>0.65408163265306118</v>
      </c>
      <c r="I22" s="106">
        <v>1788.8</v>
      </c>
      <c r="J22" s="107">
        <v>0.69200000000000006</v>
      </c>
    </row>
    <row r="23" spans="1:10">
      <c r="A23" s="106" t="s">
        <v>136</v>
      </c>
      <c r="B23" s="106">
        <v>1200</v>
      </c>
      <c r="C23" s="106">
        <v>419</v>
      </c>
      <c r="D23" s="106">
        <v>204</v>
      </c>
      <c r="E23" s="107">
        <v>0.34916666666666668</v>
      </c>
      <c r="F23" s="107">
        <v>0.17</v>
      </c>
      <c r="G23" s="107">
        <v>0.60083333333333333</v>
      </c>
      <c r="H23" s="107">
        <v>0.77999999999999992</v>
      </c>
      <c r="I23" s="106">
        <v>1657</v>
      </c>
      <c r="J23" s="107">
        <v>0.7390000000000001</v>
      </c>
    </row>
    <row r="24" spans="1:10">
      <c r="A24" s="106" t="s">
        <v>134</v>
      </c>
      <c r="B24" s="106">
        <v>1200</v>
      </c>
      <c r="C24" s="106">
        <v>433</v>
      </c>
      <c r="D24" s="106">
        <v>297</v>
      </c>
      <c r="E24" s="107">
        <v>0.36083333333333328</v>
      </c>
      <c r="F24" s="107">
        <v>0.2475</v>
      </c>
      <c r="G24" s="107">
        <v>0.58916666666666662</v>
      </c>
      <c r="H24" s="107">
        <v>0.7024999999999999</v>
      </c>
      <c r="I24" s="106">
        <v>1550</v>
      </c>
      <c r="J24" s="107">
        <v>0.78200000000000003</v>
      </c>
    </row>
    <row r="25" spans="1:10">
      <c r="A25" s="108" t="s">
        <v>135</v>
      </c>
      <c r="B25" s="108">
        <v>1372</v>
      </c>
      <c r="C25" s="108">
        <v>715</v>
      </c>
      <c r="D25" s="108">
        <v>551</v>
      </c>
      <c r="E25" s="109">
        <v>0.5211370262390671</v>
      </c>
      <c r="F25" s="109">
        <v>0.40160349854227401</v>
      </c>
      <c r="G25" s="109">
        <v>0.4288629737609328</v>
      </c>
      <c r="H25" s="109">
        <v>0.54839650145772589</v>
      </c>
      <c r="I25" s="108">
        <v>1340.799999999999</v>
      </c>
      <c r="J25" s="109">
        <v>0.82</v>
      </c>
    </row>
    <row r="26" spans="1:10">
      <c r="A26" s="108" t="s">
        <v>144</v>
      </c>
      <c r="B26" s="108">
        <v>1594</v>
      </c>
      <c r="C26" s="108">
        <v>954</v>
      </c>
      <c r="D26" s="108">
        <v>840</v>
      </c>
      <c r="E26" s="109">
        <v>0.59849435382685068</v>
      </c>
      <c r="F26" s="109">
        <v>0.52697616060225849</v>
      </c>
      <c r="G26" s="109">
        <v>0.35150564617314928</v>
      </c>
      <c r="H26" s="109">
        <v>0.42302383939774141</v>
      </c>
      <c r="I26" s="108">
        <v>1234.5999999999999</v>
      </c>
      <c r="J26" s="109">
        <v>0.85400000000000009</v>
      </c>
    </row>
    <row r="27" spans="1:10">
      <c r="A27" s="108" t="s">
        <v>141</v>
      </c>
      <c r="B27" s="108">
        <v>621</v>
      </c>
      <c r="C27" s="108">
        <v>40</v>
      </c>
      <c r="D27" s="108">
        <v>15</v>
      </c>
      <c r="E27" s="109">
        <v>6.4412238325281798E-2</v>
      </c>
      <c r="F27" s="109">
        <v>2.41545893719806E-2</v>
      </c>
      <c r="G27" s="109">
        <v>0.8855877616747182</v>
      </c>
      <c r="H27" s="109">
        <v>0.92584541062801917</v>
      </c>
      <c r="I27" s="108">
        <v>1124.9000000000001</v>
      </c>
      <c r="J27" s="109">
        <v>0.8859999999999999</v>
      </c>
    </row>
    <row r="28" spans="1:10">
      <c r="A28" s="108" t="s">
        <v>142</v>
      </c>
      <c r="B28" s="108">
        <v>621</v>
      </c>
      <c r="C28" s="108">
        <v>167</v>
      </c>
      <c r="D28" s="108">
        <v>46</v>
      </c>
      <c r="E28" s="109">
        <v>0.2689210950080515</v>
      </c>
      <c r="F28" s="109">
        <v>7.4074074074074001E-2</v>
      </c>
      <c r="G28" s="109">
        <v>0.68107890499194845</v>
      </c>
      <c r="H28" s="109">
        <v>0.87592592592592589</v>
      </c>
      <c r="I28" s="108">
        <v>966.9</v>
      </c>
      <c r="J28" s="109">
        <v>0.91299999999999992</v>
      </c>
    </row>
    <row r="29" spans="1:10">
      <c r="A29" s="108" t="s">
        <v>133</v>
      </c>
      <c r="B29" s="108">
        <v>2358</v>
      </c>
      <c r="C29" s="108">
        <v>2181</v>
      </c>
      <c r="D29" s="108">
        <v>1437</v>
      </c>
      <c r="E29" s="109">
        <v>0.9249363867684478</v>
      </c>
      <c r="F29" s="109">
        <v>0.60941475826972014</v>
      </c>
      <c r="G29" s="109">
        <v>2.5063613231552099E-2</v>
      </c>
      <c r="H29" s="109">
        <v>0.34058524173027982</v>
      </c>
      <c r="I29" s="108">
        <v>862.19999999999982</v>
      </c>
      <c r="J29" s="109">
        <v>0.93700000000000006</v>
      </c>
    </row>
    <row r="30" spans="1:10">
      <c r="A30" s="108" t="s">
        <v>137</v>
      </c>
      <c r="B30" s="108">
        <v>1539</v>
      </c>
      <c r="C30" s="108">
        <v>1275</v>
      </c>
      <c r="D30" s="108">
        <v>841</v>
      </c>
      <c r="E30" s="109">
        <v>0.82846003898635479</v>
      </c>
      <c r="F30" s="109">
        <v>0.54645873944119561</v>
      </c>
      <c r="G30" s="109">
        <v>0.1215399610136451</v>
      </c>
      <c r="H30" s="109">
        <v>0.40354126055880429</v>
      </c>
      <c r="I30" s="108">
        <v>808.0999999999998</v>
      </c>
      <c r="J30" s="109">
        <v>0.96</v>
      </c>
    </row>
    <row r="31" spans="1:10">
      <c r="A31" s="108" t="s">
        <v>152</v>
      </c>
      <c r="B31" s="108">
        <v>285</v>
      </c>
      <c r="C31" s="108">
        <v>33</v>
      </c>
      <c r="D31" s="108">
        <v>30</v>
      </c>
      <c r="E31" s="109">
        <v>0.1157894736842105</v>
      </c>
      <c r="F31" s="109">
        <v>0.10526315789473679</v>
      </c>
      <c r="G31" s="109">
        <v>0.8342105263157894</v>
      </c>
      <c r="H31" s="109">
        <v>0.84473684210526312</v>
      </c>
      <c r="I31" s="108">
        <v>478.5</v>
      </c>
      <c r="J31" s="109">
        <v>0.97299999999999998</v>
      </c>
    </row>
    <row r="32" spans="1:10">
      <c r="A32" s="108" t="s">
        <v>150</v>
      </c>
      <c r="B32" s="108">
        <v>250</v>
      </c>
      <c r="C32" s="108">
        <v>76</v>
      </c>
      <c r="D32" s="108">
        <v>53</v>
      </c>
      <c r="E32" s="109">
        <v>0.30399999999999999</v>
      </c>
      <c r="F32" s="109">
        <v>0.21199999999999999</v>
      </c>
      <c r="G32" s="109">
        <v>0.64599999999999991</v>
      </c>
      <c r="H32" s="109">
        <v>0.73799999999999999</v>
      </c>
      <c r="I32" s="108">
        <v>346</v>
      </c>
      <c r="J32" s="109">
        <v>0.98299999999999998</v>
      </c>
    </row>
    <row r="33" spans="1:10">
      <c r="A33" s="108" t="s">
        <v>151</v>
      </c>
      <c r="B33" s="108">
        <v>285</v>
      </c>
      <c r="C33" s="108">
        <v>129</v>
      </c>
      <c r="D33" s="108">
        <v>119</v>
      </c>
      <c r="E33" s="109">
        <v>0.45263157894736838</v>
      </c>
      <c r="F33" s="109">
        <v>0.41754385964912277</v>
      </c>
      <c r="G33" s="109">
        <v>0.49736842105263152</v>
      </c>
      <c r="H33" s="109">
        <v>0.53245614035087718</v>
      </c>
      <c r="I33" s="108">
        <v>293.5</v>
      </c>
      <c r="J33" s="109">
        <v>0.99099999999999999</v>
      </c>
    </row>
    <row r="34" spans="1:10">
      <c r="A34" s="108" t="s">
        <v>153</v>
      </c>
      <c r="B34" s="108">
        <v>275</v>
      </c>
      <c r="C34" s="108">
        <v>124</v>
      </c>
      <c r="D34" s="108">
        <v>113</v>
      </c>
      <c r="E34" s="109">
        <v>0.45090909090909093</v>
      </c>
      <c r="F34" s="109">
        <v>0.41090909090909089</v>
      </c>
      <c r="G34" s="109">
        <v>0.49909090909090897</v>
      </c>
      <c r="H34" s="109">
        <v>0.53909090909090907</v>
      </c>
      <c r="I34" s="108">
        <v>285.5</v>
      </c>
      <c r="J34" s="109">
        <v>0.99900000000000011</v>
      </c>
    </row>
    <row r="35" spans="1:10">
      <c r="A35" s="108" t="s">
        <v>149</v>
      </c>
      <c r="B35" s="108">
        <v>281</v>
      </c>
      <c r="C35" s="108">
        <v>252</v>
      </c>
      <c r="D35" s="108">
        <v>241</v>
      </c>
      <c r="E35" s="109">
        <v>0.89679715302491103</v>
      </c>
      <c r="F35" s="109">
        <v>0.85765124555160144</v>
      </c>
      <c r="G35" s="109">
        <v>5.3202846975088897E-2</v>
      </c>
      <c r="H35" s="109">
        <v>9.2348754448398504E-2</v>
      </c>
      <c r="I35" s="108">
        <v>40.899999999999977</v>
      </c>
      <c r="J35" s="109">
        <v>1</v>
      </c>
    </row>
    <row r="36" spans="1:10">
      <c r="A36" s="108" t="s">
        <v>169</v>
      </c>
      <c r="B36" s="108">
        <v>2</v>
      </c>
      <c r="C36" s="108">
        <v>2</v>
      </c>
      <c r="D36" s="108">
        <v>0</v>
      </c>
      <c r="E36" s="109">
        <v>1</v>
      </c>
      <c r="F36" s="109">
        <v>0</v>
      </c>
      <c r="G36" s="109">
        <v>-0.05</v>
      </c>
      <c r="H36" s="109">
        <v>0.95</v>
      </c>
      <c r="I36" s="108">
        <v>1.8</v>
      </c>
      <c r="J36" s="109">
        <v>1</v>
      </c>
    </row>
  </sheetData>
  <mergeCells count="1">
    <mergeCell ref="A1:J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204F-C06C-9042-A83D-0B5ABBC38DEF}">
  <dimension ref="A1:F28"/>
  <sheetViews>
    <sheetView topLeftCell="A4" zoomScale="186" workbookViewId="0">
      <selection activeCell="B9" sqref="B9"/>
    </sheetView>
  </sheetViews>
  <sheetFormatPr baseColWidth="10" defaultColWidth="8.83203125" defaultRowHeight="15"/>
  <cols>
    <col min="1" max="1" width="8" style="101" customWidth="1"/>
    <col min="2" max="2" width="35" style="101" customWidth="1"/>
    <col min="3" max="3" width="15" style="101" customWidth="1"/>
    <col min="4" max="4" width="18" style="101" customWidth="1"/>
    <col min="5" max="5" width="15" style="101" customWidth="1"/>
    <col min="6" max="6" width="12.83203125" style="101" bestFit="1" customWidth="1"/>
    <col min="7" max="16384" width="8.83203125" style="101"/>
  </cols>
  <sheetData>
    <row r="1" spans="1:6" ht="19">
      <c r="A1" s="386" t="s">
        <v>170</v>
      </c>
      <c r="B1" s="387"/>
      <c r="C1" s="387"/>
      <c r="D1" s="387"/>
      <c r="E1" s="387"/>
    </row>
    <row r="3" spans="1:6">
      <c r="A3" s="388" t="s">
        <v>171</v>
      </c>
      <c r="B3" s="387"/>
      <c r="C3" s="387"/>
      <c r="D3" s="387"/>
      <c r="E3" s="387"/>
    </row>
    <row r="5" spans="1:6">
      <c r="A5" s="103" t="s">
        <v>172</v>
      </c>
      <c r="B5" s="103" t="s">
        <v>123</v>
      </c>
      <c r="C5" s="103" t="s">
        <v>167</v>
      </c>
      <c r="D5" s="103" t="s">
        <v>173</v>
      </c>
      <c r="E5" s="103" t="s">
        <v>168</v>
      </c>
    </row>
    <row r="6" spans="1:6">
      <c r="A6" s="106">
        <v>1</v>
      </c>
      <c r="B6" s="106" t="s">
        <v>130</v>
      </c>
      <c r="C6" s="106">
        <v>4692.7999999999993</v>
      </c>
      <c r="D6" s="106">
        <v>4692.7999999999993</v>
      </c>
      <c r="E6" s="107">
        <v>0.13100000000000001</v>
      </c>
      <c r="F6" s="101" t="s">
        <v>174</v>
      </c>
    </row>
    <row r="7" spans="1:6">
      <c r="A7" s="106">
        <v>2</v>
      </c>
      <c r="B7" s="106" t="s">
        <v>146</v>
      </c>
      <c r="C7" s="106">
        <v>3333.599999999999</v>
      </c>
      <c r="D7" s="106">
        <v>8026.3999999999987</v>
      </c>
      <c r="E7" s="107">
        <v>0.22500000000000001</v>
      </c>
      <c r="F7" s="101" t="s">
        <v>174</v>
      </c>
    </row>
    <row r="8" spans="1:6">
      <c r="A8" s="106">
        <v>3</v>
      </c>
      <c r="B8" s="106" t="s">
        <v>143</v>
      </c>
      <c r="C8" s="106">
        <v>3152.1</v>
      </c>
      <c r="D8" s="106">
        <v>11178.5</v>
      </c>
      <c r="E8" s="107">
        <v>0.313</v>
      </c>
    </row>
    <row r="9" spans="1:6">
      <c r="A9" s="106">
        <v>4</v>
      </c>
      <c r="B9" s="106" t="s">
        <v>145</v>
      </c>
      <c r="C9" s="106">
        <v>3012.8</v>
      </c>
      <c r="D9" s="106">
        <v>14191.3</v>
      </c>
      <c r="E9" s="107">
        <v>0.39700000000000002</v>
      </c>
      <c r="F9" s="101" t="s">
        <v>175</v>
      </c>
    </row>
    <row r="10" spans="1:6">
      <c r="A10" s="106">
        <v>5</v>
      </c>
      <c r="B10" s="106" t="s">
        <v>139</v>
      </c>
      <c r="C10" s="106">
        <v>2380.4</v>
      </c>
      <c r="D10" s="106">
        <v>16571.7</v>
      </c>
      <c r="E10" s="107">
        <v>0.46400000000000002</v>
      </c>
      <c r="F10" s="101" t="s">
        <v>174</v>
      </c>
    </row>
    <row r="11" spans="1:6">
      <c r="A11" s="106">
        <v>6</v>
      </c>
      <c r="B11" s="106" t="s">
        <v>138</v>
      </c>
      <c r="C11" s="106">
        <v>2253.3999999999992</v>
      </c>
      <c r="D11" s="106">
        <v>18825.099999999999</v>
      </c>
      <c r="E11" s="107">
        <v>0.52700000000000002</v>
      </c>
      <c r="F11" s="101" t="s">
        <v>174</v>
      </c>
    </row>
    <row r="12" spans="1:6">
      <c r="A12" s="106">
        <v>7</v>
      </c>
      <c r="B12" s="106" t="s">
        <v>140</v>
      </c>
      <c r="C12" s="106">
        <v>2123.1</v>
      </c>
      <c r="D12" s="106">
        <v>20948.2</v>
      </c>
      <c r="E12" s="107">
        <v>0.58599999999999997</v>
      </c>
      <c r="F12" s="101" t="s">
        <v>175</v>
      </c>
    </row>
    <row r="13" spans="1:6">
      <c r="A13" s="106">
        <v>8</v>
      </c>
      <c r="B13" s="106" t="s">
        <v>132</v>
      </c>
      <c r="C13" s="106">
        <v>2000.8</v>
      </c>
      <c r="D13" s="106">
        <v>22949</v>
      </c>
      <c r="E13" s="107">
        <v>0.64200000000000002</v>
      </c>
    </row>
    <row r="14" spans="1:6">
      <c r="A14" s="106">
        <v>9</v>
      </c>
      <c r="B14" s="106" t="s">
        <v>128</v>
      </c>
      <c r="C14" s="106">
        <v>1788.8</v>
      </c>
      <c r="D14" s="106">
        <v>24737.8</v>
      </c>
      <c r="E14" s="107">
        <v>0.69200000000000006</v>
      </c>
      <c r="F14" s="101" t="s">
        <v>174</v>
      </c>
    </row>
    <row r="15" spans="1:6">
      <c r="A15" s="106">
        <v>10</v>
      </c>
      <c r="B15" s="106" t="s">
        <v>136</v>
      </c>
      <c r="C15" s="106">
        <v>1657</v>
      </c>
      <c r="D15" s="106">
        <v>26394.799999999999</v>
      </c>
      <c r="E15" s="107">
        <v>0.7390000000000001</v>
      </c>
      <c r="F15" s="101" t="s">
        <v>175</v>
      </c>
    </row>
    <row r="16" spans="1:6">
      <c r="A16" s="106">
        <v>11</v>
      </c>
      <c r="B16" s="106" t="s">
        <v>134</v>
      </c>
      <c r="C16" s="106">
        <v>1550</v>
      </c>
      <c r="D16" s="106">
        <v>27944.799999999999</v>
      </c>
      <c r="E16" s="107">
        <v>0.78200000000000003</v>
      </c>
    </row>
    <row r="17" spans="1:5">
      <c r="A17" s="108">
        <v>12</v>
      </c>
      <c r="B17" s="108" t="s">
        <v>135</v>
      </c>
      <c r="C17" s="108">
        <v>1340.799999999999</v>
      </c>
      <c r="D17" s="108">
        <v>29285.599999999991</v>
      </c>
      <c r="E17" s="109">
        <v>0.82</v>
      </c>
    </row>
    <row r="18" spans="1:5">
      <c r="A18" s="108">
        <v>13</v>
      </c>
      <c r="B18" s="108" t="s">
        <v>144</v>
      </c>
      <c r="C18" s="108">
        <v>1234.5999999999999</v>
      </c>
      <c r="D18" s="108">
        <v>30520.2</v>
      </c>
      <c r="E18" s="109">
        <v>0.85400000000000009</v>
      </c>
    </row>
    <row r="19" spans="1:5">
      <c r="A19" s="108">
        <v>14</v>
      </c>
      <c r="B19" s="108" t="s">
        <v>141</v>
      </c>
      <c r="C19" s="108">
        <v>1124.9000000000001</v>
      </c>
      <c r="D19" s="108">
        <v>31645.099999999991</v>
      </c>
      <c r="E19" s="109">
        <v>0.8859999999999999</v>
      </c>
    </row>
    <row r="20" spans="1:5">
      <c r="A20" s="108">
        <v>15</v>
      </c>
      <c r="B20" s="108" t="s">
        <v>142</v>
      </c>
      <c r="C20" s="108">
        <v>966.9</v>
      </c>
      <c r="D20" s="108">
        <v>32612</v>
      </c>
      <c r="E20" s="109">
        <v>0.91299999999999992</v>
      </c>
    </row>
    <row r="21" spans="1:5">
      <c r="A21" s="108">
        <v>16</v>
      </c>
      <c r="B21" s="108" t="s">
        <v>133</v>
      </c>
      <c r="C21" s="108">
        <v>862.19999999999982</v>
      </c>
      <c r="D21" s="108">
        <v>33474.199999999997</v>
      </c>
      <c r="E21" s="109">
        <v>0.93700000000000006</v>
      </c>
    </row>
    <row r="22" spans="1:5">
      <c r="A22" s="108">
        <v>17</v>
      </c>
      <c r="B22" s="108" t="s">
        <v>137</v>
      </c>
      <c r="C22" s="108">
        <v>808.0999999999998</v>
      </c>
      <c r="D22" s="108">
        <v>34282.300000000003</v>
      </c>
      <c r="E22" s="109">
        <v>0.96</v>
      </c>
    </row>
    <row r="23" spans="1:5">
      <c r="A23" s="108">
        <v>18</v>
      </c>
      <c r="B23" s="108" t="s">
        <v>152</v>
      </c>
      <c r="C23" s="108">
        <v>478.5</v>
      </c>
      <c r="D23" s="108">
        <v>34760.800000000003</v>
      </c>
      <c r="E23" s="109">
        <v>0.97299999999999998</v>
      </c>
    </row>
    <row r="24" spans="1:5">
      <c r="A24" s="108">
        <v>19</v>
      </c>
      <c r="B24" s="108" t="s">
        <v>150</v>
      </c>
      <c r="C24" s="108">
        <v>346</v>
      </c>
      <c r="D24" s="108">
        <v>35106.800000000003</v>
      </c>
      <c r="E24" s="109">
        <v>0.98299999999999998</v>
      </c>
    </row>
    <row r="25" spans="1:5">
      <c r="A25" s="108">
        <v>20</v>
      </c>
      <c r="B25" s="108" t="s">
        <v>151</v>
      </c>
      <c r="C25" s="108">
        <v>293.5</v>
      </c>
      <c r="D25" s="108">
        <v>35400.300000000003</v>
      </c>
      <c r="E25" s="109">
        <v>0.99099999999999999</v>
      </c>
    </row>
    <row r="26" spans="1:5">
      <c r="A26" s="108">
        <v>21</v>
      </c>
      <c r="B26" s="108" t="s">
        <v>153</v>
      </c>
      <c r="C26" s="108">
        <v>285.5</v>
      </c>
      <c r="D26" s="108">
        <v>35685.800000000003</v>
      </c>
      <c r="E26" s="109">
        <v>0.99900000000000011</v>
      </c>
    </row>
    <row r="27" spans="1:5">
      <c r="A27" s="108">
        <v>22</v>
      </c>
      <c r="B27" s="108" t="s">
        <v>149</v>
      </c>
      <c r="C27" s="108">
        <v>40.899999999999977</v>
      </c>
      <c r="D27" s="108">
        <v>35726.699999999997</v>
      </c>
      <c r="E27" s="109">
        <v>1</v>
      </c>
    </row>
    <row r="28" spans="1:5">
      <c r="A28" s="108">
        <v>23</v>
      </c>
      <c r="B28" s="108" t="s">
        <v>169</v>
      </c>
      <c r="C28" s="108">
        <v>1.8</v>
      </c>
      <c r="D28" s="108">
        <v>35728.5</v>
      </c>
      <c r="E28" s="109">
        <v>1</v>
      </c>
    </row>
  </sheetData>
  <mergeCells count="2">
    <mergeCell ref="A1:E1"/>
    <mergeCell ref="A3:E3"/>
  </mergeCells>
  <pageMargins left="0.75" right="0.75" top="1" bottom="1" header="0.5" footer="0.5"/>
  <pageSetup paperSize="9" orientation="portrait" horizontalDpi="0" verticalDpi="0"/>
  <headerFooter>
    <oddFooter>&amp;L_x000D_&amp;1#&amp;"Aptos"&amp;10&amp;K000000 Classification: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3BD3-C258-C242-BCEA-6B8CF4ECBCDC}">
  <dimension ref="A1:H16"/>
  <sheetViews>
    <sheetView workbookViewId="0">
      <selection activeCell="G24" sqref="G24"/>
    </sheetView>
  </sheetViews>
  <sheetFormatPr baseColWidth="10" defaultColWidth="11.5" defaultRowHeight="13"/>
  <cols>
    <col min="1" max="1" width="5.83203125" bestFit="1" customWidth="1"/>
    <col min="2" max="2" width="45" customWidth="1"/>
    <col min="3" max="3" width="22.33203125" hidden="1" customWidth="1"/>
    <col min="5" max="7" width="17" customWidth="1"/>
    <col min="8" max="8" width="35.33203125" customWidth="1"/>
  </cols>
  <sheetData>
    <row r="1" spans="1:8" ht="15">
      <c r="A1" s="118" t="s">
        <v>176</v>
      </c>
      <c r="B1" s="118" t="s">
        <v>177</v>
      </c>
      <c r="C1" s="118" t="s">
        <v>178</v>
      </c>
      <c r="D1" s="118" t="s">
        <v>179</v>
      </c>
      <c r="E1" s="118" t="s">
        <v>180</v>
      </c>
      <c r="F1" s="118" t="s">
        <v>181</v>
      </c>
      <c r="G1" s="118" t="s">
        <v>182</v>
      </c>
      <c r="H1" s="118" t="s">
        <v>47</v>
      </c>
    </row>
    <row r="2" spans="1:8" ht="45.5" customHeight="1">
      <c r="A2" s="119" t="s">
        <v>183</v>
      </c>
      <c r="B2" s="120" t="s">
        <v>184</v>
      </c>
      <c r="C2" s="126" t="s">
        <v>185</v>
      </c>
      <c r="D2" s="121" t="s">
        <v>186</v>
      </c>
      <c r="E2" s="120" t="s">
        <v>187</v>
      </c>
      <c r="F2" s="120" t="s">
        <v>188</v>
      </c>
      <c r="G2" s="130">
        <v>46058</v>
      </c>
      <c r="H2" s="131" t="s">
        <v>189</v>
      </c>
    </row>
    <row r="3" spans="1:8" ht="30">
      <c r="A3" s="119" t="s">
        <v>190</v>
      </c>
      <c r="B3" s="120" t="s">
        <v>191</v>
      </c>
      <c r="C3" s="126"/>
      <c r="D3" s="121" t="s">
        <v>186</v>
      </c>
      <c r="E3" s="120" t="s">
        <v>187</v>
      </c>
      <c r="F3" s="120" t="s">
        <v>192</v>
      </c>
      <c r="G3" s="130">
        <v>46058</v>
      </c>
      <c r="H3" s="131" t="s">
        <v>193</v>
      </c>
    </row>
    <row r="4" spans="1:8" ht="43">
      <c r="A4" s="119" t="s">
        <v>183</v>
      </c>
      <c r="B4" s="120" t="s">
        <v>194</v>
      </c>
      <c r="C4" s="126"/>
      <c r="D4" s="121" t="s">
        <v>186</v>
      </c>
      <c r="E4" s="120" t="s">
        <v>195</v>
      </c>
      <c r="F4" s="148" t="s">
        <v>188</v>
      </c>
      <c r="G4" s="130">
        <v>46062</v>
      </c>
      <c r="H4" s="131" t="s">
        <v>196</v>
      </c>
    </row>
    <row r="5" spans="1:8" ht="15">
      <c r="A5" s="119" t="s">
        <v>197</v>
      </c>
      <c r="B5" s="120" t="s">
        <v>198</v>
      </c>
      <c r="C5" s="126" t="s">
        <v>185</v>
      </c>
      <c r="D5" s="121" t="s">
        <v>186</v>
      </c>
      <c r="E5" s="120" t="s">
        <v>199</v>
      </c>
      <c r="F5" s="120" t="s">
        <v>192</v>
      </c>
      <c r="G5" s="132">
        <v>46054</v>
      </c>
      <c r="H5" s="123" t="s">
        <v>200</v>
      </c>
    </row>
    <row r="6" spans="1:8" ht="30">
      <c r="A6" s="119" t="s">
        <v>197</v>
      </c>
      <c r="B6" s="120" t="s">
        <v>201</v>
      </c>
      <c r="C6" s="126" t="s">
        <v>202</v>
      </c>
      <c r="D6" s="121" t="s">
        <v>186</v>
      </c>
      <c r="E6" s="120" t="s">
        <v>199</v>
      </c>
      <c r="F6" s="120" t="s">
        <v>192</v>
      </c>
      <c r="G6" s="132">
        <v>46054</v>
      </c>
      <c r="H6" s="122" t="s">
        <v>203</v>
      </c>
    </row>
    <row r="7" spans="1:8" ht="30">
      <c r="A7" s="119" t="s">
        <v>204</v>
      </c>
      <c r="B7" s="120" t="s">
        <v>205</v>
      </c>
      <c r="C7" s="126" t="s">
        <v>185</v>
      </c>
      <c r="D7" s="121" t="s">
        <v>186</v>
      </c>
      <c r="E7" s="120" t="s">
        <v>199</v>
      </c>
      <c r="F7" s="148" t="s">
        <v>188</v>
      </c>
      <c r="G7" s="132">
        <v>46054</v>
      </c>
      <c r="H7" s="122" t="s">
        <v>203</v>
      </c>
    </row>
    <row r="8" spans="1:8" ht="15">
      <c r="A8" s="119" t="s">
        <v>204</v>
      </c>
      <c r="B8" s="120" t="s">
        <v>206</v>
      </c>
      <c r="C8" s="126" t="s">
        <v>202</v>
      </c>
      <c r="D8" s="121" t="s">
        <v>186</v>
      </c>
      <c r="E8" s="120" t="s">
        <v>199</v>
      </c>
      <c r="F8" s="148" t="s">
        <v>188</v>
      </c>
      <c r="G8" s="132">
        <v>46054</v>
      </c>
      <c r="H8" s="122" t="s">
        <v>203</v>
      </c>
    </row>
    <row r="9" spans="1:8" ht="15">
      <c r="A9" s="119" t="s">
        <v>207</v>
      </c>
      <c r="B9" s="120" t="s">
        <v>208</v>
      </c>
      <c r="C9" s="126" t="s">
        <v>185</v>
      </c>
      <c r="D9" s="121" t="s">
        <v>186</v>
      </c>
      <c r="E9" s="120" t="s">
        <v>199</v>
      </c>
      <c r="F9" s="148" t="s">
        <v>188</v>
      </c>
      <c r="G9" s="132">
        <v>46054</v>
      </c>
    </row>
    <row r="10" spans="1:8" ht="15">
      <c r="A10" s="119" t="s">
        <v>207</v>
      </c>
      <c r="B10" s="120" t="s">
        <v>209</v>
      </c>
      <c r="C10" s="126" t="s">
        <v>202</v>
      </c>
      <c r="D10" s="121" t="s">
        <v>186</v>
      </c>
      <c r="E10" s="120" t="s">
        <v>210</v>
      </c>
      <c r="F10" s="148" t="s">
        <v>188</v>
      </c>
      <c r="G10" s="132">
        <v>46054</v>
      </c>
      <c r="H10" s="122" t="s">
        <v>203</v>
      </c>
    </row>
    <row r="11" spans="1:8" ht="15">
      <c r="A11" s="119" t="s">
        <v>211</v>
      </c>
      <c r="B11" s="120" t="s">
        <v>212</v>
      </c>
      <c r="C11" s="126" t="s">
        <v>185</v>
      </c>
      <c r="D11" s="124" t="s">
        <v>213</v>
      </c>
      <c r="E11" s="120" t="s">
        <v>199</v>
      </c>
      <c r="F11" s="148" t="s">
        <v>188</v>
      </c>
      <c r="G11" s="132">
        <v>46054</v>
      </c>
      <c r="H11" s="123" t="s">
        <v>200</v>
      </c>
    </row>
    <row r="12" spans="1:8" ht="15">
      <c r="A12" s="119" t="s">
        <v>211</v>
      </c>
      <c r="B12" s="120" t="s">
        <v>214</v>
      </c>
      <c r="C12" s="126" t="s">
        <v>202</v>
      </c>
      <c r="D12" s="124" t="s">
        <v>213</v>
      </c>
      <c r="E12" s="120" t="s">
        <v>199</v>
      </c>
      <c r="F12" s="148" t="s">
        <v>188</v>
      </c>
      <c r="G12" s="132">
        <v>46054</v>
      </c>
      <c r="H12" s="123" t="s">
        <v>200</v>
      </c>
    </row>
    <row r="13" spans="1:8" ht="15">
      <c r="A13" s="119" t="s">
        <v>215</v>
      </c>
      <c r="B13" s="120" t="s">
        <v>216</v>
      </c>
      <c r="C13" s="126" t="s">
        <v>185</v>
      </c>
      <c r="D13" s="124" t="s">
        <v>213</v>
      </c>
      <c r="E13" s="120" t="s">
        <v>199</v>
      </c>
      <c r="F13" s="120" t="s">
        <v>192</v>
      </c>
      <c r="G13" s="132">
        <v>46054</v>
      </c>
      <c r="H13" s="123" t="s">
        <v>200</v>
      </c>
    </row>
    <row r="14" spans="1:8" ht="15">
      <c r="A14" s="119" t="s">
        <v>215</v>
      </c>
      <c r="B14" s="120" t="s">
        <v>217</v>
      </c>
      <c r="C14" s="126" t="s">
        <v>202</v>
      </c>
      <c r="D14" s="124"/>
      <c r="E14" s="120"/>
      <c r="F14" s="120" t="s">
        <v>192</v>
      </c>
      <c r="G14" s="132">
        <v>46054</v>
      </c>
      <c r="H14" s="122"/>
    </row>
    <row r="15" spans="1:8" ht="15">
      <c r="A15" s="119" t="s">
        <v>218</v>
      </c>
      <c r="B15" s="120" t="s">
        <v>219</v>
      </c>
      <c r="C15" s="126" t="s">
        <v>185</v>
      </c>
      <c r="D15" s="125" t="s">
        <v>220</v>
      </c>
      <c r="E15" s="120" t="s">
        <v>199</v>
      </c>
      <c r="F15" s="120" t="s">
        <v>192</v>
      </c>
      <c r="G15" s="132">
        <v>46054</v>
      </c>
      <c r="H15" s="123" t="s">
        <v>200</v>
      </c>
    </row>
    <row r="16" spans="1:8" ht="15">
      <c r="A16" s="119" t="s">
        <v>221</v>
      </c>
      <c r="B16" s="120" t="s">
        <v>222</v>
      </c>
      <c r="C16" s="126" t="s">
        <v>185</v>
      </c>
      <c r="D16" s="125" t="s">
        <v>220</v>
      </c>
      <c r="E16" s="120" t="s">
        <v>199</v>
      </c>
      <c r="F16" s="120" t="s">
        <v>192</v>
      </c>
      <c r="G16" s="132">
        <v>46054</v>
      </c>
      <c r="H16" s="122" t="s">
        <v>203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847C-DA2F-42D4-A0BB-A24D710F09E7}">
  <dimension ref="B1:I18"/>
  <sheetViews>
    <sheetView zoomScale="144" workbookViewId="0">
      <selection activeCell="F11" sqref="F11"/>
    </sheetView>
  </sheetViews>
  <sheetFormatPr baseColWidth="10" defaultColWidth="11.5" defaultRowHeight="13"/>
  <cols>
    <col min="2" max="2" width="32.83203125" customWidth="1"/>
    <col min="3" max="4" width="7.5" customWidth="1"/>
    <col min="5" max="5" width="8" bestFit="1" customWidth="1"/>
    <col min="6" max="6" width="6.6640625" customWidth="1"/>
    <col min="7" max="7" width="11.33203125" customWidth="1"/>
    <col min="8" max="8" width="11.83203125" customWidth="1"/>
    <col min="9" max="9" width="69" bestFit="1" customWidth="1"/>
  </cols>
  <sheetData>
    <row r="1" spans="2:9" ht="14" thickBot="1"/>
    <row r="2" spans="2:9" ht="14">
      <c r="B2" s="391" t="s">
        <v>223</v>
      </c>
      <c r="C2" s="389" t="s">
        <v>224</v>
      </c>
      <c r="D2" s="389" t="s">
        <v>225</v>
      </c>
      <c r="E2" s="133"/>
      <c r="F2" s="389" t="s">
        <v>120</v>
      </c>
      <c r="G2" s="133" t="s">
        <v>226</v>
      </c>
      <c r="H2" s="133" t="s">
        <v>226</v>
      </c>
      <c r="I2" s="133"/>
    </row>
    <row r="3" spans="2:9" ht="14">
      <c r="B3" s="392"/>
      <c r="C3" s="390"/>
      <c r="D3" s="390"/>
      <c r="E3" s="134" t="s">
        <v>227</v>
      </c>
      <c r="F3" s="390"/>
      <c r="G3" s="134" t="s">
        <v>228</v>
      </c>
      <c r="H3" s="134" t="s">
        <v>229</v>
      </c>
      <c r="I3" s="134" t="s">
        <v>230</v>
      </c>
    </row>
    <row r="4" spans="2:9" ht="60">
      <c r="B4" s="135" t="s">
        <v>231</v>
      </c>
      <c r="C4" s="136">
        <v>0.82</v>
      </c>
      <c r="D4" s="136">
        <v>0.84</v>
      </c>
      <c r="E4" s="137">
        <v>0.85799999999999998</v>
      </c>
      <c r="F4" s="137">
        <v>0.86499999999999999</v>
      </c>
      <c r="G4" s="136">
        <v>0.95</v>
      </c>
      <c r="H4" s="145">
        <v>0.95</v>
      </c>
      <c r="I4" s="142" t="s">
        <v>232</v>
      </c>
    </row>
    <row r="5" spans="2:9" ht="45">
      <c r="B5" s="135" t="s">
        <v>233</v>
      </c>
      <c r="C5" s="136">
        <v>0.1</v>
      </c>
      <c r="D5" s="136">
        <v>0.22</v>
      </c>
      <c r="E5" s="136">
        <v>0.48599999999999999</v>
      </c>
      <c r="F5" s="137">
        <v>0.45500000000000002</v>
      </c>
      <c r="G5" s="147" t="s">
        <v>234</v>
      </c>
      <c r="H5" s="145">
        <v>0.95</v>
      </c>
      <c r="I5" s="141" t="s">
        <v>235</v>
      </c>
    </row>
    <row r="6" spans="2:9" ht="60">
      <c r="B6" s="135" t="s">
        <v>236</v>
      </c>
      <c r="C6" s="139" t="s">
        <v>237</v>
      </c>
      <c r="D6" s="139" t="s">
        <v>237</v>
      </c>
      <c r="E6" s="137">
        <v>0.85799999999999998</v>
      </c>
      <c r="F6" s="136">
        <v>0.86499999999999999</v>
      </c>
      <c r="G6" s="136">
        <v>0.9</v>
      </c>
      <c r="H6" s="145">
        <v>0.95</v>
      </c>
      <c r="I6" s="138" t="s">
        <v>238</v>
      </c>
    </row>
    <row r="7" spans="2:9" ht="45">
      <c r="B7" s="135" t="s">
        <v>239</v>
      </c>
      <c r="C7" s="139" t="s">
        <v>237</v>
      </c>
      <c r="D7" s="139" t="s">
        <v>237</v>
      </c>
      <c r="E7" s="137">
        <v>0.48599999999999999</v>
      </c>
      <c r="F7" s="140">
        <v>0.45500000000000002</v>
      </c>
      <c r="G7" s="144" t="s">
        <v>234</v>
      </c>
      <c r="H7" s="146">
        <v>0.95</v>
      </c>
      <c r="I7" s="141" t="s">
        <v>240</v>
      </c>
    </row>
    <row r="8" spans="2:9" ht="45">
      <c r="B8" s="175" t="s">
        <v>241</v>
      </c>
      <c r="C8" s="176"/>
      <c r="D8" s="176"/>
      <c r="E8" s="177">
        <v>0.65</v>
      </c>
      <c r="F8" s="177">
        <v>0.65</v>
      </c>
      <c r="G8" s="178" t="s">
        <v>234</v>
      </c>
      <c r="H8" s="179">
        <v>0.95</v>
      </c>
      <c r="I8" s="143" t="s">
        <v>242</v>
      </c>
    </row>
    <row r="9" spans="2:9" ht="14">
      <c r="B9" s="180" t="s">
        <v>243</v>
      </c>
      <c r="C9" s="174"/>
      <c r="D9" s="174"/>
      <c r="E9" s="174"/>
      <c r="F9" s="181">
        <v>1.4999999999999999E-2</v>
      </c>
      <c r="G9" s="174"/>
      <c r="H9" s="182">
        <v>0.95</v>
      </c>
      <c r="I9" s="174" t="s">
        <v>244</v>
      </c>
    </row>
    <row r="10" spans="2:9" ht="13" customHeight="1" thickBot="1">
      <c r="B10" s="183" t="s">
        <v>245</v>
      </c>
      <c r="C10" s="184"/>
      <c r="D10" s="184"/>
      <c r="E10" s="184"/>
      <c r="F10" s="185">
        <v>0.33</v>
      </c>
      <c r="G10" s="184"/>
      <c r="H10" s="186">
        <v>0.95</v>
      </c>
      <c r="I10" s="174" t="s">
        <v>244</v>
      </c>
    </row>
    <row r="11" spans="2:9" ht="13" customHeight="1"/>
    <row r="13" spans="2:9" ht="13" customHeight="1"/>
    <row r="14" spans="2:9" ht="13" customHeight="1"/>
    <row r="16" spans="2:9" ht="13" customHeight="1"/>
    <row r="18" ht="13" customHeight="1"/>
  </sheetData>
  <mergeCells count="4">
    <mergeCell ref="D2:D3"/>
    <mergeCell ref="F2:F3"/>
    <mergeCell ref="B2:B3"/>
    <mergeCell ref="C2:C3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94FD-51EF-8849-A36C-BDE7CF05AA7E}">
  <sheetPr>
    <tabColor rgb="FF1F3864"/>
  </sheetPr>
  <dimension ref="A1:O23"/>
  <sheetViews>
    <sheetView zoomScaleNormal="100" workbookViewId="0">
      <selection activeCell="L23" sqref="L23"/>
    </sheetView>
  </sheetViews>
  <sheetFormatPr baseColWidth="10" defaultColWidth="8.6640625" defaultRowHeight="15" customHeight="1"/>
  <cols>
    <col min="1" max="1" width="35.33203125" style="149" customWidth="1"/>
    <col min="2" max="10" width="18" style="149" customWidth="1"/>
    <col min="11" max="16384" width="8.6640625" style="149"/>
  </cols>
  <sheetData>
    <row r="1" spans="1:15" ht="20">
      <c r="A1" s="393" t="s">
        <v>246</v>
      </c>
      <c r="B1" s="393"/>
      <c r="C1" s="393"/>
      <c r="D1" s="393"/>
      <c r="E1" s="393"/>
      <c r="F1" s="393"/>
      <c r="G1" s="393"/>
      <c r="H1" s="393"/>
      <c r="I1" s="393"/>
      <c r="J1" s="393"/>
    </row>
    <row r="2" spans="1:15">
      <c r="A2" s="394" t="s">
        <v>247</v>
      </c>
      <c r="B2" s="394"/>
      <c r="C2" s="394"/>
      <c r="D2" s="394"/>
      <c r="E2" s="394"/>
      <c r="F2" s="394"/>
      <c r="G2" s="394"/>
      <c r="H2" s="394"/>
      <c r="I2" s="394"/>
      <c r="J2" s="394"/>
    </row>
    <row r="4" spans="1:15" ht="17">
      <c r="A4" s="395" t="s">
        <v>248</v>
      </c>
      <c r="B4" s="395"/>
      <c r="C4" s="395"/>
      <c r="D4" s="395"/>
      <c r="E4" s="395"/>
      <c r="F4" s="396" t="s">
        <v>249</v>
      </c>
      <c r="G4" s="396"/>
      <c r="H4" s="396"/>
      <c r="I4" s="396"/>
      <c r="J4" s="396"/>
    </row>
    <row r="6" spans="1:15">
      <c r="A6" s="188" t="s">
        <v>250</v>
      </c>
      <c r="B6" s="188" t="s">
        <v>251</v>
      </c>
      <c r="C6" s="188" t="s">
        <v>252</v>
      </c>
      <c r="D6" s="188" t="s">
        <v>253</v>
      </c>
      <c r="F6" s="188" t="s">
        <v>250</v>
      </c>
      <c r="G6" s="188" t="s">
        <v>254</v>
      </c>
      <c r="H6" s="188" t="s">
        <v>255</v>
      </c>
      <c r="I6" s="188" t="s">
        <v>256</v>
      </c>
    </row>
    <row r="7" spans="1:15" ht="20">
      <c r="A7" s="189">
        <v>1235</v>
      </c>
      <c r="B7" s="189">
        <v>65</v>
      </c>
      <c r="C7" s="189">
        <v>1165</v>
      </c>
      <c r="D7" s="189">
        <v>5</v>
      </c>
      <c r="F7" s="189">
        <v>1235</v>
      </c>
      <c r="G7" s="189">
        <v>1175</v>
      </c>
      <c r="H7" s="189">
        <v>5</v>
      </c>
      <c r="I7" s="189" t="s">
        <v>257</v>
      </c>
    </row>
    <row r="9" spans="1:15">
      <c r="A9" s="190" t="s">
        <v>258</v>
      </c>
      <c r="F9" s="190" t="s">
        <v>259</v>
      </c>
      <c r="O9" s="149">
        <f>65/1235*100</f>
        <v>5.2631578947368416</v>
      </c>
    </row>
    <row r="10" spans="1:15">
      <c r="A10" s="191" t="s">
        <v>260</v>
      </c>
      <c r="B10" s="192">
        <v>19</v>
      </c>
      <c r="C10" s="193" t="s">
        <v>261</v>
      </c>
      <c r="F10" s="191" t="s">
        <v>260</v>
      </c>
      <c r="G10" s="192">
        <v>1091</v>
      </c>
      <c r="H10" s="193" t="s">
        <v>262</v>
      </c>
    </row>
    <row r="11" spans="1:15">
      <c r="A11" s="194" t="s">
        <v>263</v>
      </c>
      <c r="B11" s="192">
        <v>39</v>
      </c>
      <c r="C11" s="193" t="s">
        <v>264</v>
      </c>
      <c r="F11" s="194" t="s">
        <v>263</v>
      </c>
      <c r="G11" s="192">
        <v>77</v>
      </c>
      <c r="H11" s="193" t="s">
        <v>265</v>
      </c>
    </row>
    <row r="12" spans="1:15">
      <c r="A12" s="195" t="s">
        <v>266</v>
      </c>
      <c r="B12" s="192">
        <v>7</v>
      </c>
      <c r="C12" s="193" t="s">
        <v>267</v>
      </c>
      <c r="F12" s="195" t="s">
        <v>266</v>
      </c>
      <c r="G12" s="192">
        <v>7</v>
      </c>
      <c r="H12" s="193" t="s">
        <v>268</v>
      </c>
    </row>
    <row r="14" spans="1:15" ht="16">
      <c r="A14" s="196" t="s">
        <v>269</v>
      </c>
      <c r="F14" s="197" t="s">
        <v>270</v>
      </c>
    </row>
    <row r="15" spans="1:15" ht="16">
      <c r="A15" s="196" t="s">
        <v>271</v>
      </c>
      <c r="F15" s="197" t="s">
        <v>272</v>
      </c>
    </row>
    <row r="16" spans="1:15">
      <c r="A16" s="187" t="s">
        <v>273</v>
      </c>
    </row>
    <row r="18" spans="1:7">
      <c r="A18" s="190" t="s">
        <v>22</v>
      </c>
      <c r="B18" s="190" t="s">
        <v>274</v>
      </c>
      <c r="F18" s="190" t="s">
        <v>22</v>
      </c>
      <c r="G18" s="190" t="s">
        <v>274</v>
      </c>
    </row>
    <row r="19" spans="1:7">
      <c r="A19" s="192" t="s">
        <v>260</v>
      </c>
      <c r="B19" s="192">
        <v>19</v>
      </c>
      <c r="F19" s="192" t="s">
        <v>260</v>
      </c>
      <c r="G19" s="192">
        <v>1091</v>
      </c>
    </row>
    <row r="20" spans="1:7">
      <c r="A20" s="192" t="s">
        <v>275</v>
      </c>
      <c r="B20" s="192">
        <v>39</v>
      </c>
      <c r="F20" s="192" t="s">
        <v>275</v>
      </c>
      <c r="G20" s="192">
        <v>77</v>
      </c>
    </row>
    <row r="21" spans="1:7">
      <c r="A21" s="192" t="s">
        <v>276</v>
      </c>
      <c r="B21" s="192">
        <v>7</v>
      </c>
      <c r="F21" s="192" t="s">
        <v>276</v>
      </c>
      <c r="G21" s="192">
        <v>7</v>
      </c>
    </row>
    <row r="22" spans="1:7">
      <c r="A22" s="192" t="s">
        <v>277</v>
      </c>
      <c r="B22" s="192">
        <v>1165</v>
      </c>
      <c r="F22" s="192" t="s">
        <v>255</v>
      </c>
      <c r="G22" s="192">
        <v>5</v>
      </c>
    </row>
    <row r="23" spans="1:7">
      <c r="A23" s="192" t="s">
        <v>253</v>
      </c>
      <c r="B23" s="192">
        <v>5</v>
      </c>
    </row>
  </sheetData>
  <mergeCells count="4">
    <mergeCell ref="A1:J1"/>
    <mergeCell ref="A2:J2"/>
    <mergeCell ref="A4:E4"/>
    <mergeCell ref="F4:J4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0CC2-C60D-904D-BFA5-16072AE66484}">
  <sheetPr>
    <tabColor rgb="FF1F3864"/>
  </sheetPr>
  <dimension ref="A1:J23"/>
  <sheetViews>
    <sheetView zoomScale="105" zoomScaleNormal="100" workbookViewId="0">
      <selection sqref="A1:J1"/>
    </sheetView>
  </sheetViews>
  <sheetFormatPr baseColWidth="10" defaultColWidth="8.6640625" defaultRowHeight="15" customHeight="1"/>
  <cols>
    <col min="1" max="10" width="18" style="149" customWidth="1"/>
    <col min="11" max="16384" width="8.6640625" style="149"/>
  </cols>
  <sheetData>
    <row r="1" spans="1:10" ht="20">
      <c r="A1" s="393" t="s">
        <v>278</v>
      </c>
      <c r="B1" s="393"/>
      <c r="C1" s="393"/>
      <c r="D1" s="393"/>
      <c r="E1" s="393"/>
      <c r="F1" s="393"/>
      <c r="G1" s="393"/>
      <c r="H1" s="393"/>
      <c r="I1" s="393"/>
      <c r="J1" s="393"/>
    </row>
    <row r="2" spans="1:10">
      <c r="A2" s="394" t="s">
        <v>279</v>
      </c>
      <c r="B2" s="394"/>
      <c r="C2" s="394"/>
      <c r="D2" s="394"/>
      <c r="E2" s="394"/>
      <c r="F2" s="394"/>
      <c r="G2" s="394"/>
      <c r="H2" s="394"/>
      <c r="I2" s="394"/>
      <c r="J2" s="394"/>
    </row>
    <row r="4" spans="1:10" ht="17">
      <c r="A4" s="395" t="s">
        <v>280</v>
      </c>
      <c r="B4" s="395"/>
      <c r="C4" s="395"/>
      <c r="D4" s="395"/>
      <c r="E4" s="395"/>
      <c r="F4" s="396" t="s">
        <v>281</v>
      </c>
      <c r="G4" s="396"/>
      <c r="H4" s="396"/>
      <c r="I4" s="396"/>
      <c r="J4" s="396"/>
    </row>
    <row r="6" spans="1:10">
      <c r="A6" s="188" t="s">
        <v>282</v>
      </c>
      <c r="B6" s="188" t="s">
        <v>283</v>
      </c>
      <c r="C6" s="188" t="s">
        <v>284</v>
      </c>
      <c r="D6" s="188" t="s">
        <v>285</v>
      </c>
      <c r="F6" s="188" t="s">
        <v>282</v>
      </c>
      <c r="G6" s="188" t="s">
        <v>286</v>
      </c>
      <c r="H6" s="188" t="s">
        <v>287</v>
      </c>
      <c r="I6" s="188" t="s">
        <v>256</v>
      </c>
    </row>
    <row r="7" spans="1:10" ht="20">
      <c r="A7" s="189">
        <v>2642</v>
      </c>
      <c r="B7" s="189">
        <v>2520</v>
      </c>
      <c r="C7" s="189">
        <v>120</v>
      </c>
      <c r="D7" s="189">
        <v>2</v>
      </c>
      <c r="F7" s="189">
        <v>2642</v>
      </c>
      <c r="G7" s="189">
        <v>2570</v>
      </c>
      <c r="H7" s="189">
        <v>2</v>
      </c>
      <c r="I7" s="189" t="s">
        <v>288</v>
      </c>
    </row>
    <row r="9" spans="1:10">
      <c r="A9" s="190" t="s">
        <v>289</v>
      </c>
      <c r="F9" s="190" t="s">
        <v>290</v>
      </c>
    </row>
    <row r="10" spans="1:10">
      <c r="A10" s="191" t="s">
        <v>260</v>
      </c>
      <c r="B10" s="192">
        <v>840</v>
      </c>
      <c r="C10" s="193" t="s">
        <v>291</v>
      </c>
      <c r="F10" s="191" t="s">
        <v>260</v>
      </c>
      <c r="G10" s="192">
        <v>1520</v>
      </c>
      <c r="H10" s="193" t="s">
        <v>292</v>
      </c>
    </row>
    <row r="11" spans="1:10">
      <c r="A11" s="194" t="s">
        <v>275</v>
      </c>
      <c r="B11" s="192">
        <v>1617</v>
      </c>
      <c r="C11" s="193" t="s">
        <v>293</v>
      </c>
      <c r="F11" s="194" t="s">
        <v>275</v>
      </c>
      <c r="G11" s="192">
        <v>1003</v>
      </c>
      <c r="H11" s="193" t="s">
        <v>294</v>
      </c>
    </row>
    <row r="12" spans="1:10">
      <c r="A12" s="195" t="s">
        <v>276</v>
      </c>
      <c r="B12" s="192">
        <v>63</v>
      </c>
      <c r="C12" s="193" t="s">
        <v>295</v>
      </c>
      <c r="F12" s="195" t="s">
        <v>276</v>
      </c>
      <c r="G12" s="192">
        <v>47</v>
      </c>
      <c r="H12" s="193" t="s">
        <v>296</v>
      </c>
    </row>
    <row r="14" spans="1:10" ht="16">
      <c r="A14" s="196" t="s">
        <v>297</v>
      </c>
      <c r="F14" s="197" t="s">
        <v>298</v>
      </c>
    </row>
    <row r="15" spans="1:10" ht="16">
      <c r="A15" s="196" t="s">
        <v>299</v>
      </c>
      <c r="F15" s="197" t="s">
        <v>300</v>
      </c>
    </row>
    <row r="16" spans="1:10">
      <c r="A16" s="187" t="s">
        <v>301</v>
      </c>
      <c r="F16" s="187" t="s">
        <v>302</v>
      </c>
    </row>
    <row r="18" spans="1:7">
      <c r="A18" s="190" t="s">
        <v>22</v>
      </c>
      <c r="B18" s="190" t="s">
        <v>274</v>
      </c>
      <c r="F18" s="190" t="s">
        <v>22</v>
      </c>
      <c r="G18" s="190" t="s">
        <v>274</v>
      </c>
    </row>
    <row r="19" spans="1:7">
      <c r="A19" s="192" t="s">
        <v>260</v>
      </c>
      <c r="B19" s="192">
        <v>840</v>
      </c>
      <c r="F19" s="192" t="s">
        <v>260</v>
      </c>
      <c r="G19" s="192">
        <v>1520</v>
      </c>
    </row>
    <row r="20" spans="1:7">
      <c r="A20" s="192" t="s">
        <v>275</v>
      </c>
      <c r="B20" s="192">
        <v>1617</v>
      </c>
      <c r="F20" s="192" t="s">
        <v>275</v>
      </c>
      <c r="G20" s="192">
        <v>1003</v>
      </c>
    </row>
    <row r="21" spans="1:7">
      <c r="A21" s="192" t="s">
        <v>276</v>
      </c>
      <c r="B21" s="192">
        <v>63</v>
      </c>
      <c r="F21" s="192" t="s">
        <v>276</v>
      </c>
      <c r="G21" s="192">
        <v>47</v>
      </c>
    </row>
    <row r="22" spans="1:7">
      <c r="A22" s="192" t="s">
        <v>303</v>
      </c>
      <c r="B22" s="192">
        <v>120</v>
      </c>
      <c r="F22" s="192" t="s">
        <v>287</v>
      </c>
      <c r="G22" s="192">
        <v>2</v>
      </c>
    </row>
    <row r="23" spans="1:7">
      <c r="A23" s="192" t="s">
        <v>285</v>
      </c>
      <c r="B23" s="192">
        <v>2</v>
      </c>
    </row>
  </sheetData>
  <mergeCells count="4">
    <mergeCell ref="A1:J1"/>
    <mergeCell ref="A2:J2"/>
    <mergeCell ref="A4:E4"/>
    <mergeCell ref="F4:J4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5226-31C2-D249-A36C-FD8EC13BC0FE}">
  <dimension ref="A1:L54"/>
  <sheetViews>
    <sheetView topLeftCell="A14" zoomScale="136" workbookViewId="0">
      <selection activeCell="A18" sqref="A18"/>
    </sheetView>
  </sheetViews>
  <sheetFormatPr baseColWidth="10" defaultColWidth="8.83203125" defaultRowHeight="15"/>
  <cols>
    <col min="1" max="7" width="25" style="101" customWidth="1"/>
    <col min="8" max="16384" width="8.83203125" style="101"/>
  </cols>
  <sheetData>
    <row r="1" spans="1:12" ht="19">
      <c r="A1" s="397" t="s">
        <v>629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2" spans="1:12">
      <c r="A2"/>
      <c r="B2"/>
      <c r="C2"/>
      <c r="D2"/>
      <c r="E2"/>
      <c r="F2"/>
      <c r="G2"/>
      <c r="H2"/>
      <c r="I2"/>
      <c r="J2"/>
      <c r="K2"/>
      <c r="L2"/>
    </row>
    <row r="3" spans="1:12">
      <c r="A3" s="304" t="s">
        <v>630</v>
      </c>
      <c r="B3"/>
      <c r="C3"/>
      <c r="D3"/>
      <c r="E3"/>
      <c r="F3"/>
      <c r="G3"/>
      <c r="H3"/>
      <c r="I3"/>
      <c r="J3"/>
      <c r="K3"/>
      <c r="L3"/>
    </row>
    <row r="4" spans="1:12">
      <c r="A4" s="305" t="s">
        <v>631</v>
      </c>
      <c r="B4" s="305" t="s">
        <v>632</v>
      </c>
      <c r="C4" s="305" t="s">
        <v>633</v>
      </c>
      <c r="D4" s="305" t="s">
        <v>634</v>
      </c>
      <c r="E4" s="305" t="s">
        <v>635</v>
      </c>
      <c r="F4" s="305" t="s">
        <v>636</v>
      </c>
      <c r="G4" s="305" t="s">
        <v>637</v>
      </c>
      <c r="H4" s="305" t="s">
        <v>638</v>
      </c>
      <c r="I4" s="305" t="s">
        <v>47</v>
      </c>
      <c r="J4"/>
      <c r="K4"/>
      <c r="L4"/>
    </row>
    <row r="5" spans="1:12">
      <c r="A5" s="306" t="s">
        <v>639</v>
      </c>
      <c r="B5" s="307" t="s">
        <v>640</v>
      </c>
      <c r="C5" s="308">
        <v>115</v>
      </c>
      <c r="D5" s="309">
        <v>0</v>
      </c>
      <c r="E5" s="309">
        <v>1</v>
      </c>
      <c r="F5" s="310">
        <v>0</v>
      </c>
      <c r="G5" s="310">
        <v>0</v>
      </c>
      <c r="H5" s="310">
        <v>0</v>
      </c>
      <c r="I5" s="311" t="s">
        <v>641</v>
      </c>
      <c r="J5"/>
      <c r="K5"/>
      <c r="L5"/>
    </row>
    <row r="6" spans="1:12">
      <c r="A6" s="306" t="s">
        <v>642</v>
      </c>
      <c r="B6" s="307" t="s">
        <v>643</v>
      </c>
      <c r="C6" s="308">
        <v>125</v>
      </c>
      <c r="D6" s="309">
        <v>8.0000000000000002E-3</v>
      </c>
      <c r="E6" s="309">
        <v>0.99199999999999999</v>
      </c>
      <c r="F6" s="310">
        <v>0</v>
      </c>
      <c r="G6" s="310">
        <v>8.0000000000000002E-3</v>
      </c>
      <c r="H6" s="310">
        <v>0</v>
      </c>
      <c r="I6" s="311" t="s">
        <v>641</v>
      </c>
      <c r="J6"/>
      <c r="K6"/>
      <c r="L6"/>
    </row>
    <row r="7" spans="1:12">
      <c r="A7" s="306" t="s">
        <v>644</v>
      </c>
      <c r="B7" s="307" t="s">
        <v>645</v>
      </c>
      <c r="C7" s="308">
        <v>18</v>
      </c>
      <c r="D7" s="309">
        <v>5.5555555555555552E-2</v>
      </c>
      <c r="E7" s="309">
        <v>0.94444444444444442</v>
      </c>
      <c r="F7" s="310">
        <v>5.5555555555555552E-2</v>
      </c>
      <c r="G7" s="310">
        <v>5.5555555555555552E-2</v>
      </c>
      <c r="H7" s="310">
        <v>5.5555555555555552E-2</v>
      </c>
      <c r="I7" s="311" t="s">
        <v>641</v>
      </c>
      <c r="J7"/>
      <c r="K7"/>
      <c r="L7"/>
    </row>
    <row r="8" spans="1:12">
      <c r="A8" s="306" t="s">
        <v>646</v>
      </c>
      <c r="B8" s="307" t="s">
        <v>647</v>
      </c>
      <c r="C8" s="308">
        <v>20</v>
      </c>
      <c r="D8" s="309">
        <v>0.1</v>
      </c>
      <c r="E8" s="309">
        <v>0.9</v>
      </c>
      <c r="F8" s="310">
        <v>0</v>
      </c>
      <c r="G8" s="310">
        <v>0.1</v>
      </c>
      <c r="H8" s="310">
        <v>0</v>
      </c>
      <c r="I8" s="311" t="s">
        <v>641</v>
      </c>
      <c r="J8"/>
      <c r="K8"/>
      <c r="L8"/>
    </row>
    <row r="9" spans="1:12">
      <c r="A9" s="306" t="s">
        <v>648</v>
      </c>
      <c r="B9" s="307" t="s">
        <v>648</v>
      </c>
      <c r="C9" s="308">
        <v>8</v>
      </c>
      <c r="D9" s="309">
        <v>0.125</v>
      </c>
      <c r="E9" s="309">
        <v>0.875</v>
      </c>
      <c r="F9" s="310">
        <v>0</v>
      </c>
      <c r="G9" s="310">
        <v>0.125</v>
      </c>
      <c r="H9" s="310">
        <v>0</v>
      </c>
      <c r="I9" s="311" t="s">
        <v>641</v>
      </c>
      <c r="J9"/>
      <c r="K9"/>
      <c r="L9"/>
    </row>
    <row r="10" spans="1:12">
      <c r="A10" s="306" t="s">
        <v>649</v>
      </c>
      <c r="B10" s="307" t="s">
        <v>650</v>
      </c>
      <c r="C10" s="308">
        <v>24</v>
      </c>
      <c r="D10" s="309">
        <v>0.20833333333333329</v>
      </c>
      <c r="E10" s="309">
        <v>0.79166666666666663</v>
      </c>
      <c r="F10" s="310">
        <v>0.16666666666666671</v>
      </c>
      <c r="G10" s="310">
        <v>4.1666666666666657E-2</v>
      </c>
      <c r="H10" s="310">
        <v>0</v>
      </c>
      <c r="I10" s="311" t="s">
        <v>641</v>
      </c>
      <c r="J10"/>
      <c r="K10"/>
      <c r="L10"/>
    </row>
    <row r="11" spans="1:12">
      <c r="A11" s="306" t="s">
        <v>651</v>
      </c>
      <c r="B11" s="307" t="s">
        <v>651</v>
      </c>
      <c r="C11" s="308">
        <v>5</v>
      </c>
      <c r="D11" s="309">
        <v>0.4</v>
      </c>
      <c r="E11" s="309">
        <v>0.6</v>
      </c>
      <c r="F11" s="310">
        <v>0.2</v>
      </c>
      <c r="G11" s="310">
        <v>0.4</v>
      </c>
      <c r="H11" s="310">
        <v>0.2</v>
      </c>
      <c r="I11" s="312" t="s">
        <v>652</v>
      </c>
      <c r="J11"/>
      <c r="K11"/>
      <c r="L11"/>
    </row>
    <row r="12" spans="1:12">
      <c r="A12" s="306" t="s">
        <v>653</v>
      </c>
      <c r="B12" s="307" t="s">
        <v>654</v>
      </c>
      <c r="C12" s="308">
        <v>34</v>
      </c>
      <c r="D12" s="309">
        <v>0.41176470588235292</v>
      </c>
      <c r="E12" s="309">
        <v>0.58823529411764708</v>
      </c>
      <c r="F12" s="310">
        <v>0.26470588235294118</v>
      </c>
      <c r="G12" s="310">
        <v>0.29411764705882348</v>
      </c>
      <c r="H12" s="310">
        <v>0.1470588235294118</v>
      </c>
      <c r="I12" s="312" t="s">
        <v>652</v>
      </c>
      <c r="J12"/>
      <c r="K12"/>
      <c r="L12"/>
    </row>
    <row r="13" spans="1:12">
      <c r="A13" s="306" t="s">
        <v>655</v>
      </c>
      <c r="B13" s="307" t="s">
        <v>656</v>
      </c>
      <c r="C13" s="308">
        <v>22</v>
      </c>
      <c r="D13" s="309">
        <v>0.45454545454545447</v>
      </c>
      <c r="E13" s="309">
        <v>0.54545454545454541</v>
      </c>
      <c r="F13" s="310">
        <v>0</v>
      </c>
      <c r="G13" s="310">
        <v>0.45454545454545447</v>
      </c>
      <c r="H13" s="310">
        <v>0</v>
      </c>
      <c r="I13" s="312" t="s">
        <v>652</v>
      </c>
      <c r="J13"/>
      <c r="K13"/>
      <c r="L13"/>
    </row>
    <row r="14" spans="1:12">
      <c r="A14" s="306" t="s">
        <v>657</v>
      </c>
      <c r="B14" s="307" t="s">
        <v>658</v>
      </c>
      <c r="C14" s="308">
        <v>13</v>
      </c>
      <c r="D14" s="309">
        <v>0.46153846153846162</v>
      </c>
      <c r="E14" s="309">
        <v>0.53846153846153844</v>
      </c>
      <c r="F14" s="310">
        <v>0</v>
      </c>
      <c r="G14" s="310">
        <v>0.46153846153846162</v>
      </c>
      <c r="H14" s="310">
        <v>0</v>
      </c>
      <c r="I14" s="312" t="s">
        <v>652</v>
      </c>
      <c r="J14"/>
      <c r="K14"/>
      <c r="L14"/>
    </row>
    <row r="15" spans="1:12">
      <c r="A15" s="306" t="s">
        <v>659</v>
      </c>
      <c r="B15" s="307" t="s">
        <v>660</v>
      </c>
      <c r="C15" s="308">
        <v>232</v>
      </c>
      <c r="D15" s="309">
        <v>0.52155172413793105</v>
      </c>
      <c r="E15" s="309">
        <v>0.47844827586206901</v>
      </c>
      <c r="F15" s="310">
        <v>0.48275862068965519</v>
      </c>
      <c r="G15" s="310">
        <v>7.7586206896551727E-2</v>
      </c>
      <c r="H15" s="310">
        <v>3.8793103448275863E-2</v>
      </c>
      <c r="I15" s="312" t="s">
        <v>652</v>
      </c>
      <c r="J15"/>
      <c r="K15"/>
      <c r="L15"/>
    </row>
    <row r="16" spans="1:12">
      <c r="A16" s="306" t="s">
        <v>661</v>
      </c>
      <c r="B16" s="307" t="s">
        <v>662</v>
      </c>
      <c r="C16" s="308">
        <v>51</v>
      </c>
      <c r="D16" s="309">
        <v>0.5490196078431373</v>
      </c>
      <c r="E16" s="309">
        <v>0.45098039215686281</v>
      </c>
      <c r="F16" s="310">
        <v>0.52941176470588236</v>
      </c>
      <c r="G16" s="310">
        <v>1.9607843137254902E-2</v>
      </c>
      <c r="H16" s="310">
        <v>0</v>
      </c>
      <c r="I16" s="312" t="s">
        <v>652</v>
      </c>
      <c r="J16"/>
      <c r="K16"/>
      <c r="L16"/>
    </row>
    <row r="17" spans="1:12">
      <c r="A17" s="306" t="s">
        <v>663</v>
      </c>
      <c r="B17" s="307" t="s">
        <v>664</v>
      </c>
      <c r="C17" s="308">
        <v>21</v>
      </c>
      <c r="D17" s="309">
        <v>0.5714285714285714</v>
      </c>
      <c r="E17" s="309">
        <v>0.42857142857142849</v>
      </c>
      <c r="F17" s="310">
        <v>0.52380952380952384</v>
      </c>
      <c r="G17" s="310">
        <v>9.5238095238095233E-2</v>
      </c>
      <c r="H17" s="310">
        <v>4.7619047619047623E-2</v>
      </c>
      <c r="I17" s="312" t="s">
        <v>652</v>
      </c>
      <c r="J17"/>
      <c r="K17"/>
      <c r="L17"/>
    </row>
    <row r="18" spans="1:12">
      <c r="A18" s="306" t="s">
        <v>665</v>
      </c>
      <c r="B18" s="307" t="s">
        <v>666</v>
      </c>
      <c r="C18" s="308">
        <v>12</v>
      </c>
      <c r="D18" s="309">
        <v>0.58333333333333337</v>
      </c>
      <c r="E18" s="309">
        <v>0.41666666666666669</v>
      </c>
      <c r="F18" s="310">
        <v>0.33333333333333331</v>
      </c>
      <c r="G18" s="310">
        <v>0.58333333333333337</v>
      </c>
      <c r="H18" s="313">
        <v>0.33333333333333331</v>
      </c>
      <c r="I18" s="312" t="s">
        <v>652</v>
      </c>
      <c r="J18"/>
      <c r="K18"/>
      <c r="L18"/>
    </row>
    <row r="19" spans="1:12">
      <c r="A19" s="306" t="s">
        <v>667</v>
      </c>
      <c r="B19" s="307" t="s">
        <v>668</v>
      </c>
      <c r="C19" s="308">
        <v>86</v>
      </c>
      <c r="D19" s="314">
        <v>0.63953488372093026</v>
      </c>
      <c r="E19" s="309">
        <v>0.36046511627906969</v>
      </c>
      <c r="F19" s="310">
        <v>0.62790697674418605</v>
      </c>
      <c r="G19" s="310">
        <v>6.9767441860465115E-2</v>
      </c>
      <c r="H19" s="310">
        <v>5.8139534883720929E-2</v>
      </c>
      <c r="I19" s="315" t="s">
        <v>669</v>
      </c>
      <c r="J19"/>
      <c r="K19"/>
      <c r="L19"/>
    </row>
    <row r="20" spans="1:12">
      <c r="A20" s="306" t="s">
        <v>670</v>
      </c>
      <c r="B20" s="307" t="s">
        <v>671</v>
      </c>
      <c r="C20" s="308">
        <v>43</v>
      </c>
      <c r="D20" s="314">
        <v>0.72093023255813948</v>
      </c>
      <c r="E20" s="314">
        <v>0.27906976744186052</v>
      </c>
      <c r="F20" s="310">
        <v>0.72093023255813948</v>
      </c>
      <c r="G20" s="310">
        <v>0</v>
      </c>
      <c r="H20" s="310">
        <v>0</v>
      </c>
      <c r="I20" s="315" t="s">
        <v>669</v>
      </c>
      <c r="J20"/>
      <c r="K20"/>
      <c r="L20"/>
    </row>
    <row r="21" spans="1:12">
      <c r="A21" s="306" t="s">
        <v>672</v>
      </c>
      <c r="B21" s="307" t="s">
        <v>673</v>
      </c>
      <c r="C21" s="308">
        <v>35</v>
      </c>
      <c r="D21" s="314">
        <v>0.74285714285714288</v>
      </c>
      <c r="E21" s="314">
        <v>0.25714285714285712</v>
      </c>
      <c r="F21" s="310">
        <v>5.7142857142857141E-2</v>
      </c>
      <c r="G21" s="310">
        <v>0.74285714285714288</v>
      </c>
      <c r="H21" s="310">
        <v>5.7142857142857141E-2</v>
      </c>
      <c r="I21" s="315" t="s">
        <v>669</v>
      </c>
      <c r="J21"/>
      <c r="K21"/>
      <c r="L21"/>
    </row>
    <row r="22" spans="1:12">
      <c r="A22" s="306" t="s">
        <v>674</v>
      </c>
      <c r="B22" s="307" t="s">
        <v>675</v>
      </c>
      <c r="C22" s="308">
        <v>1649</v>
      </c>
      <c r="D22" s="314">
        <v>0.76046088538508183</v>
      </c>
      <c r="E22" s="314">
        <v>0.23953911461491811</v>
      </c>
      <c r="F22" s="310">
        <v>0.74166161309884782</v>
      </c>
      <c r="G22" s="310">
        <v>0.1394784718010916</v>
      </c>
      <c r="H22" s="310">
        <v>0.1206791995148575</v>
      </c>
      <c r="I22" s="315" t="s">
        <v>669</v>
      </c>
      <c r="J22"/>
      <c r="K22"/>
      <c r="L22"/>
    </row>
    <row r="23" spans="1:12">
      <c r="A23" s="306" t="s">
        <v>676</v>
      </c>
      <c r="B23" s="307" t="s">
        <v>677</v>
      </c>
      <c r="C23" s="308">
        <v>98</v>
      </c>
      <c r="D23" s="314">
        <v>0.7857142857142857</v>
      </c>
      <c r="E23" s="314">
        <v>0.2142857142857143</v>
      </c>
      <c r="F23" s="310">
        <v>0.7857142857142857</v>
      </c>
      <c r="G23" s="310">
        <v>8.1632653061224483E-2</v>
      </c>
      <c r="H23" s="310">
        <v>8.1632653061224483E-2</v>
      </c>
      <c r="I23" s="315" t="s">
        <v>669</v>
      </c>
      <c r="J23"/>
      <c r="K23"/>
      <c r="L23"/>
    </row>
    <row r="24" spans="1:12">
      <c r="A24" s="306" t="s">
        <v>678</v>
      </c>
      <c r="B24" s="307" t="s">
        <v>679</v>
      </c>
      <c r="C24" s="308">
        <v>5</v>
      </c>
      <c r="D24" s="314">
        <v>0.8</v>
      </c>
      <c r="E24" s="314">
        <v>0.2</v>
      </c>
      <c r="F24" s="310">
        <v>0.8</v>
      </c>
      <c r="G24" s="310">
        <v>0.8</v>
      </c>
      <c r="H24" s="313">
        <v>0.8</v>
      </c>
      <c r="I24" s="315" t="s">
        <v>669</v>
      </c>
      <c r="J24"/>
      <c r="K24"/>
      <c r="L24"/>
    </row>
    <row r="25" spans="1:12">
      <c r="A25" s="306" t="s">
        <v>680</v>
      </c>
      <c r="B25" s="307" t="s">
        <v>681</v>
      </c>
      <c r="C25" s="308">
        <v>21</v>
      </c>
      <c r="D25" s="313">
        <v>0.80952380952380953</v>
      </c>
      <c r="E25" s="314">
        <v>0.19047619047619049</v>
      </c>
      <c r="F25" s="310">
        <v>0.76190476190476186</v>
      </c>
      <c r="G25" s="310">
        <v>0.14285714285714279</v>
      </c>
      <c r="H25" s="310">
        <v>9.5238095238095233E-2</v>
      </c>
      <c r="I25" s="316" t="s">
        <v>682</v>
      </c>
      <c r="J25"/>
      <c r="K25"/>
      <c r="L25"/>
    </row>
    <row r="26" spans="1:12">
      <c r="A26" s="306" t="s">
        <v>683</v>
      </c>
      <c r="B26" s="307" t="s">
        <v>684</v>
      </c>
      <c r="C26" s="308">
        <v>19</v>
      </c>
      <c r="D26" s="313">
        <v>0.84210526315789469</v>
      </c>
      <c r="E26" s="314">
        <v>0.15789473684210531</v>
      </c>
      <c r="F26" s="310">
        <v>0.26315789473684209</v>
      </c>
      <c r="G26" s="310">
        <v>0.84210526315789469</v>
      </c>
      <c r="H26" s="310">
        <v>0.26315789473684209</v>
      </c>
      <c r="I26" s="316" t="s">
        <v>682</v>
      </c>
      <c r="J26"/>
      <c r="K26"/>
      <c r="L26"/>
    </row>
    <row r="27" spans="1:12">
      <c r="A27" s="306" t="s">
        <v>685</v>
      </c>
      <c r="B27" s="307" t="s">
        <v>686</v>
      </c>
      <c r="C27" s="308">
        <v>269</v>
      </c>
      <c r="D27" s="313">
        <v>0.85501858736059477</v>
      </c>
      <c r="E27" s="313">
        <v>0.1449814126394052</v>
      </c>
      <c r="F27" s="310">
        <v>0.83271375464684017</v>
      </c>
      <c r="G27" s="310">
        <v>3.3457249070631967E-2</v>
      </c>
      <c r="H27" s="310">
        <v>1.1152416356877319E-2</v>
      </c>
      <c r="I27" s="316" t="s">
        <v>682</v>
      </c>
      <c r="J27"/>
      <c r="K27"/>
      <c r="L27"/>
    </row>
    <row r="28" spans="1:12">
      <c r="A28" s="306" t="s">
        <v>687</v>
      </c>
      <c r="B28" s="307" t="s">
        <v>688</v>
      </c>
      <c r="C28" s="308">
        <v>14</v>
      </c>
      <c r="D28" s="313">
        <v>0.8571428571428571</v>
      </c>
      <c r="E28" s="313">
        <v>0.14285714285714279</v>
      </c>
      <c r="F28" s="310">
        <v>0</v>
      </c>
      <c r="G28" s="310">
        <v>0.8571428571428571</v>
      </c>
      <c r="H28" s="310">
        <v>0</v>
      </c>
      <c r="I28" s="316" t="s">
        <v>682</v>
      </c>
      <c r="J28"/>
      <c r="K28"/>
      <c r="L28"/>
    </row>
    <row r="29" spans="1:12">
      <c r="A29" s="306" t="s">
        <v>689</v>
      </c>
      <c r="B29" s="307" t="s">
        <v>690</v>
      </c>
      <c r="C29" s="308">
        <v>56</v>
      </c>
      <c r="D29" s="313">
        <v>0.8571428571428571</v>
      </c>
      <c r="E29" s="313">
        <v>0.14285714285714279</v>
      </c>
      <c r="F29" s="310">
        <v>0.4642857142857143</v>
      </c>
      <c r="G29" s="310">
        <v>0.75</v>
      </c>
      <c r="H29" s="313">
        <v>0.35714285714285721</v>
      </c>
      <c r="I29" s="316" t="s">
        <v>682</v>
      </c>
      <c r="J29"/>
      <c r="K29"/>
      <c r="L29"/>
    </row>
    <row r="30" spans="1:12">
      <c r="A30" s="306" t="s">
        <v>691</v>
      </c>
      <c r="B30" s="307" t="s">
        <v>692</v>
      </c>
      <c r="C30" s="308">
        <v>825</v>
      </c>
      <c r="D30" s="313">
        <v>0.89090909090909087</v>
      </c>
      <c r="E30" s="313">
        <v>0.1090909090909091</v>
      </c>
      <c r="F30" s="310">
        <v>0.79515151515151516</v>
      </c>
      <c r="G30" s="310">
        <v>0.81212121212121213</v>
      </c>
      <c r="H30" s="313">
        <v>0.71636363636363631</v>
      </c>
      <c r="I30" s="316" t="s">
        <v>682</v>
      </c>
      <c r="J30"/>
      <c r="K30"/>
      <c r="L30"/>
    </row>
    <row r="31" spans="1:12">
      <c r="A31" s="306" t="s">
        <v>693</v>
      </c>
      <c r="B31" s="307" t="s">
        <v>693</v>
      </c>
      <c r="C31" s="308">
        <v>5</v>
      </c>
      <c r="D31" s="313">
        <v>1</v>
      </c>
      <c r="E31" s="313">
        <v>0</v>
      </c>
      <c r="F31" s="310">
        <v>1</v>
      </c>
      <c r="G31" s="310">
        <v>1</v>
      </c>
      <c r="H31" s="313">
        <v>1</v>
      </c>
      <c r="I31" s="316" t="s">
        <v>682</v>
      </c>
      <c r="J31"/>
      <c r="K31"/>
      <c r="L31"/>
    </row>
    <row r="32" spans="1:12">
      <c r="A32" s="306" t="s">
        <v>694</v>
      </c>
      <c r="B32" s="307" t="s">
        <v>694</v>
      </c>
      <c r="C32" s="308">
        <v>8</v>
      </c>
      <c r="D32" s="313">
        <v>1</v>
      </c>
      <c r="E32" s="313">
        <v>0</v>
      </c>
      <c r="F32" s="310">
        <v>0.875</v>
      </c>
      <c r="G32" s="310">
        <v>0.375</v>
      </c>
      <c r="H32" s="310">
        <v>0.25</v>
      </c>
      <c r="I32" s="316" t="s">
        <v>682</v>
      </c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/>
      <c r="B44"/>
      <c r="C44"/>
      <c r="D44"/>
      <c r="E44"/>
      <c r="F44"/>
      <c r="G44"/>
      <c r="H44"/>
      <c r="I44"/>
      <c r="J44"/>
      <c r="K44"/>
      <c r="L44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  <c r="I47"/>
      <c r="J47"/>
      <c r="K47"/>
      <c r="L47"/>
    </row>
    <row r="48" spans="1:12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  <row r="50" spans="1:12">
      <c r="A50"/>
      <c r="B50"/>
      <c r="C50"/>
      <c r="D50"/>
      <c r="E50"/>
      <c r="F50"/>
      <c r="G50"/>
      <c r="H50"/>
      <c r="I50"/>
      <c r="J50"/>
      <c r="K50"/>
      <c r="L50"/>
    </row>
    <row r="51" spans="1:12">
      <c r="A51"/>
      <c r="B51"/>
      <c r="C51"/>
      <c r="D51"/>
      <c r="E51"/>
      <c r="F51"/>
      <c r="G51"/>
      <c r="H51"/>
      <c r="I51"/>
      <c r="J51"/>
      <c r="K51"/>
      <c r="L51"/>
    </row>
    <row r="52" spans="1:12">
      <c r="A52"/>
      <c r="B52"/>
      <c r="C52"/>
      <c r="D52"/>
      <c r="E52"/>
      <c r="F52"/>
      <c r="G52"/>
      <c r="H52"/>
      <c r="I52"/>
      <c r="J52"/>
      <c r="K52"/>
      <c r="L52"/>
    </row>
    <row r="53" spans="1:12">
      <c r="A53"/>
      <c r="B53"/>
      <c r="C53"/>
      <c r="D53"/>
      <c r="E53"/>
      <c r="F53"/>
      <c r="G53"/>
      <c r="H53"/>
      <c r="I53"/>
      <c r="J53"/>
      <c r="K53"/>
      <c r="L53"/>
    </row>
    <row r="54" spans="1:12">
      <c r="A54"/>
      <c r="B54"/>
      <c r="C54"/>
      <c r="D54"/>
      <c r="E54"/>
      <c r="F54"/>
      <c r="G54"/>
      <c r="H54"/>
      <c r="I54"/>
      <c r="J54"/>
      <c r="K54"/>
      <c r="L54"/>
    </row>
  </sheetData>
  <mergeCells count="1">
    <mergeCell ref="A1:L1"/>
  </mergeCells>
  <pageMargins left="0.75" right="0.75" top="1" bottom="1" header="0.5" footer="0.5"/>
  <headerFooter>
    <oddFooter>&amp;L&amp;"Aptos"&amp;10 &amp;K000000_x000D_# Classification: Internal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FFB9-0265-5B4E-BF30-BD53E9E5813E}">
  <dimension ref="A1:E61"/>
  <sheetViews>
    <sheetView topLeftCell="A30" workbookViewId="0">
      <selection sqref="A1:E1"/>
    </sheetView>
  </sheetViews>
  <sheetFormatPr baseColWidth="10" defaultColWidth="8.83203125" defaultRowHeight="15"/>
  <cols>
    <col min="1" max="1" width="35" style="101" customWidth="1"/>
    <col min="2" max="2" width="25" style="101" customWidth="1"/>
    <col min="3" max="3" width="30" style="101" customWidth="1"/>
    <col min="4" max="4" width="22" style="101" customWidth="1"/>
    <col min="5" max="5" width="25" style="101" customWidth="1"/>
    <col min="6" max="16384" width="8.83203125" style="101"/>
  </cols>
  <sheetData>
    <row r="1" spans="1:5" ht="28" customHeight="1">
      <c r="A1" s="398" t="s">
        <v>304</v>
      </c>
      <c r="B1" s="387"/>
      <c r="C1" s="387"/>
      <c r="D1" s="387"/>
      <c r="E1" s="387"/>
    </row>
    <row r="3" spans="1:5" ht="16" customHeight="1">
      <c r="A3" s="208" t="s">
        <v>305</v>
      </c>
    </row>
    <row r="4" spans="1:5">
      <c r="A4" s="205" t="s">
        <v>306</v>
      </c>
    </row>
    <row r="5" spans="1:5">
      <c r="A5" s="205" t="s">
        <v>307</v>
      </c>
    </row>
    <row r="6" spans="1:5">
      <c r="A6" s="205" t="s">
        <v>308</v>
      </c>
    </row>
    <row r="7" spans="1:5">
      <c r="A7" s="205"/>
    </row>
    <row r="8" spans="1:5">
      <c r="A8" s="209" t="s">
        <v>309</v>
      </c>
    </row>
    <row r="9" spans="1:5">
      <c r="A9" s="205" t="s">
        <v>310</v>
      </c>
    </row>
    <row r="10" spans="1:5">
      <c r="A10" s="209" t="s">
        <v>311</v>
      </c>
    </row>
    <row r="13" spans="1:5" ht="16" customHeight="1">
      <c r="A13" s="208" t="s">
        <v>312</v>
      </c>
    </row>
    <row r="14" spans="1:5">
      <c r="A14" s="205" t="s">
        <v>313</v>
      </c>
    </row>
    <row r="15" spans="1:5">
      <c r="A15" s="205" t="s">
        <v>314</v>
      </c>
    </row>
    <row r="16" spans="1:5">
      <c r="A16" s="205" t="s">
        <v>315</v>
      </c>
    </row>
    <row r="17" spans="1:3">
      <c r="A17" s="205" t="s">
        <v>316</v>
      </c>
    </row>
    <row r="18" spans="1:3">
      <c r="A18" s="205" t="s">
        <v>317</v>
      </c>
    </row>
    <row r="21" spans="1:3" ht="19" customHeight="1">
      <c r="A21" s="210" t="s">
        <v>318</v>
      </c>
    </row>
    <row r="22" spans="1:3">
      <c r="A22" s="211" t="s">
        <v>156</v>
      </c>
      <c r="B22" s="211" t="s">
        <v>319</v>
      </c>
      <c r="C22" s="211" t="s">
        <v>320</v>
      </c>
    </row>
    <row r="23" spans="1:3">
      <c r="A23" s="207" t="s">
        <v>321</v>
      </c>
      <c r="B23" s="207" t="s">
        <v>322</v>
      </c>
      <c r="C23" s="207" t="s">
        <v>323</v>
      </c>
    </row>
    <row r="24" spans="1:3">
      <c r="A24" s="207" t="s">
        <v>324</v>
      </c>
      <c r="B24" s="207" t="s">
        <v>325</v>
      </c>
      <c r="C24" s="207" t="s">
        <v>326</v>
      </c>
    </row>
    <row r="25" spans="1:3">
      <c r="A25" s="207" t="s">
        <v>327</v>
      </c>
      <c r="B25" s="207" t="s">
        <v>328</v>
      </c>
      <c r="C25" s="212" t="s">
        <v>329</v>
      </c>
    </row>
    <row r="26" spans="1:3">
      <c r="A26" s="207" t="s">
        <v>330</v>
      </c>
      <c r="B26" s="207" t="s">
        <v>331</v>
      </c>
      <c r="C26" s="212" t="s">
        <v>332</v>
      </c>
    </row>
    <row r="27" spans="1:3">
      <c r="A27" s="207" t="s">
        <v>333</v>
      </c>
      <c r="B27" s="207" t="s">
        <v>334</v>
      </c>
      <c r="C27" s="212" t="s">
        <v>335</v>
      </c>
    </row>
    <row r="28" spans="1:3">
      <c r="A28" s="207" t="s">
        <v>336</v>
      </c>
      <c r="B28" s="207" t="s">
        <v>337</v>
      </c>
      <c r="C28" s="207" t="s">
        <v>338</v>
      </c>
    </row>
    <row r="29" spans="1:3">
      <c r="A29" s="207" t="s">
        <v>339</v>
      </c>
      <c r="B29" s="207" t="s">
        <v>340</v>
      </c>
      <c r="C29" s="207" t="s">
        <v>341</v>
      </c>
    </row>
    <row r="30" spans="1:3">
      <c r="A30" s="207" t="s">
        <v>342</v>
      </c>
      <c r="B30" s="207" t="s">
        <v>343</v>
      </c>
      <c r="C30" s="207" t="s">
        <v>344</v>
      </c>
    </row>
    <row r="31" spans="1:3">
      <c r="A31" s="207" t="s">
        <v>345</v>
      </c>
      <c r="B31" s="207" t="s">
        <v>346</v>
      </c>
      <c r="C31" s="207" t="s">
        <v>347</v>
      </c>
    </row>
    <row r="34" spans="1:5">
      <c r="A34" s="206" t="s">
        <v>348</v>
      </c>
    </row>
    <row r="35" spans="1:5">
      <c r="A35" s="205" t="s">
        <v>349</v>
      </c>
    </row>
    <row r="36" spans="1:5">
      <c r="A36" s="205" t="s">
        <v>350</v>
      </c>
    </row>
    <row r="37" spans="1:5">
      <c r="A37" s="205" t="s">
        <v>351</v>
      </c>
    </row>
    <row r="38" spans="1:5">
      <c r="A38" s="205" t="s">
        <v>352</v>
      </c>
    </row>
    <row r="41" spans="1:5">
      <c r="A41" s="206" t="s">
        <v>353</v>
      </c>
    </row>
    <row r="42" spans="1:5">
      <c r="A42" s="211" t="s">
        <v>354</v>
      </c>
      <c r="B42" s="211" t="s">
        <v>355</v>
      </c>
      <c r="C42" s="211" t="s">
        <v>356</v>
      </c>
      <c r="D42" s="211" t="s">
        <v>357</v>
      </c>
      <c r="E42" s="211" t="s">
        <v>358</v>
      </c>
    </row>
    <row r="43" spans="1:5">
      <c r="A43" s="207" t="s">
        <v>359</v>
      </c>
      <c r="B43" s="207" t="s">
        <v>360</v>
      </c>
      <c r="C43" s="207" t="s">
        <v>361</v>
      </c>
      <c r="D43" s="207" t="s">
        <v>362</v>
      </c>
      <c r="E43" s="207" t="s">
        <v>363</v>
      </c>
    </row>
    <row r="44" spans="1:5">
      <c r="A44" s="207" t="s">
        <v>364</v>
      </c>
      <c r="B44" s="207" t="s">
        <v>365</v>
      </c>
      <c r="C44" s="207" t="s">
        <v>366</v>
      </c>
      <c r="D44" s="207" t="s">
        <v>367</v>
      </c>
      <c r="E44" s="207" t="s">
        <v>368</v>
      </c>
    </row>
    <row r="45" spans="1:5">
      <c r="A45" s="207" t="s">
        <v>369</v>
      </c>
      <c r="B45" s="207" t="s">
        <v>370</v>
      </c>
      <c r="C45" s="207" t="s">
        <v>371</v>
      </c>
      <c r="D45" s="207" t="s">
        <v>372</v>
      </c>
      <c r="E45" s="207" t="s">
        <v>373</v>
      </c>
    </row>
    <row r="46" spans="1:5">
      <c r="A46" s="207" t="s">
        <v>374</v>
      </c>
      <c r="B46" s="207" t="s">
        <v>375</v>
      </c>
      <c r="C46" s="207" t="s">
        <v>376</v>
      </c>
      <c r="D46" s="207" t="s">
        <v>377</v>
      </c>
      <c r="E46" s="212" t="s">
        <v>378</v>
      </c>
    </row>
    <row r="47" spans="1:5">
      <c r="A47" s="207" t="s">
        <v>379</v>
      </c>
      <c r="B47" s="207" t="s">
        <v>380</v>
      </c>
      <c r="C47" s="207" t="s">
        <v>37</v>
      </c>
      <c r="D47" s="207" t="s">
        <v>381</v>
      </c>
      <c r="E47" s="212" t="s">
        <v>382</v>
      </c>
    </row>
    <row r="50" spans="1:5">
      <c r="A50" s="213" t="s">
        <v>383</v>
      </c>
    </row>
    <row r="51" spans="1:5">
      <c r="A51" s="214" t="s">
        <v>384</v>
      </c>
      <c r="B51" s="214" t="s">
        <v>385</v>
      </c>
      <c r="C51" s="214" t="s">
        <v>386</v>
      </c>
      <c r="D51" s="214" t="s">
        <v>387</v>
      </c>
      <c r="E51" s="214" t="s">
        <v>388</v>
      </c>
    </row>
    <row r="52" spans="1:5">
      <c r="A52" s="207" t="s">
        <v>389</v>
      </c>
      <c r="B52" s="207" t="s">
        <v>390</v>
      </c>
      <c r="C52" s="207" t="s">
        <v>174</v>
      </c>
      <c r="D52" s="207" t="s">
        <v>391</v>
      </c>
      <c r="E52" s="207" t="s">
        <v>392</v>
      </c>
    </row>
    <row r="53" spans="1:5">
      <c r="A53" s="207" t="s">
        <v>393</v>
      </c>
      <c r="B53" s="207" t="s">
        <v>394</v>
      </c>
      <c r="C53" s="207" t="s">
        <v>174</v>
      </c>
      <c r="D53" s="207" t="s">
        <v>391</v>
      </c>
      <c r="E53" s="207" t="s">
        <v>395</v>
      </c>
    </row>
    <row r="54" spans="1:5">
      <c r="A54" s="207" t="s">
        <v>396</v>
      </c>
      <c r="B54" s="207" t="s">
        <v>397</v>
      </c>
      <c r="C54" s="207" t="s">
        <v>174</v>
      </c>
      <c r="D54" s="207" t="s">
        <v>391</v>
      </c>
      <c r="E54" s="207" t="s">
        <v>398</v>
      </c>
    </row>
    <row r="55" spans="1:5">
      <c r="A55" s="207" t="s">
        <v>399</v>
      </c>
      <c r="B55" s="207" t="s">
        <v>400</v>
      </c>
      <c r="C55" s="207" t="s">
        <v>401</v>
      </c>
      <c r="D55" s="207" t="s">
        <v>402</v>
      </c>
      <c r="E55" s="207" t="s">
        <v>403</v>
      </c>
    </row>
    <row r="56" spans="1:5">
      <c r="A56" s="207" t="s">
        <v>404</v>
      </c>
      <c r="B56" s="207" t="s">
        <v>405</v>
      </c>
      <c r="C56" s="207" t="s">
        <v>174</v>
      </c>
      <c r="D56" s="207" t="s">
        <v>406</v>
      </c>
      <c r="E56" s="207" t="s">
        <v>407</v>
      </c>
    </row>
    <row r="57" spans="1:5">
      <c r="A57" s="207" t="s">
        <v>408</v>
      </c>
      <c r="B57" s="207" t="s">
        <v>409</v>
      </c>
      <c r="C57" s="207" t="s">
        <v>174</v>
      </c>
      <c r="D57" s="207" t="s">
        <v>410</v>
      </c>
      <c r="E57" s="207" t="s">
        <v>411</v>
      </c>
    </row>
    <row r="58" spans="1:5">
      <c r="A58" s="207" t="s">
        <v>412</v>
      </c>
      <c r="B58" s="207" t="s">
        <v>413</v>
      </c>
      <c r="C58" s="207" t="s">
        <v>401</v>
      </c>
      <c r="D58" s="207" t="s">
        <v>414</v>
      </c>
      <c r="E58" s="207" t="s">
        <v>415</v>
      </c>
    </row>
    <row r="61" spans="1:5" ht="16" customHeight="1">
      <c r="A61" s="208" t="s">
        <v>416</v>
      </c>
    </row>
  </sheetData>
  <mergeCells count="1">
    <mergeCell ref="A1:E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D2F7-7E7A-1449-A66D-516FACE1636C}">
  <sheetPr>
    <tabColor rgb="FF4472C4"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5" sqref="G5"/>
    </sheetView>
  </sheetViews>
  <sheetFormatPr baseColWidth="10" defaultColWidth="8.6640625" defaultRowHeight="15" customHeight="1"/>
  <cols>
    <col min="1" max="1" width="38" style="149" customWidth="1"/>
    <col min="2" max="2" width="12" style="149" customWidth="1"/>
    <col min="3" max="3" width="18" style="149" customWidth="1"/>
    <col min="4" max="8" width="13" style="149" customWidth="1"/>
    <col min="9" max="16384" width="8.6640625" style="149"/>
  </cols>
  <sheetData>
    <row r="1" spans="1:9" ht="30" customHeight="1">
      <c r="A1" s="384" t="s">
        <v>417</v>
      </c>
      <c r="B1" s="384"/>
      <c r="C1" s="384"/>
      <c r="D1" s="384"/>
      <c r="E1" s="384"/>
      <c r="F1" s="384"/>
      <c r="G1" s="384"/>
      <c r="H1" s="384"/>
      <c r="I1" s="384"/>
    </row>
    <row r="3" spans="1:9">
      <c r="A3" s="399" t="s">
        <v>418</v>
      </c>
      <c r="B3" s="399"/>
      <c r="C3" s="399"/>
      <c r="D3" s="399"/>
      <c r="E3" s="399"/>
      <c r="F3" s="399"/>
      <c r="G3" s="399"/>
      <c r="H3" s="399"/>
      <c r="I3" s="399"/>
    </row>
    <row r="4" spans="1:9" ht="34.5" customHeight="1">
      <c r="A4" s="150" t="s">
        <v>123</v>
      </c>
      <c r="B4" s="150" t="s">
        <v>124</v>
      </c>
      <c r="C4" s="150" t="s">
        <v>156</v>
      </c>
      <c r="D4" s="150" t="s">
        <v>117</v>
      </c>
      <c r="E4" s="150" t="s">
        <v>118</v>
      </c>
      <c r="F4" s="150" t="s">
        <v>119</v>
      </c>
      <c r="G4" s="150" t="s">
        <v>120</v>
      </c>
      <c r="H4" s="160" t="s">
        <v>419</v>
      </c>
    </row>
    <row r="5" spans="1:9">
      <c r="A5" s="152" t="s">
        <v>128</v>
      </c>
      <c r="B5" s="153" t="s">
        <v>129</v>
      </c>
      <c r="C5" s="153" t="s">
        <v>41</v>
      </c>
      <c r="D5" s="155">
        <v>0.52</v>
      </c>
      <c r="E5" s="155">
        <v>0.36</v>
      </c>
      <c r="F5" s="155">
        <v>0.35</v>
      </c>
      <c r="G5" s="155">
        <v>0.5</v>
      </c>
      <c r="H5" s="161">
        <v>-0.02</v>
      </c>
    </row>
    <row r="6" spans="1:9">
      <c r="A6" s="152" t="s">
        <v>128</v>
      </c>
      <c r="B6" s="153" t="s">
        <v>129</v>
      </c>
      <c r="C6" s="153" t="s">
        <v>42</v>
      </c>
      <c r="D6" s="155">
        <v>0.52</v>
      </c>
      <c r="E6" s="155">
        <v>0.36</v>
      </c>
      <c r="F6" s="155">
        <v>0.35</v>
      </c>
      <c r="G6" s="155">
        <v>0.49</v>
      </c>
      <c r="H6" s="161">
        <v>-0.03</v>
      </c>
    </row>
    <row r="7" spans="1:9">
      <c r="A7" s="152" t="s">
        <v>130</v>
      </c>
      <c r="B7" s="153" t="s">
        <v>131</v>
      </c>
      <c r="C7" s="153" t="s">
        <v>41</v>
      </c>
      <c r="D7" s="155">
        <v>0.79</v>
      </c>
      <c r="E7" s="155">
        <v>0.83</v>
      </c>
      <c r="F7" s="155">
        <v>0.85</v>
      </c>
      <c r="G7" s="155">
        <v>0.87</v>
      </c>
      <c r="H7" s="162">
        <v>0.08</v>
      </c>
    </row>
    <row r="8" spans="1:9">
      <c r="A8" s="152" t="s">
        <v>130</v>
      </c>
      <c r="B8" s="153" t="s">
        <v>131</v>
      </c>
      <c r="C8" s="153" t="s">
        <v>42</v>
      </c>
      <c r="D8" s="155">
        <v>0.41</v>
      </c>
      <c r="E8" s="155">
        <v>0.36</v>
      </c>
      <c r="F8" s="155">
        <v>0.34</v>
      </c>
      <c r="G8" s="155">
        <v>0.43</v>
      </c>
      <c r="H8" s="162">
        <v>0.02</v>
      </c>
    </row>
    <row r="9" spans="1:9">
      <c r="A9" s="152" t="s">
        <v>130</v>
      </c>
      <c r="B9" s="153" t="s">
        <v>129</v>
      </c>
      <c r="C9" s="153" t="s">
        <v>41</v>
      </c>
      <c r="D9" s="155">
        <v>0.92</v>
      </c>
      <c r="E9" s="155">
        <v>0.95</v>
      </c>
      <c r="F9" s="155">
        <v>0.88</v>
      </c>
      <c r="G9" s="155">
        <v>0.9</v>
      </c>
      <c r="H9" s="161">
        <v>-0.02</v>
      </c>
    </row>
    <row r="10" spans="1:9">
      <c r="A10" s="152" t="s">
        <v>130</v>
      </c>
      <c r="B10" s="153" t="s">
        <v>129</v>
      </c>
      <c r="C10" s="153" t="s">
        <v>42</v>
      </c>
      <c r="D10" s="155">
        <v>0.17</v>
      </c>
      <c r="E10" s="155">
        <v>0.39</v>
      </c>
      <c r="F10" s="155">
        <v>0.34</v>
      </c>
      <c r="G10" s="155">
        <v>0.4</v>
      </c>
      <c r="H10" s="162">
        <v>0.23</v>
      </c>
    </row>
    <row r="11" spans="1:9">
      <c r="A11" s="152" t="s">
        <v>138</v>
      </c>
      <c r="B11" s="153" t="s">
        <v>131</v>
      </c>
      <c r="C11" s="153" t="s">
        <v>41</v>
      </c>
      <c r="D11" s="155">
        <v>0.99</v>
      </c>
      <c r="E11" s="155">
        <v>0.99</v>
      </c>
      <c r="F11" s="155">
        <v>0.96</v>
      </c>
      <c r="G11" s="155">
        <v>0.97</v>
      </c>
      <c r="H11" s="161">
        <v>-0.02</v>
      </c>
    </row>
    <row r="12" spans="1:9">
      <c r="A12" s="152" t="s">
        <v>138</v>
      </c>
      <c r="B12" s="153" t="s">
        <v>131</v>
      </c>
      <c r="C12" s="153" t="s">
        <v>42</v>
      </c>
      <c r="D12" s="155">
        <v>0.38</v>
      </c>
      <c r="E12" s="155">
        <v>0.43</v>
      </c>
      <c r="F12" s="155">
        <v>0.37</v>
      </c>
      <c r="G12" s="155">
        <v>0.43</v>
      </c>
      <c r="H12" s="162">
        <v>0.05</v>
      </c>
    </row>
    <row r="13" spans="1:9">
      <c r="A13" s="152" t="s">
        <v>138</v>
      </c>
      <c r="B13" s="153" t="s">
        <v>129</v>
      </c>
      <c r="C13" s="153" t="s">
        <v>41</v>
      </c>
      <c r="D13" s="155">
        <v>0.96</v>
      </c>
      <c r="E13" s="155">
        <v>0.93</v>
      </c>
      <c r="F13" s="155">
        <v>0.83</v>
      </c>
      <c r="G13" s="155">
        <v>0.88</v>
      </c>
      <c r="H13" s="161">
        <v>-0.08</v>
      </c>
    </row>
    <row r="14" spans="1:9">
      <c r="A14" s="152" t="s">
        <v>138</v>
      </c>
      <c r="B14" s="153" t="s">
        <v>129</v>
      </c>
      <c r="C14" s="153" t="s">
        <v>42</v>
      </c>
      <c r="D14" s="155">
        <v>0.83</v>
      </c>
      <c r="E14" s="155">
        <v>0.55000000000000004</v>
      </c>
      <c r="F14" s="155">
        <v>0.52</v>
      </c>
      <c r="G14" s="155">
        <v>0.54</v>
      </c>
      <c r="H14" s="161">
        <v>-0.28999999999999998</v>
      </c>
    </row>
    <row r="15" spans="1:9">
      <c r="A15" s="152" t="s">
        <v>139</v>
      </c>
      <c r="B15" s="153" t="s">
        <v>131</v>
      </c>
      <c r="C15" s="153" t="s">
        <v>41</v>
      </c>
      <c r="D15" s="155">
        <v>1</v>
      </c>
      <c r="E15" s="155">
        <v>0.96</v>
      </c>
      <c r="F15" s="155">
        <v>0.93</v>
      </c>
      <c r="G15" s="155">
        <v>0.94</v>
      </c>
      <c r="H15" s="161">
        <v>-6.0000000000000102E-2</v>
      </c>
    </row>
    <row r="16" spans="1:9">
      <c r="A16" s="152" t="s">
        <v>139</v>
      </c>
      <c r="B16" s="153" t="s">
        <v>131</v>
      </c>
      <c r="C16" s="153" t="s">
        <v>42</v>
      </c>
      <c r="D16" s="155">
        <v>0.26</v>
      </c>
      <c r="E16" s="155">
        <v>0.21</v>
      </c>
      <c r="F16" s="155">
        <v>0.18</v>
      </c>
      <c r="G16" s="155">
        <v>0.22</v>
      </c>
      <c r="H16" s="161">
        <v>-0.04</v>
      </c>
    </row>
    <row r="17" spans="1:9">
      <c r="A17" s="152" t="s">
        <v>139</v>
      </c>
      <c r="B17" s="153" t="s">
        <v>129</v>
      </c>
      <c r="C17" s="153" t="s">
        <v>41</v>
      </c>
      <c r="D17" s="155">
        <v>0.83</v>
      </c>
      <c r="E17" s="155">
        <v>0.83</v>
      </c>
      <c r="F17" s="155">
        <v>0.81</v>
      </c>
      <c r="G17" s="155">
        <v>0.84</v>
      </c>
      <c r="H17" s="162">
        <v>0.01</v>
      </c>
    </row>
    <row r="18" spans="1:9">
      <c r="A18" s="152" t="s">
        <v>139</v>
      </c>
      <c r="B18" s="153" t="s">
        <v>129</v>
      </c>
      <c r="C18" s="153" t="s">
        <v>42</v>
      </c>
      <c r="D18" s="155">
        <v>0.33</v>
      </c>
      <c r="E18" s="155">
        <v>0.66</v>
      </c>
      <c r="F18" s="155">
        <v>0.61</v>
      </c>
      <c r="G18" s="155">
        <v>0.52</v>
      </c>
      <c r="H18" s="162">
        <v>0.19</v>
      </c>
    </row>
    <row r="19" spans="1:9">
      <c r="A19" s="152" t="s">
        <v>144</v>
      </c>
      <c r="B19" s="153" t="s">
        <v>129</v>
      </c>
      <c r="C19" s="153" t="s">
        <v>41</v>
      </c>
      <c r="D19" s="155">
        <v>1</v>
      </c>
      <c r="E19" s="155">
        <v>1</v>
      </c>
      <c r="F19" s="155">
        <v>0.56000000000000005</v>
      </c>
      <c r="G19" s="155">
        <v>0.42</v>
      </c>
      <c r="H19" s="161">
        <v>-0.57999999999999996</v>
      </c>
    </row>
    <row r="20" spans="1:9">
      <c r="A20" s="152" t="s">
        <v>144</v>
      </c>
      <c r="B20" s="153" t="s">
        <v>129</v>
      </c>
      <c r="C20" s="153" t="s">
        <v>42</v>
      </c>
      <c r="D20" s="155">
        <v>1</v>
      </c>
      <c r="E20" s="155">
        <v>0.92</v>
      </c>
      <c r="F20" s="155">
        <v>0.54</v>
      </c>
      <c r="G20" s="155">
        <v>0.37</v>
      </c>
      <c r="H20" s="161">
        <v>-0.63</v>
      </c>
    </row>
    <row r="21" spans="1:9">
      <c r="A21" s="152" t="s">
        <v>146</v>
      </c>
      <c r="B21" s="153" t="s">
        <v>131</v>
      </c>
      <c r="C21" s="153" t="s">
        <v>41</v>
      </c>
      <c r="D21" s="155">
        <v>0.96</v>
      </c>
      <c r="E21" s="155">
        <v>0.99</v>
      </c>
      <c r="F21" s="155">
        <v>0.97</v>
      </c>
      <c r="G21" s="155">
        <v>0.98</v>
      </c>
      <c r="H21" s="162">
        <v>0.02</v>
      </c>
    </row>
    <row r="22" spans="1:9">
      <c r="A22" s="152" t="s">
        <v>146</v>
      </c>
      <c r="B22" s="153" t="s">
        <v>131</v>
      </c>
      <c r="C22" s="153" t="s">
        <v>42</v>
      </c>
      <c r="D22" s="155">
        <v>0.8</v>
      </c>
      <c r="E22" s="155">
        <v>0.82</v>
      </c>
      <c r="F22" s="155">
        <v>0.7</v>
      </c>
      <c r="G22" s="155">
        <v>0.67</v>
      </c>
      <c r="H22" s="161">
        <v>-0.13</v>
      </c>
    </row>
    <row r="23" spans="1:9">
      <c r="A23" s="152" t="s">
        <v>146</v>
      </c>
      <c r="B23" s="153" t="s">
        <v>129</v>
      </c>
      <c r="C23" s="153" t="s">
        <v>41</v>
      </c>
      <c r="D23" s="155">
        <v>1</v>
      </c>
      <c r="E23" s="155">
        <v>1</v>
      </c>
      <c r="F23" s="155">
        <v>0.76</v>
      </c>
      <c r="G23" s="155">
        <v>0.83</v>
      </c>
      <c r="H23" s="161">
        <v>-0.17</v>
      </c>
    </row>
    <row r="24" spans="1:9">
      <c r="A24" s="152" t="s">
        <v>146</v>
      </c>
      <c r="B24" s="153" t="s">
        <v>129</v>
      </c>
      <c r="C24" s="153" t="s">
        <v>42</v>
      </c>
      <c r="D24" s="155">
        <v>0.04</v>
      </c>
      <c r="E24" s="155">
        <v>0.12</v>
      </c>
      <c r="F24" s="155">
        <v>0.28999999999999998</v>
      </c>
      <c r="G24" s="155">
        <v>0.09</v>
      </c>
      <c r="H24" s="162">
        <v>0.05</v>
      </c>
    </row>
    <row r="26" spans="1:9">
      <c r="A26" s="400" t="s">
        <v>420</v>
      </c>
      <c r="B26" s="400"/>
      <c r="C26" s="400"/>
      <c r="D26" s="400"/>
      <c r="E26" s="400"/>
      <c r="F26" s="400"/>
      <c r="G26" s="400"/>
      <c r="H26" s="400"/>
      <c r="I26" s="400"/>
    </row>
    <row r="27" spans="1:9">
      <c r="A27" s="157"/>
      <c r="B27" s="157"/>
      <c r="C27" s="163" t="s">
        <v>421</v>
      </c>
      <c r="D27" s="164">
        <v>0.89700000000000002</v>
      </c>
      <c r="E27" s="164">
        <v>0.88400000000000001</v>
      </c>
      <c r="F27" s="164">
        <v>0.79</v>
      </c>
      <c r="G27" s="164">
        <v>0.81299999999999994</v>
      </c>
      <c r="H27" s="165">
        <v>-8.4000000000000102E-2</v>
      </c>
    </row>
    <row r="28" spans="1:9">
      <c r="A28" s="157"/>
      <c r="B28" s="157"/>
      <c r="C28" s="163" t="s">
        <v>422</v>
      </c>
      <c r="D28" s="164">
        <v>0.47399999999999998</v>
      </c>
      <c r="E28" s="164">
        <v>0.48199999999999998</v>
      </c>
      <c r="F28" s="164">
        <v>0.42399999999999999</v>
      </c>
      <c r="G28" s="164">
        <v>0.41599999999999998</v>
      </c>
      <c r="H28" s="165">
        <v>-5.7999999999999899E-2</v>
      </c>
    </row>
    <row r="31" spans="1:9">
      <c r="A31" s="399" t="s">
        <v>423</v>
      </c>
      <c r="B31" s="399"/>
      <c r="C31" s="399"/>
      <c r="D31" s="399"/>
      <c r="E31" s="399"/>
      <c r="F31" s="399"/>
      <c r="G31" s="399"/>
      <c r="H31" s="399"/>
      <c r="I31" s="399"/>
    </row>
    <row r="32" spans="1:9" ht="34.5" customHeight="1">
      <c r="A32" s="166"/>
      <c r="B32" s="166"/>
      <c r="C32" s="150" t="s">
        <v>156</v>
      </c>
      <c r="D32" s="150" t="s">
        <v>117</v>
      </c>
      <c r="E32" s="150" t="s">
        <v>118</v>
      </c>
      <c r="F32" s="150" t="s">
        <v>119</v>
      </c>
      <c r="G32" s="150" t="s">
        <v>120</v>
      </c>
      <c r="H32" s="160" t="s">
        <v>419</v>
      </c>
    </row>
    <row r="33" spans="3:8">
      <c r="C33" s="163" t="s">
        <v>421</v>
      </c>
      <c r="D33" s="164">
        <v>0.72238095238095301</v>
      </c>
      <c r="E33" s="164">
        <v>0.64666666666666694</v>
      </c>
      <c r="F33" s="164">
        <v>0.61619047619047596</v>
      </c>
      <c r="G33" s="164">
        <v>0.708095238095238</v>
      </c>
      <c r="H33" s="165">
        <v>-1.42857142857144E-2</v>
      </c>
    </row>
    <row r="34" spans="3:8">
      <c r="C34" s="163" t="s">
        <v>422</v>
      </c>
      <c r="D34" s="164">
        <v>0.392380952380952</v>
      </c>
      <c r="E34" s="164">
        <v>0.37380952380952398</v>
      </c>
      <c r="F34" s="164">
        <v>0.33428571428571402</v>
      </c>
      <c r="G34" s="164">
        <v>0.38714285714285701</v>
      </c>
      <c r="H34" s="165">
        <v>-5.2380952380952101E-3</v>
      </c>
    </row>
  </sheetData>
  <mergeCells count="4">
    <mergeCell ref="A1:I1"/>
    <mergeCell ref="A3:I3"/>
    <mergeCell ref="A26:I26"/>
    <mergeCell ref="A31:I31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CE44-B4E9-ED49-9728-2A1CC9FCD49A}">
  <sheetPr>
    <tabColor rgb="FF4472C4"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8" sqref="D28:F29"/>
    </sheetView>
  </sheetViews>
  <sheetFormatPr baseColWidth="10" defaultColWidth="8.6640625" defaultRowHeight="15" customHeight="1"/>
  <cols>
    <col min="1" max="1" width="38" style="149" customWidth="1"/>
    <col min="2" max="2" width="12" style="149" customWidth="1"/>
    <col min="3" max="3" width="18" style="149" customWidth="1"/>
    <col min="4" max="8" width="13" style="149" customWidth="1"/>
    <col min="9" max="16384" width="8.6640625" style="149"/>
  </cols>
  <sheetData>
    <row r="1" spans="1:9" ht="30" customHeight="1">
      <c r="A1" s="384" t="s">
        <v>424</v>
      </c>
      <c r="B1" s="384"/>
      <c r="C1" s="384"/>
      <c r="D1" s="384"/>
      <c r="E1" s="384"/>
      <c r="F1" s="384"/>
      <c r="G1" s="384"/>
      <c r="H1" s="384"/>
      <c r="I1" s="384"/>
    </row>
    <row r="3" spans="1:9">
      <c r="A3" s="399" t="s">
        <v>425</v>
      </c>
      <c r="B3" s="399"/>
      <c r="C3" s="399"/>
      <c r="D3" s="399"/>
      <c r="E3" s="399"/>
      <c r="F3" s="399"/>
      <c r="G3" s="399"/>
      <c r="H3" s="399"/>
      <c r="I3" s="399"/>
    </row>
    <row r="4" spans="1:9" ht="34.5" customHeight="1">
      <c r="A4" s="150" t="s">
        <v>123</v>
      </c>
      <c r="B4" s="150" t="s">
        <v>124</v>
      </c>
      <c r="C4" s="150" t="s">
        <v>156</v>
      </c>
      <c r="D4" s="150" t="s">
        <v>117</v>
      </c>
      <c r="E4" s="150" t="s">
        <v>118</v>
      </c>
      <c r="F4" s="150" t="s">
        <v>119</v>
      </c>
      <c r="G4" s="150" t="s">
        <v>120</v>
      </c>
      <c r="H4" s="160" t="s">
        <v>419</v>
      </c>
    </row>
    <row r="5" spans="1:9">
      <c r="A5" s="152" t="s">
        <v>130</v>
      </c>
      <c r="B5" s="153" t="s">
        <v>129</v>
      </c>
      <c r="C5" s="153" t="s">
        <v>41</v>
      </c>
      <c r="D5" s="155">
        <v>0.81299999999999994</v>
      </c>
      <c r="E5" s="155">
        <v>0.79200000000000004</v>
      </c>
      <c r="F5" s="155">
        <v>0.73</v>
      </c>
      <c r="G5" s="155">
        <v>0.79100000000000004</v>
      </c>
      <c r="H5" s="161">
        <v>-2.1999999999999999E-2</v>
      </c>
    </row>
    <row r="6" spans="1:9">
      <c r="A6" s="152" t="s">
        <v>130</v>
      </c>
      <c r="B6" s="153" t="s">
        <v>129</v>
      </c>
      <c r="C6" s="153" t="s">
        <v>42</v>
      </c>
      <c r="D6" s="155">
        <v>0.317</v>
      </c>
      <c r="E6" s="155">
        <v>0.39200000000000002</v>
      </c>
      <c r="F6" s="155">
        <v>0.318</v>
      </c>
      <c r="G6" s="155">
        <v>0.317</v>
      </c>
      <c r="H6" s="162">
        <v>0</v>
      </c>
    </row>
    <row r="7" spans="1:9">
      <c r="A7" s="152" t="s">
        <v>130</v>
      </c>
      <c r="B7" s="153" t="s">
        <v>131</v>
      </c>
      <c r="C7" s="153" t="s">
        <v>41</v>
      </c>
      <c r="D7" s="155">
        <v>0.81299999999999994</v>
      </c>
      <c r="E7" s="155">
        <v>0.80900000000000005</v>
      </c>
      <c r="F7" s="155">
        <v>0.77700000000000002</v>
      </c>
      <c r="G7" s="155">
        <v>0.83899999999999997</v>
      </c>
      <c r="H7" s="162">
        <v>2.6000000000000099E-2</v>
      </c>
    </row>
    <row r="8" spans="1:9">
      <c r="A8" s="152" t="s">
        <v>130</v>
      </c>
      <c r="B8" s="153" t="s">
        <v>131</v>
      </c>
      <c r="C8" s="153" t="s">
        <v>42</v>
      </c>
      <c r="D8" s="155">
        <v>0</v>
      </c>
      <c r="E8" s="155">
        <v>0</v>
      </c>
      <c r="F8" s="155">
        <v>0</v>
      </c>
      <c r="G8" s="155">
        <v>0</v>
      </c>
      <c r="H8" s="162">
        <v>0</v>
      </c>
    </row>
    <row r="9" spans="1:9">
      <c r="A9" s="152" t="s">
        <v>138</v>
      </c>
      <c r="B9" s="153" t="s">
        <v>129</v>
      </c>
      <c r="C9" s="153" t="s">
        <v>41</v>
      </c>
      <c r="D9" s="155">
        <v>0.86599999999999999</v>
      </c>
      <c r="E9" s="155">
        <v>0.86399999999999999</v>
      </c>
      <c r="F9" s="155">
        <v>0.84299999999999997</v>
      </c>
      <c r="G9" s="155">
        <v>0.80100000000000005</v>
      </c>
      <c r="H9" s="161">
        <v>-6.5000000000000099E-2</v>
      </c>
    </row>
    <row r="10" spans="1:9">
      <c r="A10" s="152" t="s">
        <v>138</v>
      </c>
      <c r="B10" s="153" t="s">
        <v>129</v>
      </c>
      <c r="C10" s="153" t="s">
        <v>42</v>
      </c>
      <c r="D10" s="155">
        <v>0.85799999999999998</v>
      </c>
      <c r="E10" s="155">
        <v>0.85799999999999998</v>
      </c>
      <c r="F10" s="155">
        <v>0.81699999999999995</v>
      </c>
      <c r="G10" s="155">
        <v>0.78100000000000003</v>
      </c>
      <c r="H10" s="161">
        <v>-7.7000000000000096E-2</v>
      </c>
    </row>
    <row r="11" spans="1:9">
      <c r="A11" s="152" t="s">
        <v>138</v>
      </c>
      <c r="B11" s="153" t="s">
        <v>131</v>
      </c>
      <c r="C11" s="153" t="s">
        <v>41</v>
      </c>
      <c r="D11" s="155">
        <v>0.86599999999999999</v>
      </c>
      <c r="E11" s="155">
        <v>0.89500000000000002</v>
      </c>
      <c r="F11" s="155">
        <v>0.86299999999999999</v>
      </c>
      <c r="G11" s="155">
        <v>0.84599999999999997</v>
      </c>
      <c r="H11" s="161">
        <v>-0.02</v>
      </c>
    </row>
    <row r="12" spans="1:9">
      <c r="A12" s="152" t="s">
        <v>138</v>
      </c>
      <c r="B12" s="153" t="s">
        <v>131</v>
      </c>
      <c r="C12" s="153" t="s">
        <v>42</v>
      </c>
      <c r="D12" s="155">
        <v>0.68799999999999994</v>
      </c>
      <c r="E12" s="155">
        <v>0.72399999999999998</v>
      </c>
      <c r="F12" s="155">
        <v>0.70599999999999996</v>
      </c>
      <c r="G12" s="155">
        <v>0.68100000000000005</v>
      </c>
      <c r="H12" s="161">
        <v>-7.0000000000000097E-3</v>
      </c>
    </row>
    <row r="13" spans="1:9">
      <c r="A13" s="152" t="s">
        <v>139</v>
      </c>
      <c r="B13" s="153" t="s">
        <v>129</v>
      </c>
      <c r="C13" s="153" t="s">
        <v>41</v>
      </c>
      <c r="D13" s="155">
        <v>0.90500000000000003</v>
      </c>
      <c r="E13" s="155">
        <v>0.90100000000000002</v>
      </c>
      <c r="F13" s="155">
        <v>0.86299999999999999</v>
      </c>
      <c r="G13" s="155">
        <v>0.86</v>
      </c>
      <c r="H13" s="161">
        <v>-4.4999999999999998E-2</v>
      </c>
    </row>
    <row r="14" spans="1:9">
      <c r="A14" s="152" t="s">
        <v>139</v>
      </c>
      <c r="B14" s="153" t="s">
        <v>129</v>
      </c>
      <c r="C14" s="153" t="s">
        <v>42</v>
      </c>
      <c r="D14" s="155">
        <v>0.88500000000000001</v>
      </c>
      <c r="E14" s="155">
        <v>0.88900000000000001</v>
      </c>
      <c r="F14" s="155">
        <v>0.85</v>
      </c>
      <c r="G14" s="155">
        <v>0.84899999999999998</v>
      </c>
      <c r="H14" s="161">
        <v>-3.59999999999999E-2</v>
      </c>
    </row>
    <row r="15" spans="1:9">
      <c r="A15" s="152" t="s">
        <v>139</v>
      </c>
      <c r="B15" s="153" t="s">
        <v>131</v>
      </c>
      <c r="C15" s="153" t="s">
        <v>41</v>
      </c>
      <c r="D15" s="155">
        <v>0.88100000000000001</v>
      </c>
      <c r="E15" s="155">
        <v>0.91300000000000003</v>
      </c>
      <c r="F15" s="155">
        <v>0.879</v>
      </c>
      <c r="G15" s="155">
        <v>0.86599999999999999</v>
      </c>
      <c r="H15" s="161">
        <v>-1.4999999999999901E-2</v>
      </c>
    </row>
    <row r="16" spans="1:9">
      <c r="A16" s="152" t="s">
        <v>139</v>
      </c>
      <c r="B16" s="153" t="s">
        <v>131</v>
      </c>
      <c r="C16" s="153" t="s">
        <v>42</v>
      </c>
      <c r="D16" s="155">
        <v>0.83399999999999996</v>
      </c>
      <c r="E16" s="155">
        <v>0.86399999999999999</v>
      </c>
      <c r="F16" s="155">
        <v>0.83</v>
      </c>
      <c r="G16" s="155">
        <v>0.82599999999999996</v>
      </c>
      <c r="H16" s="161">
        <v>-8.0000000000001199E-3</v>
      </c>
    </row>
    <row r="17" spans="1:9">
      <c r="A17" s="152" t="s">
        <v>144</v>
      </c>
      <c r="B17" s="153" t="s">
        <v>129</v>
      </c>
      <c r="C17" s="153" t="s">
        <v>41</v>
      </c>
      <c r="D17" s="155">
        <v>0.36899999999999999</v>
      </c>
      <c r="E17" s="155">
        <v>0.27900000000000003</v>
      </c>
      <c r="F17" s="155">
        <v>0.40600000000000003</v>
      </c>
      <c r="G17" s="155">
        <v>0.46800000000000003</v>
      </c>
      <c r="H17" s="162">
        <v>9.9000000000000005E-2</v>
      </c>
    </row>
    <row r="18" spans="1:9">
      <c r="A18" s="152" t="s">
        <v>144</v>
      </c>
      <c r="B18" s="153" t="s">
        <v>129</v>
      </c>
      <c r="C18" s="153" t="s">
        <v>42</v>
      </c>
      <c r="D18" s="155">
        <v>0.36899999999999999</v>
      </c>
      <c r="E18" s="155">
        <v>0.27900000000000003</v>
      </c>
      <c r="F18" s="155">
        <v>0.39600000000000002</v>
      </c>
      <c r="G18" s="155">
        <v>0.45200000000000001</v>
      </c>
      <c r="H18" s="162">
        <v>8.3000000000000004E-2</v>
      </c>
    </row>
    <row r="19" spans="1:9">
      <c r="A19" s="152" t="s">
        <v>144</v>
      </c>
      <c r="B19" s="153" t="s">
        <v>131</v>
      </c>
      <c r="C19" s="153" t="s">
        <v>41</v>
      </c>
      <c r="D19" s="155">
        <v>9.0999999999999998E-2</v>
      </c>
      <c r="E19" s="155">
        <v>0.25</v>
      </c>
      <c r="F19" s="155">
        <v>0.375</v>
      </c>
      <c r="G19" s="155">
        <v>0.51400000000000001</v>
      </c>
      <c r="H19" s="162">
        <v>0.42299999999999999</v>
      </c>
    </row>
    <row r="20" spans="1:9">
      <c r="A20" s="152" t="s">
        <v>144</v>
      </c>
      <c r="B20" s="153" t="s">
        <v>131</v>
      </c>
      <c r="C20" s="153" t="s">
        <v>42</v>
      </c>
      <c r="D20" s="155">
        <v>9.0999999999999998E-2</v>
      </c>
      <c r="E20" s="155">
        <v>0.25</v>
      </c>
      <c r="F20" s="155">
        <v>0.375</v>
      </c>
      <c r="G20" s="155">
        <v>0.45900000000000002</v>
      </c>
      <c r="H20" s="162">
        <v>0.36799999999999999</v>
      </c>
    </row>
    <row r="21" spans="1:9">
      <c r="A21" s="152" t="s">
        <v>146</v>
      </c>
      <c r="B21" s="153" t="s">
        <v>129</v>
      </c>
      <c r="C21" s="153" t="s">
        <v>41</v>
      </c>
      <c r="D21" s="155">
        <v>0.42199999999999999</v>
      </c>
      <c r="E21" s="155">
        <v>0.57499999999999996</v>
      </c>
      <c r="F21" s="155">
        <v>0.54</v>
      </c>
      <c r="G21" s="155">
        <v>0.58299999999999996</v>
      </c>
      <c r="H21" s="162">
        <v>0.161</v>
      </c>
    </row>
    <row r="22" spans="1:9">
      <c r="A22" s="152" t="s">
        <v>146</v>
      </c>
      <c r="B22" s="153" t="s">
        <v>129</v>
      </c>
      <c r="C22" s="153" t="s">
        <v>42</v>
      </c>
      <c r="D22" s="155">
        <v>0.14399999999999999</v>
      </c>
      <c r="E22" s="155">
        <v>0.154</v>
      </c>
      <c r="F22" s="155">
        <v>0.10100000000000001</v>
      </c>
      <c r="G22" s="155">
        <v>9.4E-2</v>
      </c>
      <c r="H22" s="161">
        <v>-0.05</v>
      </c>
    </row>
    <row r="23" spans="1:9">
      <c r="A23" s="152" t="s">
        <v>146</v>
      </c>
      <c r="B23" s="153" t="s">
        <v>131</v>
      </c>
      <c r="C23" s="153" t="s">
        <v>41</v>
      </c>
      <c r="D23" s="155">
        <v>0.72199999999999998</v>
      </c>
      <c r="E23" s="155">
        <v>0.76400000000000001</v>
      </c>
      <c r="F23" s="155">
        <v>0.69399999999999995</v>
      </c>
      <c r="G23" s="155">
        <v>0.70899999999999996</v>
      </c>
      <c r="H23" s="161">
        <v>-1.2999999999999901E-2</v>
      </c>
    </row>
    <row r="24" spans="1:9">
      <c r="A24" s="152" t="s">
        <v>146</v>
      </c>
      <c r="B24" s="153" t="s">
        <v>131</v>
      </c>
      <c r="C24" s="153" t="s">
        <v>42</v>
      </c>
      <c r="D24" s="155">
        <v>0.57799999999999996</v>
      </c>
      <c r="E24" s="155">
        <v>0.58699999999999997</v>
      </c>
      <c r="F24" s="155">
        <v>0.504</v>
      </c>
      <c r="G24" s="155">
        <v>0.46800000000000003</v>
      </c>
      <c r="H24" s="161">
        <v>-0.11</v>
      </c>
    </row>
    <row r="26" spans="1:9">
      <c r="A26" s="400" t="s">
        <v>420</v>
      </c>
      <c r="B26" s="400"/>
      <c r="C26" s="400"/>
      <c r="D26" s="400"/>
      <c r="E26" s="400"/>
      <c r="F26" s="400"/>
      <c r="G26" s="400"/>
      <c r="H26" s="400"/>
      <c r="I26" s="400"/>
    </row>
    <row r="27" spans="1:9">
      <c r="A27" s="157"/>
      <c r="B27" s="157"/>
      <c r="C27" s="163" t="s">
        <v>421</v>
      </c>
      <c r="D27" s="164">
        <v>0.67479999999999996</v>
      </c>
      <c r="E27" s="164">
        <v>0.70420000000000005</v>
      </c>
      <c r="F27" s="164">
        <v>0.69699999999999995</v>
      </c>
      <c r="G27" s="164">
        <v>0.72770000000000001</v>
      </c>
      <c r="H27" s="167">
        <v>5.2899999999999697E-2</v>
      </c>
    </row>
    <row r="28" spans="1:9">
      <c r="A28" s="157"/>
      <c r="B28" s="157"/>
      <c r="C28" s="163" t="s">
        <v>422</v>
      </c>
      <c r="D28" s="164">
        <v>0.47639999999999999</v>
      </c>
      <c r="E28" s="164">
        <v>0.49969999999999998</v>
      </c>
      <c r="F28" s="164">
        <v>0.48970000000000002</v>
      </c>
      <c r="G28" s="164">
        <v>0.49270000000000003</v>
      </c>
      <c r="H28" s="167">
        <v>1.6299999999999999E-2</v>
      </c>
    </row>
    <row r="31" spans="1:9">
      <c r="A31" s="399" t="s">
        <v>423</v>
      </c>
      <c r="B31" s="399"/>
      <c r="C31" s="399"/>
      <c r="D31" s="399"/>
      <c r="E31" s="399"/>
      <c r="F31" s="399"/>
      <c r="G31" s="399"/>
      <c r="H31" s="399"/>
      <c r="I31" s="399"/>
    </row>
    <row r="32" spans="1:9" ht="34.5" customHeight="1">
      <c r="A32" s="166"/>
      <c r="B32" s="166"/>
      <c r="C32" s="150" t="s">
        <v>156</v>
      </c>
      <c r="D32" s="150" t="s">
        <v>117</v>
      </c>
      <c r="E32" s="150" t="s">
        <v>118</v>
      </c>
      <c r="F32" s="150" t="s">
        <v>119</v>
      </c>
      <c r="G32" s="150" t="s">
        <v>120</v>
      </c>
      <c r="H32" s="160" t="s">
        <v>419</v>
      </c>
    </row>
    <row r="33" spans="3:8">
      <c r="C33" s="163" t="s">
        <v>421</v>
      </c>
      <c r="D33" s="164">
        <v>0.57379999999999998</v>
      </c>
      <c r="E33" s="164">
        <v>0.61619999999999997</v>
      </c>
      <c r="F33" s="164">
        <v>0.60980000000000001</v>
      </c>
      <c r="G33" s="164">
        <v>0.63019999999999998</v>
      </c>
      <c r="H33" s="167">
        <v>5.6399999999999902E-2</v>
      </c>
    </row>
    <row r="34" spans="3:8">
      <c r="C34" s="163" t="s">
        <v>422</v>
      </c>
      <c r="D34" s="164">
        <v>0.41589999999999999</v>
      </c>
      <c r="E34" s="164">
        <v>0.4476</v>
      </c>
      <c r="F34" s="164">
        <v>0.45055000000000001</v>
      </c>
      <c r="G34" s="164">
        <v>0.46539999999999998</v>
      </c>
      <c r="H34" s="167">
        <v>4.9500000000000002E-2</v>
      </c>
    </row>
  </sheetData>
  <mergeCells count="4">
    <mergeCell ref="A1:I1"/>
    <mergeCell ref="A3:I3"/>
    <mergeCell ref="A26:I26"/>
    <mergeCell ref="A31:I31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B883-4A6C-2C4E-875C-5C1C1987D248}">
  <sheetPr>
    <tabColor rgb="FFED7D31"/>
  </sheetPr>
  <dimension ref="A1:K16"/>
  <sheetViews>
    <sheetView zoomScaleNormal="100" workbookViewId="0">
      <selection sqref="A1:K1"/>
    </sheetView>
  </sheetViews>
  <sheetFormatPr baseColWidth="10" defaultColWidth="8.6640625" defaultRowHeight="15" customHeight="1"/>
  <cols>
    <col min="1" max="1" width="38" style="149" customWidth="1"/>
    <col min="2" max="2" width="12" style="149" customWidth="1"/>
    <col min="3" max="10" width="14" style="149" customWidth="1"/>
    <col min="11" max="16384" width="8.6640625" style="149"/>
  </cols>
  <sheetData>
    <row r="1" spans="1:11" ht="30" customHeight="1">
      <c r="A1" s="384" t="s">
        <v>426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</row>
    <row r="2" spans="1:11">
      <c r="C2" s="401" t="s">
        <v>427</v>
      </c>
      <c r="D2" s="401"/>
      <c r="E2" s="401" t="s">
        <v>428</v>
      </c>
      <c r="F2" s="401"/>
      <c r="G2" s="402" t="s">
        <v>429</v>
      </c>
      <c r="H2" s="402"/>
      <c r="I2" s="402" t="s">
        <v>430</v>
      </c>
      <c r="J2" s="402"/>
    </row>
    <row r="3" spans="1:11" ht="34.5" customHeight="1">
      <c r="A3" s="150" t="s">
        <v>123</v>
      </c>
      <c r="B3" s="150" t="s">
        <v>124</v>
      </c>
      <c r="C3" s="168" t="s">
        <v>120</v>
      </c>
      <c r="D3" s="168" t="s">
        <v>431</v>
      </c>
      <c r="E3" s="168" t="s">
        <v>120</v>
      </c>
      <c r="F3" s="168" t="s">
        <v>431</v>
      </c>
      <c r="G3" s="169" t="s">
        <v>120</v>
      </c>
      <c r="H3" s="169" t="s">
        <v>431</v>
      </c>
      <c r="I3" s="169" t="s">
        <v>120</v>
      </c>
      <c r="J3" s="169" t="s">
        <v>431</v>
      </c>
    </row>
    <row r="4" spans="1:11">
      <c r="A4" s="152" t="s">
        <v>130</v>
      </c>
      <c r="B4" s="153" t="s">
        <v>129</v>
      </c>
      <c r="C4" s="159">
        <v>0.79100000000000004</v>
      </c>
      <c r="D4" s="170">
        <v>-2.1999999999999999E-2</v>
      </c>
      <c r="E4" s="159">
        <v>0.317</v>
      </c>
      <c r="F4" s="171">
        <v>0</v>
      </c>
      <c r="G4" s="159">
        <v>0.9</v>
      </c>
      <c r="H4" s="170">
        <v>-0.02</v>
      </c>
      <c r="I4" s="159">
        <v>0.4</v>
      </c>
      <c r="J4" s="171">
        <v>0.23</v>
      </c>
    </row>
    <row r="5" spans="1:11">
      <c r="A5" s="152" t="s">
        <v>130</v>
      </c>
      <c r="B5" s="153" t="s">
        <v>131</v>
      </c>
      <c r="C5" s="159">
        <v>0.83899999999999997</v>
      </c>
      <c r="D5" s="171">
        <v>2.6000000000000099E-2</v>
      </c>
      <c r="E5" s="159">
        <v>0</v>
      </c>
      <c r="F5" s="171">
        <v>0</v>
      </c>
      <c r="G5" s="159">
        <v>0.87</v>
      </c>
      <c r="H5" s="171">
        <v>0.08</v>
      </c>
      <c r="I5" s="159">
        <v>0.43</v>
      </c>
      <c r="J5" s="171">
        <v>0.02</v>
      </c>
    </row>
    <row r="6" spans="1:11">
      <c r="A6" s="152" t="s">
        <v>138</v>
      </c>
      <c r="B6" s="153" t="s">
        <v>129</v>
      </c>
      <c r="C6" s="159">
        <v>0.80100000000000005</v>
      </c>
      <c r="D6" s="170">
        <v>-6.5000000000000002E-2</v>
      </c>
      <c r="E6" s="159">
        <v>0.78100000000000003</v>
      </c>
      <c r="F6" s="170">
        <v>-7.6999999999999999E-2</v>
      </c>
      <c r="G6" s="159">
        <v>0.88</v>
      </c>
      <c r="H6" s="170">
        <v>-0.08</v>
      </c>
      <c r="I6" s="159">
        <v>0.54</v>
      </c>
      <c r="J6" s="170">
        <v>-0.28999999999999998</v>
      </c>
    </row>
    <row r="7" spans="1:11">
      <c r="A7" s="152" t="s">
        <v>138</v>
      </c>
      <c r="B7" s="153" t="s">
        <v>131</v>
      </c>
      <c r="C7" s="159">
        <v>0.84599999999999997</v>
      </c>
      <c r="D7" s="170">
        <v>-0.02</v>
      </c>
      <c r="E7" s="159">
        <v>0.68100000000000005</v>
      </c>
      <c r="F7" s="170">
        <v>-7.0000000000000296E-3</v>
      </c>
      <c r="G7" s="159">
        <v>0.97</v>
      </c>
      <c r="H7" s="170">
        <v>-0.02</v>
      </c>
      <c r="I7" s="159">
        <v>0.43</v>
      </c>
      <c r="J7" s="171">
        <v>0.05</v>
      </c>
    </row>
    <row r="8" spans="1:11">
      <c r="A8" s="152" t="s">
        <v>139</v>
      </c>
      <c r="B8" s="153" t="s">
        <v>129</v>
      </c>
      <c r="C8" s="159">
        <v>0.86</v>
      </c>
      <c r="D8" s="170">
        <v>-4.4999999999999998E-2</v>
      </c>
      <c r="E8" s="159">
        <v>0.84899999999999998</v>
      </c>
      <c r="F8" s="170">
        <v>-3.59999999999999E-2</v>
      </c>
      <c r="G8" s="159">
        <v>0.84</v>
      </c>
      <c r="H8" s="171">
        <v>0.01</v>
      </c>
      <c r="I8" s="159">
        <v>0.52</v>
      </c>
      <c r="J8" s="171">
        <v>0.19</v>
      </c>
    </row>
    <row r="9" spans="1:11">
      <c r="A9" s="152" t="s">
        <v>139</v>
      </c>
      <c r="B9" s="153" t="s">
        <v>131</v>
      </c>
      <c r="C9" s="159">
        <v>0.86599999999999999</v>
      </c>
      <c r="D9" s="170">
        <v>-1.4999999999999999E-2</v>
      </c>
      <c r="E9" s="159">
        <v>0.82599999999999996</v>
      </c>
      <c r="F9" s="170">
        <v>-8.0000000000001095E-3</v>
      </c>
      <c r="G9" s="159">
        <v>0.94</v>
      </c>
      <c r="H9" s="170">
        <v>-0.06</v>
      </c>
      <c r="I9" s="159">
        <v>0.22</v>
      </c>
      <c r="J9" s="170">
        <v>-0.04</v>
      </c>
    </row>
    <row r="10" spans="1:11">
      <c r="A10" s="152" t="s">
        <v>146</v>
      </c>
      <c r="B10" s="153" t="s">
        <v>129</v>
      </c>
      <c r="C10" s="159">
        <v>0.58299999999999996</v>
      </c>
      <c r="D10" s="171">
        <v>0.161</v>
      </c>
      <c r="E10" s="159">
        <v>9.4E-2</v>
      </c>
      <c r="F10" s="170">
        <v>-0.05</v>
      </c>
      <c r="G10" s="159">
        <v>0.83</v>
      </c>
      <c r="H10" s="170">
        <v>-0.17</v>
      </c>
      <c r="I10" s="159">
        <v>0.09</v>
      </c>
      <c r="J10" s="171">
        <v>0.05</v>
      </c>
    </row>
    <row r="11" spans="1:11">
      <c r="A11" s="152" t="s">
        <v>146</v>
      </c>
      <c r="B11" s="153" t="s">
        <v>131</v>
      </c>
      <c r="C11" s="159">
        <v>0.70899999999999996</v>
      </c>
      <c r="D11" s="170">
        <v>-1.2999999999999999E-2</v>
      </c>
      <c r="E11" s="159">
        <v>0.46800000000000003</v>
      </c>
      <c r="F11" s="170">
        <v>-0.11</v>
      </c>
      <c r="G11" s="159">
        <v>0.98</v>
      </c>
      <c r="H11" s="171">
        <v>0.02</v>
      </c>
      <c r="I11" s="159">
        <v>0.67</v>
      </c>
      <c r="J11" s="170">
        <v>-0.13</v>
      </c>
    </row>
    <row r="12" spans="1:11">
      <c r="A12" s="152" t="s">
        <v>144</v>
      </c>
      <c r="B12" s="153" t="s">
        <v>129</v>
      </c>
      <c r="C12" s="159">
        <v>0.46800000000000003</v>
      </c>
      <c r="D12" s="171">
        <v>9.9000000000000005E-2</v>
      </c>
      <c r="E12" s="159">
        <v>0.45200000000000001</v>
      </c>
      <c r="F12" s="171">
        <v>8.3000000000000101E-2</v>
      </c>
      <c r="G12" s="159">
        <v>0.42</v>
      </c>
      <c r="H12" s="170">
        <v>-0.57999999999999996</v>
      </c>
      <c r="I12" s="159">
        <v>0.37</v>
      </c>
      <c r="J12" s="170">
        <v>-0.63</v>
      </c>
    </row>
    <row r="13" spans="1:11">
      <c r="A13" s="152" t="s">
        <v>144</v>
      </c>
      <c r="B13" s="153" t="s">
        <v>131</v>
      </c>
      <c r="C13" s="159">
        <v>0.51400000000000001</v>
      </c>
      <c r="D13" s="171">
        <v>0.42299999999999999</v>
      </c>
      <c r="E13" s="159">
        <v>0.45900000000000002</v>
      </c>
      <c r="F13" s="171">
        <v>0.36799999999999999</v>
      </c>
      <c r="G13" s="157" t="s">
        <v>15</v>
      </c>
      <c r="H13" s="157" t="s">
        <v>15</v>
      </c>
      <c r="I13" s="157" t="s">
        <v>15</v>
      </c>
      <c r="J13" s="157" t="s">
        <v>15</v>
      </c>
    </row>
    <row r="15" spans="1:11">
      <c r="A15" s="399" t="s">
        <v>432</v>
      </c>
      <c r="B15" s="399"/>
      <c r="C15" s="399"/>
      <c r="D15" s="399"/>
      <c r="E15" s="399"/>
      <c r="F15" s="399"/>
      <c r="G15" s="399"/>
      <c r="H15" s="399"/>
      <c r="I15" s="399"/>
      <c r="J15" s="399"/>
    </row>
    <row r="16" spans="1:11">
      <c r="A16" s="152" t="s">
        <v>128</v>
      </c>
      <c r="B16" s="153" t="s">
        <v>129</v>
      </c>
      <c r="C16" s="157" t="s">
        <v>15</v>
      </c>
      <c r="D16" s="157" t="s">
        <v>15</v>
      </c>
      <c r="E16" s="157" t="s">
        <v>15</v>
      </c>
      <c r="F16" s="157" t="s">
        <v>15</v>
      </c>
      <c r="G16" s="159">
        <v>0.5</v>
      </c>
      <c r="H16" s="170">
        <v>-0.02</v>
      </c>
      <c r="I16" s="159">
        <v>0.49</v>
      </c>
      <c r="J16" s="170">
        <v>-0.03</v>
      </c>
    </row>
  </sheetData>
  <mergeCells count="6">
    <mergeCell ref="A15:J15"/>
    <mergeCell ref="A1:K1"/>
    <mergeCell ref="C2:D2"/>
    <mergeCell ref="E2:F2"/>
    <mergeCell ref="G2:H2"/>
    <mergeCell ref="I2:J2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Classification: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EC16-3D2A-0347-9E0A-873A7E97DFF5}">
  <sheetPr filterMode="1"/>
  <dimension ref="A1:S88"/>
  <sheetViews>
    <sheetView workbookViewId="0">
      <selection activeCell="M60" sqref="M60"/>
    </sheetView>
  </sheetViews>
  <sheetFormatPr baseColWidth="10" defaultRowHeight="13"/>
  <cols>
    <col min="2" max="2" width="40" customWidth="1"/>
  </cols>
  <sheetData>
    <row r="1" spans="1:19">
      <c r="A1" t="s">
        <v>19</v>
      </c>
      <c r="B1" t="s">
        <v>20</v>
      </c>
      <c r="C1" t="s">
        <v>21</v>
      </c>
      <c r="D1" t="s">
        <v>22</v>
      </c>
      <c r="G1" t="s">
        <v>23</v>
      </c>
      <c r="H1" t="s">
        <v>433</v>
      </c>
      <c r="I1" t="s">
        <v>24</v>
      </c>
      <c r="J1" t="s">
        <v>434</v>
      </c>
      <c r="K1" t="s">
        <v>25</v>
      </c>
      <c r="L1" t="s">
        <v>435</v>
      </c>
      <c r="M1" t="s">
        <v>26</v>
      </c>
      <c r="N1" t="s">
        <v>436</v>
      </c>
      <c r="O1" t="s">
        <v>27</v>
      </c>
      <c r="P1" t="s">
        <v>437</v>
      </c>
      <c r="Q1" t="s">
        <v>28</v>
      </c>
      <c r="R1" t="s">
        <v>438</v>
      </c>
      <c r="S1" t="s">
        <v>9</v>
      </c>
    </row>
    <row r="2" spans="1:19" hidden="1">
      <c r="A2">
        <v>50</v>
      </c>
      <c r="B2" t="s">
        <v>463</v>
      </c>
      <c r="C2" t="s">
        <v>29</v>
      </c>
      <c r="D2" t="s">
        <v>12</v>
      </c>
      <c r="G2" s="251">
        <v>0</v>
      </c>
      <c r="H2" s="251">
        <v>0</v>
      </c>
      <c r="I2" s="251">
        <v>0</v>
      </c>
      <c r="J2" s="251">
        <v>0</v>
      </c>
      <c r="K2" s="251">
        <v>0</v>
      </c>
      <c r="L2" s="251">
        <v>0</v>
      </c>
      <c r="M2" s="251">
        <v>0</v>
      </c>
      <c r="N2" s="251"/>
      <c r="O2" s="251"/>
      <c r="P2" s="251"/>
      <c r="Q2" s="251"/>
      <c r="R2" s="251"/>
      <c r="S2" s="251">
        <v>0</v>
      </c>
    </row>
    <row r="3" spans="1:19" hidden="1">
      <c r="A3">
        <v>66</v>
      </c>
      <c r="B3" t="s">
        <v>471</v>
      </c>
      <c r="C3" t="s">
        <v>33</v>
      </c>
      <c r="D3" t="s">
        <v>16</v>
      </c>
      <c r="G3" s="251">
        <v>6.9000000000000006E-2</v>
      </c>
      <c r="H3" s="251">
        <v>0.13900000000000001</v>
      </c>
      <c r="I3" s="251">
        <v>0</v>
      </c>
      <c r="J3" s="251">
        <v>4.4999999999999998E-2</v>
      </c>
      <c r="K3" s="251">
        <v>5.5555555555555601E-2</v>
      </c>
      <c r="L3" s="251">
        <v>2.564102564102564E-2</v>
      </c>
      <c r="M3" s="251">
        <v>7.3170731707317097E-2</v>
      </c>
      <c r="N3" s="251"/>
      <c r="O3" s="251"/>
      <c r="P3" s="251"/>
      <c r="Q3" s="251"/>
      <c r="R3" s="251"/>
      <c r="S3" s="251">
        <v>5.8195330414842615E-2</v>
      </c>
    </row>
    <row r="4" spans="1:19" hidden="1">
      <c r="A4">
        <v>38</v>
      </c>
      <c r="B4" t="s">
        <v>457</v>
      </c>
      <c r="C4" t="s">
        <v>33</v>
      </c>
      <c r="D4" t="s">
        <v>16</v>
      </c>
      <c r="G4" s="251">
        <v>0.18</v>
      </c>
      <c r="H4" s="251">
        <v>7.0000000000000007E-2</v>
      </c>
      <c r="I4" s="251">
        <v>0.04</v>
      </c>
      <c r="J4" s="251">
        <v>0.02</v>
      </c>
      <c r="K4" s="251">
        <v>8.8516746411483299E-2</v>
      </c>
      <c r="L4" s="251">
        <v>0.05</v>
      </c>
      <c r="M4" s="251">
        <v>7.2386058981233306E-2</v>
      </c>
      <c r="N4" s="251"/>
      <c r="O4" s="251"/>
      <c r="P4" s="251"/>
      <c r="Q4" s="251"/>
      <c r="R4" s="251"/>
      <c r="S4" s="251">
        <v>7.4414686484673795E-2</v>
      </c>
    </row>
    <row r="5" spans="1:19">
      <c r="A5">
        <v>65</v>
      </c>
      <c r="B5" t="s">
        <v>471</v>
      </c>
      <c r="C5" t="s">
        <v>33</v>
      </c>
      <c r="D5" t="s">
        <v>14</v>
      </c>
      <c r="G5" s="251">
        <v>0.13800000000000001</v>
      </c>
      <c r="H5" s="251">
        <v>0.13900000000000001</v>
      </c>
      <c r="I5" s="251">
        <v>3.9E-2</v>
      </c>
      <c r="J5" s="251">
        <v>4.4999999999999998E-2</v>
      </c>
      <c r="K5" s="251">
        <v>7.4074074074074098E-2</v>
      </c>
      <c r="L5" s="251">
        <v>2.564102564102564E-2</v>
      </c>
      <c r="M5" s="251">
        <v>0.12195121951219499</v>
      </c>
      <c r="N5" s="251"/>
      <c r="O5" s="251"/>
      <c r="P5" s="251"/>
      <c r="Q5" s="251"/>
      <c r="R5" s="251"/>
      <c r="S5" s="251">
        <v>8.3238045603899247E-2</v>
      </c>
    </row>
    <row r="6" spans="1:19" hidden="1">
      <c r="A6">
        <v>84</v>
      </c>
      <c r="B6" t="s">
        <v>34</v>
      </c>
      <c r="C6" t="s">
        <v>33</v>
      </c>
      <c r="D6" t="s">
        <v>30</v>
      </c>
      <c r="G6" s="251">
        <v>4.3999999999999997E-2</v>
      </c>
      <c r="H6" s="251">
        <v>0.13200000000000001</v>
      </c>
      <c r="I6" s="251">
        <v>7.0000000000000007E-2</v>
      </c>
      <c r="J6" s="251">
        <v>0.115</v>
      </c>
      <c r="K6" s="251">
        <v>0.125</v>
      </c>
      <c r="L6" s="251">
        <v>0.17399999999999999</v>
      </c>
      <c r="M6" s="251">
        <v>0.17399999999999999</v>
      </c>
      <c r="N6" s="251"/>
      <c r="O6" s="251"/>
      <c r="P6" s="251"/>
      <c r="Q6" s="251"/>
      <c r="R6" s="251"/>
      <c r="S6" s="251">
        <v>0.11914285714285712</v>
      </c>
    </row>
    <row r="7" spans="1:19" hidden="1">
      <c r="A7">
        <v>42</v>
      </c>
      <c r="B7" t="s">
        <v>459</v>
      </c>
      <c r="C7" t="s">
        <v>29</v>
      </c>
      <c r="D7" t="s">
        <v>12</v>
      </c>
      <c r="G7" s="251">
        <v>0.04</v>
      </c>
      <c r="H7" s="251">
        <v>0.12</v>
      </c>
      <c r="I7" s="251">
        <v>0.28999999999999998</v>
      </c>
      <c r="J7" s="251">
        <v>0.09</v>
      </c>
      <c r="K7" s="251">
        <v>0.105263157894737</v>
      </c>
      <c r="L7" s="251">
        <v>0.16</v>
      </c>
      <c r="M7" s="251">
        <v>0.13136729222520099</v>
      </c>
      <c r="N7" s="251"/>
      <c r="O7" s="251"/>
      <c r="P7" s="251"/>
      <c r="Q7" s="251"/>
      <c r="R7" s="251"/>
      <c r="S7" s="251">
        <v>0.13380435001713401</v>
      </c>
    </row>
    <row r="8" spans="1:19" hidden="1">
      <c r="A8">
        <v>78</v>
      </c>
      <c r="B8" t="s">
        <v>477</v>
      </c>
      <c r="C8" t="s">
        <v>29</v>
      </c>
      <c r="D8" t="s">
        <v>12</v>
      </c>
      <c r="G8" s="251">
        <v>0.14399999999999999</v>
      </c>
      <c r="H8" s="251">
        <v>0.154</v>
      </c>
      <c r="I8" s="251">
        <v>0.10100000000000001</v>
      </c>
      <c r="J8" s="251">
        <v>9.4E-2</v>
      </c>
      <c r="K8" s="251">
        <v>0.127906976744186</v>
      </c>
      <c r="L8" s="251">
        <v>0.1891025641025641</v>
      </c>
      <c r="M8" s="251">
        <v>0.14141414141414099</v>
      </c>
      <c r="N8" s="251"/>
      <c r="O8" s="251"/>
      <c r="P8" s="251"/>
      <c r="Q8" s="251"/>
      <c r="R8" s="251"/>
      <c r="S8" s="251">
        <v>0.13591766889441301</v>
      </c>
    </row>
    <row r="9" spans="1:19" hidden="1">
      <c r="A9">
        <v>87</v>
      </c>
      <c r="B9" t="s">
        <v>40</v>
      </c>
      <c r="C9" t="s">
        <v>33</v>
      </c>
      <c r="D9" t="s">
        <v>481</v>
      </c>
      <c r="G9" s="251">
        <v>0.25559999999999999</v>
      </c>
      <c r="H9" s="251">
        <v>0.17080000000000001</v>
      </c>
      <c r="I9" s="251">
        <v>0.14879999999999999</v>
      </c>
      <c r="J9" s="251">
        <v>0.14549999999999999</v>
      </c>
      <c r="K9" s="251">
        <v>0.1245</v>
      </c>
      <c r="L9" s="251">
        <v>7.0800000000000002E-2</v>
      </c>
      <c r="M9" s="251">
        <v>0.1019</v>
      </c>
      <c r="N9" s="251"/>
      <c r="O9" s="251"/>
      <c r="P9" s="251"/>
      <c r="Q9" s="251"/>
      <c r="R9" s="251"/>
      <c r="S9" s="251">
        <v>0.14541428571428572</v>
      </c>
    </row>
    <row r="10" spans="1:19">
      <c r="A10">
        <v>37</v>
      </c>
      <c r="B10" t="s">
        <v>457</v>
      </c>
      <c r="C10" t="s">
        <v>33</v>
      </c>
      <c r="D10" t="s">
        <v>14</v>
      </c>
      <c r="G10" s="251">
        <v>0.2</v>
      </c>
      <c r="H10" s="251">
        <v>0.08</v>
      </c>
      <c r="I10" s="251">
        <v>0.11</v>
      </c>
      <c r="J10" s="251">
        <v>0.13</v>
      </c>
      <c r="K10" s="251">
        <v>0.17464114832535901</v>
      </c>
      <c r="L10" s="251">
        <v>0.12</v>
      </c>
      <c r="M10" s="251">
        <v>0.20911528150134001</v>
      </c>
      <c r="N10" s="251"/>
      <c r="O10" s="251"/>
      <c r="P10" s="251"/>
      <c r="Q10" s="251"/>
      <c r="R10" s="251"/>
      <c r="S10" s="251">
        <v>0.1462509185466713</v>
      </c>
    </row>
    <row r="11" spans="1:19" hidden="1">
      <c r="A11">
        <v>68</v>
      </c>
      <c r="B11" t="s">
        <v>472</v>
      </c>
      <c r="C11" t="s">
        <v>33</v>
      </c>
      <c r="D11" t="s">
        <v>16</v>
      </c>
      <c r="G11" s="251">
        <v>8.4000000000000005E-2</v>
      </c>
      <c r="H11" s="251">
        <v>7.0000000000000007E-2</v>
      </c>
      <c r="I11" s="251">
        <v>5.6000000000000001E-2</v>
      </c>
      <c r="J11" s="251">
        <v>0.27500000000000002</v>
      </c>
      <c r="K11" s="251">
        <v>0.37414965986394599</v>
      </c>
      <c r="L11" s="251">
        <v>0.28000000000000003</v>
      </c>
      <c r="M11" s="251">
        <v>0.19230769230769201</v>
      </c>
      <c r="N11" s="251"/>
      <c r="O11" s="251"/>
      <c r="P11" s="251"/>
      <c r="Q11" s="251"/>
      <c r="R11" s="251"/>
      <c r="S11" s="251">
        <v>0.19020819316737689</v>
      </c>
    </row>
    <row r="12" spans="1:19" hidden="1">
      <c r="A12">
        <v>46</v>
      </c>
      <c r="B12" t="s">
        <v>461</v>
      </c>
      <c r="C12" t="s">
        <v>33</v>
      </c>
      <c r="D12" t="s">
        <v>16</v>
      </c>
      <c r="G12" s="251">
        <v>0.192</v>
      </c>
      <c r="H12" s="251">
        <v>0.222</v>
      </c>
      <c r="I12" s="251">
        <v>0.255</v>
      </c>
      <c r="J12" s="251">
        <v>0.115</v>
      </c>
      <c r="K12" s="251">
        <v>0.24444444444444399</v>
      </c>
      <c r="L12" s="251">
        <v>0.13043478260869565</v>
      </c>
      <c r="M12" s="251">
        <v>0.25</v>
      </c>
      <c r="N12" s="251"/>
      <c r="O12" s="251"/>
      <c r="P12" s="251"/>
      <c r="Q12" s="251"/>
      <c r="R12" s="251"/>
      <c r="S12" s="251">
        <v>0.20126846100759138</v>
      </c>
    </row>
    <row r="13" spans="1:19" hidden="1">
      <c r="A13">
        <v>24</v>
      </c>
      <c r="B13" t="s">
        <v>450</v>
      </c>
      <c r="C13" t="s">
        <v>29</v>
      </c>
      <c r="D13" t="s">
        <v>12</v>
      </c>
      <c r="G13" s="251">
        <v>0.26</v>
      </c>
      <c r="H13" s="251">
        <v>0.21</v>
      </c>
      <c r="I13" s="251">
        <v>0.18</v>
      </c>
      <c r="J13" s="251">
        <v>0.22</v>
      </c>
      <c r="K13" s="251">
        <v>0.214421252371917</v>
      </c>
      <c r="L13" s="251">
        <v>0.13</v>
      </c>
      <c r="M13" s="251">
        <v>0.245583038869258</v>
      </c>
      <c r="N13" s="251"/>
      <c r="O13" s="251"/>
      <c r="P13" s="251"/>
      <c r="Q13" s="251"/>
      <c r="R13" s="251"/>
      <c r="S13" s="251">
        <v>0.20857204160588211</v>
      </c>
    </row>
    <row r="14" spans="1:19" hidden="1">
      <c r="A14">
        <v>30</v>
      </c>
      <c r="B14" t="s">
        <v>453</v>
      </c>
      <c r="C14" t="s">
        <v>33</v>
      </c>
      <c r="D14" t="s">
        <v>16</v>
      </c>
      <c r="G14" s="251">
        <v>0.04</v>
      </c>
      <c r="H14" s="251">
        <v>0.06</v>
      </c>
      <c r="I14" s="251">
        <v>0.18</v>
      </c>
      <c r="J14" s="251">
        <v>0.38</v>
      </c>
      <c r="K14" s="251">
        <v>0.30592105263157898</v>
      </c>
      <c r="L14" s="251">
        <v>0.38</v>
      </c>
      <c r="M14" s="251">
        <v>0.39933993399339901</v>
      </c>
      <c r="N14" s="251"/>
      <c r="O14" s="251"/>
      <c r="P14" s="251"/>
      <c r="Q14" s="251"/>
      <c r="R14" s="251"/>
      <c r="S14" s="251">
        <v>0.24932299808928257</v>
      </c>
    </row>
    <row r="15" spans="1:19" hidden="1">
      <c r="A15">
        <v>32</v>
      </c>
      <c r="B15" t="s">
        <v>454</v>
      </c>
      <c r="C15" t="s">
        <v>33</v>
      </c>
      <c r="D15" t="s">
        <v>16</v>
      </c>
      <c r="G15" s="251">
        <v>0.06</v>
      </c>
      <c r="H15" s="251">
        <v>0.15</v>
      </c>
      <c r="I15" s="251">
        <v>0.25</v>
      </c>
      <c r="J15" s="251">
        <v>0.41</v>
      </c>
      <c r="K15" s="251">
        <v>0.3125</v>
      </c>
      <c r="L15" s="251">
        <v>0.37</v>
      </c>
      <c r="M15" s="251">
        <v>0.41584158415841599</v>
      </c>
      <c r="N15" s="251"/>
      <c r="O15" s="251"/>
      <c r="P15" s="251"/>
      <c r="Q15" s="251"/>
      <c r="R15" s="251"/>
      <c r="S15" s="251">
        <v>0.28119165487977366</v>
      </c>
    </row>
    <row r="16" spans="1:19" hidden="1">
      <c r="A16">
        <v>28</v>
      </c>
      <c r="B16" t="s">
        <v>452</v>
      </c>
      <c r="C16" t="s">
        <v>33</v>
      </c>
      <c r="D16" t="s">
        <v>16</v>
      </c>
      <c r="G16" s="251">
        <v>0.6</v>
      </c>
      <c r="H16" s="251">
        <v>0.31</v>
      </c>
      <c r="I16" s="251">
        <v>0.06</v>
      </c>
      <c r="J16" s="251">
        <v>0.26</v>
      </c>
      <c r="K16" s="251">
        <v>0.139013452914798</v>
      </c>
      <c r="L16" s="251">
        <v>0.28000000000000003</v>
      </c>
      <c r="M16" s="251">
        <v>0.31939163498098899</v>
      </c>
      <c r="N16" s="251"/>
      <c r="O16" s="251"/>
      <c r="P16" s="251"/>
      <c r="Q16" s="251"/>
      <c r="R16" s="251"/>
      <c r="S16" s="251">
        <v>0.28120072684225528</v>
      </c>
    </row>
    <row r="17" spans="1:19" hidden="1">
      <c r="A17">
        <v>16</v>
      </c>
      <c r="B17" t="s">
        <v>446</v>
      </c>
      <c r="C17" t="s">
        <v>33</v>
      </c>
      <c r="D17" t="s">
        <v>16</v>
      </c>
      <c r="G17" s="251">
        <v>0.28999999999999998</v>
      </c>
      <c r="H17" s="251">
        <v>0.27</v>
      </c>
      <c r="I17" s="251">
        <v>0.17</v>
      </c>
      <c r="J17" s="251">
        <v>0.3</v>
      </c>
      <c r="K17" s="251">
        <v>0.32766990291262099</v>
      </c>
      <c r="L17" s="251">
        <v>0.36</v>
      </c>
      <c r="M17" s="251">
        <v>0.27272727272727298</v>
      </c>
      <c r="N17" s="251"/>
      <c r="O17" s="251"/>
      <c r="P17" s="251"/>
      <c r="Q17" s="251"/>
      <c r="R17" s="251"/>
      <c r="S17" s="251">
        <v>0.284342453662842</v>
      </c>
    </row>
    <row r="18" spans="1:19">
      <c r="A18">
        <v>45</v>
      </c>
      <c r="B18" t="s">
        <v>461</v>
      </c>
      <c r="C18" t="s">
        <v>33</v>
      </c>
      <c r="D18" t="s">
        <v>14</v>
      </c>
      <c r="G18" s="251">
        <v>0.26900000000000002</v>
      </c>
      <c r="H18" s="251">
        <v>0.29599999999999999</v>
      </c>
      <c r="I18" s="251">
        <v>0.29799999999999999</v>
      </c>
      <c r="J18" s="251">
        <v>0.192</v>
      </c>
      <c r="K18" s="251">
        <v>0.28888888888888897</v>
      </c>
      <c r="L18" s="251">
        <v>0.30434782608695654</v>
      </c>
      <c r="M18" s="251">
        <v>0.34375</v>
      </c>
      <c r="N18" s="251"/>
      <c r="O18" s="251"/>
      <c r="P18" s="251"/>
      <c r="Q18" s="251"/>
      <c r="R18" s="251"/>
      <c r="S18" s="251">
        <v>0.28456953071083507</v>
      </c>
    </row>
    <row r="19" spans="1:19" hidden="1">
      <c r="A19">
        <v>8</v>
      </c>
      <c r="B19" t="s">
        <v>442</v>
      </c>
      <c r="C19" t="s">
        <v>33</v>
      </c>
      <c r="D19" t="s">
        <v>16</v>
      </c>
      <c r="G19" s="251">
        <v>0.27</v>
      </c>
      <c r="H19" s="251">
        <v>0.18</v>
      </c>
      <c r="I19" s="251">
        <v>0.15</v>
      </c>
      <c r="J19" s="251">
        <v>0.31</v>
      </c>
      <c r="K19" s="251">
        <v>0.31309297912713502</v>
      </c>
      <c r="L19" s="251">
        <v>0.41</v>
      </c>
      <c r="M19" s="251">
        <v>0.50883392226148405</v>
      </c>
      <c r="N19" s="251"/>
      <c r="O19" s="251"/>
      <c r="P19" s="251"/>
      <c r="Q19" s="251"/>
      <c r="R19" s="251"/>
      <c r="S19" s="251">
        <v>0.30598955734123129</v>
      </c>
    </row>
    <row r="20" spans="1:19" hidden="1">
      <c r="A20">
        <v>6</v>
      </c>
      <c r="B20" t="s">
        <v>441</v>
      </c>
      <c r="C20" t="s">
        <v>29</v>
      </c>
      <c r="D20" t="s">
        <v>12</v>
      </c>
      <c r="G20" s="251">
        <v>0.17</v>
      </c>
      <c r="H20" s="251">
        <v>0.39</v>
      </c>
      <c r="I20" s="251">
        <v>0.34</v>
      </c>
      <c r="J20" s="251">
        <v>0.4</v>
      </c>
      <c r="K20" s="251">
        <v>0.32914572864321601</v>
      </c>
      <c r="L20" s="251">
        <v>0.37</v>
      </c>
      <c r="M20" s="251">
        <v>0.38340807174887898</v>
      </c>
      <c r="N20" s="251"/>
      <c r="O20" s="251"/>
      <c r="P20" s="251"/>
      <c r="Q20" s="251"/>
      <c r="R20" s="251"/>
      <c r="S20" s="251">
        <v>0.34036482862744222</v>
      </c>
    </row>
    <row r="21" spans="1:19" hidden="1">
      <c r="A21">
        <v>48</v>
      </c>
      <c r="B21" t="s">
        <v>462</v>
      </c>
      <c r="C21" t="s">
        <v>29</v>
      </c>
      <c r="D21" t="s">
        <v>12</v>
      </c>
      <c r="G21" s="251">
        <v>0.317</v>
      </c>
      <c r="H21" s="251">
        <v>0.39200000000000002</v>
      </c>
      <c r="I21" s="251">
        <v>0.318</v>
      </c>
      <c r="J21" s="251">
        <v>0.317</v>
      </c>
      <c r="K21" s="251">
        <v>0.34246575342465801</v>
      </c>
      <c r="L21" s="251">
        <v>0.38486842105263158</v>
      </c>
      <c r="M21" s="251">
        <v>0.40683229813664601</v>
      </c>
      <c r="N21" s="251"/>
      <c r="O21" s="251"/>
      <c r="P21" s="251"/>
      <c r="Q21" s="251"/>
      <c r="R21" s="251"/>
      <c r="S21" s="251">
        <v>0.35402378180199084</v>
      </c>
    </row>
    <row r="22" spans="1:19">
      <c r="A22">
        <v>67</v>
      </c>
      <c r="B22" t="s">
        <v>472</v>
      </c>
      <c r="C22" t="s">
        <v>33</v>
      </c>
      <c r="D22" t="s">
        <v>14</v>
      </c>
      <c r="G22" s="251">
        <v>0.41099999999999998</v>
      </c>
      <c r="H22" s="251">
        <v>0.42599999999999999</v>
      </c>
      <c r="I22" s="251">
        <v>0.312</v>
      </c>
      <c r="J22" s="251">
        <v>0.39900000000000002</v>
      </c>
      <c r="K22" s="251">
        <v>0.42857142857142899</v>
      </c>
      <c r="L22" s="251">
        <v>0.31333333333333335</v>
      </c>
      <c r="M22" s="251">
        <v>0.22307692307692301</v>
      </c>
      <c r="N22" s="251"/>
      <c r="O22" s="251"/>
      <c r="P22" s="251"/>
      <c r="Q22" s="251"/>
      <c r="R22" s="251"/>
      <c r="S22" s="251">
        <v>0.35899738356881222</v>
      </c>
    </row>
    <row r="23" spans="1:19" hidden="1">
      <c r="A23">
        <v>34</v>
      </c>
      <c r="B23" t="s">
        <v>455</v>
      </c>
      <c r="C23" t="s">
        <v>33</v>
      </c>
      <c r="D23" t="s">
        <v>16</v>
      </c>
      <c r="G23" s="251">
        <v>0.04</v>
      </c>
      <c r="H23" s="251">
        <v>0.08</v>
      </c>
      <c r="I23" s="251">
        <v>0.22</v>
      </c>
      <c r="J23" s="251">
        <v>0.5</v>
      </c>
      <c r="K23" s="251">
        <v>0.45394736842105299</v>
      </c>
      <c r="L23" s="251">
        <v>0.61</v>
      </c>
      <c r="M23" s="251">
        <v>0.65346534653465305</v>
      </c>
      <c r="N23" s="251"/>
      <c r="O23" s="251"/>
      <c r="P23" s="251"/>
      <c r="Q23" s="251"/>
      <c r="R23" s="251"/>
      <c r="S23" s="251">
        <v>0.36534467356510086</v>
      </c>
    </row>
    <row r="24" spans="1:19" hidden="1">
      <c r="A24">
        <v>76</v>
      </c>
      <c r="B24" t="s">
        <v>476</v>
      </c>
      <c r="C24" t="s">
        <v>33</v>
      </c>
      <c r="D24" t="s">
        <v>16</v>
      </c>
      <c r="G24" s="251">
        <v>0.23499999999999999</v>
      </c>
      <c r="H24" s="251">
        <v>0.22800000000000001</v>
      </c>
      <c r="I24" s="251">
        <v>0.254</v>
      </c>
      <c r="J24" s="251">
        <v>0.34499999999999997</v>
      </c>
      <c r="K24" s="251">
        <v>0.43798449612403101</v>
      </c>
      <c r="L24" s="251">
        <v>0.51923076923076927</v>
      </c>
      <c r="M24" s="251">
        <v>0.57575757575757602</v>
      </c>
      <c r="N24" s="251"/>
      <c r="O24" s="251"/>
      <c r="P24" s="251"/>
      <c r="Q24" s="251"/>
      <c r="R24" s="251"/>
      <c r="S24" s="251">
        <v>0.37071040587319659</v>
      </c>
    </row>
    <row r="25" spans="1:19" hidden="1">
      <c r="A25">
        <v>72</v>
      </c>
      <c r="B25" t="s">
        <v>474</v>
      </c>
      <c r="C25" t="s">
        <v>29</v>
      </c>
      <c r="D25" t="s">
        <v>12</v>
      </c>
      <c r="G25" s="251">
        <v>0.36899999999999999</v>
      </c>
      <c r="H25" s="251">
        <v>0.27900000000000003</v>
      </c>
      <c r="I25" s="251">
        <v>0.39600000000000002</v>
      </c>
      <c r="J25" s="251">
        <v>0.45200000000000001</v>
      </c>
      <c r="K25" s="251">
        <v>0.41732283464566899</v>
      </c>
      <c r="L25" s="251">
        <v>0.42608695652173911</v>
      </c>
      <c r="M25" s="251">
        <v>0.38297872340425498</v>
      </c>
      <c r="N25" s="251"/>
      <c r="O25" s="251"/>
      <c r="P25" s="251"/>
      <c r="Q25" s="251"/>
      <c r="R25" s="251"/>
      <c r="S25" s="251">
        <v>0.388912644938809</v>
      </c>
    </row>
    <row r="26" spans="1:19" hidden="1">
      <c r="A26">
        <v>12</v>
      </c>
      <c r="B26" t="s">
        <v>444</v>
      </c>
      <c r="C26" t="s">
        <v>33</v>
      </c>
      <c r="D26" t="s">
        <v>16</v>
      </c>
      <c r="G26" s="251">
        <v>0.47</v>
      </c>
      <c r="H26" s="251">
        <v>0.27</v>
      </c>
      <c r="I26" s="251">
        <v>0.3</v>
      </c>
      <c r="J26" s="251">
        <v>0.36</v>
      </c>
      <c r="K26" s="251">
        <v>0.39805825242718401</v>
      </c>
      <c r="L26" s="251">
        <v>0.45</v>
      </c>
      <c r="M26" s="251">
        <v>0.53276955602537002</v>
      </c>
      <c r="N26" s="251"/>
      <c r="O26" s="251"/>
      <c r="P26" s="251"/>
      <c r="Q26" s="251"/>
      <c r="R26" s="251"/>
      <c r="S26" s="251">
        <v>0.39726111549322202</v>
      </c>
    </row>
    <row r="27" spans="1:19" hidden="1">
      <c r="A27">
        <v>74</v>
      </c>
      <c r="B27" t="s">
        <v>475</v>
      </c>
      <c r="C27" t="s">
        <v>29</v>
      </c>
      <c r="D27" t="s">
        <v>12</v>
      </c>
      <c r="G27" s="251">
        <v>9.0999999999999998E-2</v>
      </c>
      <c r="H27" s="251">
        <v>0.25</v>
      </c>
      <c r="I27" s="251">
        <v>0.375</v>
      </c>
      <c r="J27" s="251">
        <v>0.45900000000000002</v>
      </c>
      <c r="K27" s="251">
        <v>0.58823529411764697</v>
      </c>
      <c r="L27" s="251">
        <v>0.58139534883720934</v>
      </c>
      <c r="M27" s="251">
        <v>0.45652173913043498</v>
      </c>
      <c r="N27" s="251"/>
      <c r="O27" s="251"/>
      <c r="P27" s="251"/>
      <c r="Q27" s="251"/>
      <c r="R27" s="251"/>
      <c r="S27" s="251">
        <v>0.4001646260121845</v>
      </c>
    </row>
    <row r="28" spans="1:19">
      <c r="A28">
        <v>71</v>
      </c>
      <c r="B28" t="s">
        <v>474</v>
      </c>
      <c r="C28" t="s">
        <v>29</v>
      </c>
      <c r="D28" t="s">
        <v>11</v>
      </c>
      <c r="G28" s="251">
        <v>0.36899999999999999</v>
      </c>
      <c r="H28" s="251">
        <v>0.27900000000000003</v>
      </c>
      <c r="I28" s="251">
        <v>0.40600000000000003</v>
      </c>
      <c r="J28" s="251">
        <v>0.46800000000000003</v>
      </c>
      <c r="K28" s="251">
        <v>0.440944881889764</v>
      </c>
      <c r="L28" s="251">
        <v>0.46086956521739131</v>
      </c>
      <c r="M28" s="251">
        <v>0.42553191489361702</v>
      </c>
      <c r="N28" s="251"/>
      <c r="O28" s="251"/>
      <c r="P28" s="251"/>
      <c r="Q28" s="251"/>
      <c r="R28" s="251"/>
      <c r="S28" s="251">
        <v>0.40704948028582466</v>
      </c>
    </row>
    <row r="29" spans="1:19" hidden="1">
      <c r="A29">
        <v>83</v>
      </c>
      <c r="B29" t="s">
        <v>32</v>
      </c>
      <c r="C29" t="s">
        <v>33</v>
      </c>
      <c r="D29" t="s">
        <v>17</v>
      </c>
      <c r="G29" s="251">
        <v>0.223</v>
      </c>
      <c r="H29" s="251">
        <v>0.38600000000000001</v>
      </c>
      <c r="I29" s="251">
        <v>0.40300000000000002</v>
      </c>
      <c r="J29" s="251">
        <v>0.434</v>
      </c>
      <c r="K29" s="251">
        <v>0.435</v>
      </c>
      <c r="L29" s="251">
        <v>0.622</v>
      </c>
      <c r="M29" s="251">
        <v>0.39200000000000002</v>
      </c>
      <c r="N29" s="251"/>
      <c r="O29" s="251"/>
      <c r="P29" s="251"/>
      <c r="Q29" s="251"/>
      <c r="R29" s="251"/>
      <c r="S29" s="251">
        <v>0.41357142857142859</v>
      </c>
    </row>
    <row r="30" spans="1:19" hidden="1">
      <c r="A30">
        <v>18</v>
      </c>
      <c r="B30" t="s">
        <v>447</v>
      </c>
      <c r="C30" t="s">
        <v>33</v>
      </c>
      <c r="D30" t="s">
        <v>16</v>
      </c>
      <c r="G30" s="251">
        <v>0.4</v>
      </c>
      <c r="H30" s="251">
        <v>0.64</v>
      </c>
      <c r="I30" s="251">
        <v>0.42</v>
      </c>
      <c r="J30" s="251">
        <v>0.33</v>
      </c>
      <c r="K30" s="251">
        <v>0.43946188340807202</v>
      </c>
      <c r="L30" s="251">
        <v>0.44</v>
      </c>
      <c r="M30" s="251">
        <v>0.288973384030418</v>
      </c>
      <c r="N30" s="251"/>
      <c r="O30" s="251"/>
      <c r="P30" s="251"/>
      <c r="Q30" s="251"/>
      <c r="R30" s="251"/>
      <c r="S30" s="251">
        <v>0.42263360963407004</v>
      </c>
    </row>
    <row r="31" spans="1:19">
      <c r="A31">
        <v>73</v>
      </c>
      <c r="B31" t="s">
        <v>475</v>
      </c>
      <c r="C31" t="s">
        <v>29</v>
      </c>
      <c r="D31" t="s">
        <v>11</v>
      </c>
      <c r="G31" s="251">
        <v>9.0999999999999998E-2</v>
      </c>
      <c r="H31" s="251">
        <v>0.25</v>
      </c>
      <c r="I31" s="251">
        <v>0.375</v>
      </c>
      <c r="J31" s="251">
        <v>0.51400000000000001</v>
      </c>
      <c r="K31" s="251">
        <v>0.61764705882352899</v>
      </c>
      <c r="L31" s="251">
        <v>0.65116279069767447</v>
      </c>
      <c r="M31" s="251">
        <v>0.47826086956521702</v>
      </c>
      <c r="N31" s="251"/>
      <c r="O31" s="251"/>
      <c r="P31" s="251"/>
      <c r="Q31" s="251"/>
      <c r="R31" s="251"/>
      <c r="S31" s="251">
        <v>0.4252958170123457</v>
      </c>
    </row>
    <row r="32" spans="1:19">
      <c r="A32">
        <v>27</v>
      </c>
      <c r="B32" t="s">
        <v>452</v>
      </c>
      <c r="C32" t="s">
        <v>33</v>
      </c>
      <c r="D32" t="s">
        <v>14</v>
      </c>
      <c r="G32" s="251">
        <v>0.65</v>
      </c>
      <c r="H32" s="251">
        <v>0.38</v>
      </c>
      <c r="I32" s="251">
        <v>0.28999999999999998</v>
      </c>
      <c r="J32" s="251">
        <v>0.41</v>
      </c>
      <c r="K32" s="251">
        <v>0.34977578475336302</v>
      </c>
      <c r="L32" s="251">
        <v>0.4</v>
      </c>
      <c r="M32" s="251">
        <v>0.58174904942965799</v>
      </c>
      <c r="N32" s="251"/>
      <c r="O32" s="251"/>
      <c r="P32" s="251"/>
      <c r="Q32" s="251"/>
      <c r="R32" s="251"/>
      <c r="S32" s="251">
        <v>0.43736069059757438</v>
      </c>
    </row>
    <row r="33" spans="1:19" hidden="1">
      <c r="A33">
        <v>56</v>
      </c>
      <c r="B33" t="s">
        <v>466</v>
      </c>
      <c r="C33" t="s">
        <v>33</v>
      </c>
      <c r="D33" t="s">
        <v>16</v>
      </c>
      <c r="G33" s="251">
        <v>0.379</v>
      </c>
      <c r="H33" s="251">
        <v>0.38900000000000001</v>
      </c>
      <c r="I33" s="251">
        <v>0.49</v>
      </c>
      <c r="J33" s="251">
        <v>0.34799999999999998</v>
      </c>
      <c r="K33" s="251">
        <v>0.62962962962962998</v>
      </c>
      <c r="L33" s="251">
        <v>0.55128205128205132</v>
      </c>
      <c r="M33" s="251">
        <v>0.36585365853658502</v>
      </c>
      <c r="N33" s="251"/>
      <c r="O33" s="251"/>
      <c r="P33" s="251"/>
      <c r="Q33" s="251"/>
      <c r="R33" s="251"/>
      <c r="S33" s="251">
        <v>0.45039504849260936</v>
      </c>
    </row>
    <row r="34" spans="1:19" hidden="1">
      <c r="A34">
        <v>4</v>
      </c>
      <c r="B34" t="s">
        <v>440</v>
      </c>
      <c r="C34" t="s">
        <v>29</v>
      </c>
      <c r="D34" t="s">
        <v>12</v>
      </c>
      <c r="G34" s="251">
        <v>0.41</v>
      </c>
      <c r="H34" s="251">
        <v>0.36</v>
      </c>
      <c r="I34" s="251">
        <v>0.34</v>
      </c>
      <c r="J34" s="251">
        <v>0.43</v>
      </c>
      <c r="K34" s="251">
        <v>0.52763819095477404</v>
      </c>
      <c r="L34" s="251">
        <v>0.59</v>
      </c>
      <c r="M34" s="251">
        <v>0.66591928251121102</v>
      </c>
      <c r="N34" s="251"/>
      <c r="O34" s="251"/>
      <c r="P34" s="251"/>
      <c r="Q34" s="251"/>
      <c r="R34" s="251"/>
      <c r="S34" s="251">
        <v>0.47479392478085503</v>
      </c>
    </row>
    <row r="35" spans="1:19" hidden="1">
      <c r="A35">
        <v>20</v>
      </c>
      <c r="B35" t="s">
        <v>448</v>
      </c>
      <c r="C35" t="s">
        <v>29</v>
      </c>
      <c r="D35" t="s">
        <v>12</v>
      </c>
      <c r="G35" s="251">
        <v>0.38</v>
      </c>
      <c r="H35" s="251">
        <v>0.43</v>
      </c>
      <c r="I35" s="251">
        <v>0.37</v>
      </c>
      <c r="J35" s="251">
        <v>0.43</v>
      </c>
      <c r="K35" s="251">
        <v>0.487666034155598</v>
      </c>
      <c r="L35" s="251">
        <v>0.53</v>
      </c>
      <c r="M35" s="251">
        <v>0.72084805653710204</v>
      </c>
      <c r="N35" s="251"/>
      <c r="O35" s="251"/>
      <c r="P35" s="251"/>
      <c r="Q35" s="251"/>
      <c r="R35" s="251"/>
      <c r="S35" s="251">
        <v>0.4783591558132429</v>
      </c>
    </row>
    <row r="36" spans="1:19" hidden="1">
      <c r="A36">
        <v>26</v>
      </c>
      <c r="B36" t="s">
        <v>451</v>
      </c>
      <c r="C36" t="s">
        <v>29</v>
      </c>
      <c r="D36" t="s">
        <v>12</v>
      </c>
      <c r="G36" s="251">
        <v>0.33</v>
      </c>
      <c r="H36" s="251">
        <v>0.66</v>
      </c>
      <c r="I36" s="251">
        <v>0.61</v>
      </c>
      <c r="J36" s="251">
        <v>0.52</v>
      </c>
      <c r="K36" s="251">
        <v>0.43833017077798903</v>
      </c>
      <c r="L36" s="251">
        <v>0.46</v>
      </c>
      <c r="M36" s="251">
        <v>0.45583038869258002</v>
      </c>
      <c r="N36" s="251"/>
      <c r="O36" s="251"/>
      <c r="P36" s="251"/>
      <c r="Q36" s="251"/>
      <c r="R36" s="251"/>
      <c r="S36" s="251">
        <v>0.4963086513529385</v>
      </c>
    </row>
    <row r="37" spans="1:19" hidden="1">
      <c r="A37">
        <v>70</v>
      </c>
      <c r="B37" t="s">
        <v>473</v>
      </c>
      <c r="C37" t="s">
        <v>33</v>
      </c>
      <c r="D37" t="s">
        <v>16</v>
      </c>
      <c r="G37" s="251">
        <v>6.2E-2</v>
      </c>
      <c r="H37" s="251">
        <v>0.17299999999999999</v>
      </c>
      <c r="I37" s="251">
        <v>0.36499999999999999</v>
      </c>
      <c r="J37" s="251">
        <v>0.54500000000000004</v>
      </c>
      <c r="K37" s="251">
        <v>0.72131147540983598</v>
      </c>
      <c r="L37" s="251">
        <v>0.78703703703703709</v>
      </c>
      <c r="M37" s="251">
        <v>0.84037558685446001</v>
      </c>
      <c r="N37" s="251"/>
      <c r="O37" s="251"/>
      <c r="P37" s="251"/>
      <c r="Q37" s="251"/>
      <c r="R37" s="251"/>
      <c r="S37" s="251">
        <v>0.49910344275733332</v>
      </c>
    </row>
    <row r="38" spans="1:19">
      <c r="A38">
        <v>29</v>
      </c>
      <c r="B38" t="s">
        <v>453</v>
      </c>
      <c r="C38" t="s">
        <v>33</v>
      </c>
      <c r="D38" t="s">
        <v>14</v>
      </c>
      <c r="G38" s="251">
        <v>0.23</v>
      </c>
      <c r="H38" s="251">
        <v>0.13</v>
      </c>
      <c r="I38" s="251">
        <v>0.31</v>
      </c>
      <c r="J38" s="251">
        <v>0.61</v>
      </c>
      <c r="K38" s="251">
        <v>0.63815789473684204</v>
      </c>
      <c r="L38" s="251">
        <v>0.82</v>
      </c>
      <c r="M38" s="251">
        <v>0.80528052805280503</v>
      </c>
      <c r="N38" s="251"/>
      <c r="O38" s="251"/>
      <c r="P38" s="251"/>
      <c r="Q38" s="251"/>
      <c r="R38" s="251"/>
      <c r="S38" s="251">
        <v>0.50620548896994955</v>
      </c>
    </row>
    <row r="39" spans="1:19">
      <c r="A39">
        <v>55</v>
      </c>
      <c r="B39" t="s">
        <v>466</v>
      </c>
      <c r="C39" t="s">
        <v>33</v>
      </c>
      <c r="D39" t="s">
        <v>14</v>
      </c>
      <c r="G39" s="251">
        <v>0.41399999999999998</v>
      </c>
      <c r="H39" s="251">
        <v>0.41699999999999998</v>
      </c>
      <c r="I39" s="251">
        <v>0.51</v>
      </c>
      <c r="J39" s="251">
        <v>0.42399999999999999</v>
      </c>
      <c r="K39" s="251">
        <v>0.68518518518518501</v>
      </c>
      <c r="L39" s="251">
        <v>0.58974358974358976</v>
      </c>
      <c r="M39" s="251">
        <v>0.51219512195121997</v>
      </c>
      <c r="N39" s="251"/>
      <c r="O39" s="251"/>
      <c r="P39" s="251"/>
      <c r="Q39" s="251"/>
      <c r="R39" s="251"/>
      <c r="S39" s="251">
        <v>0.50744627098285633</v>
      </c>
    </row>
    <row r="40" spans="1:19" hidden="1">
      <c r="A40">
        <v>80</v>
      </c>
      <c r="B40" t="s">
        <v>478</v>
      </c>
      <c r="C40" t="s">
        <v>29</v>
      </c>
      <c r="D40" t="s">
        <v>12</v>
      </c>
      <c r="G40" s="251">
        <v>0.57799999999999996</v>
      </c>
      <c r="H40" s="251">
        <v>0.58699999999999997</v>
      </c>
      <c r="I40" s="251">
        <v>0.504</v>
      </c>
      <c r="J40" s="251">
        <v>0.46800000000000003</v>
      </c>
      <c r="K40" s="251">
        <v>0.484496124031008</v>
      </c>
      <c r="L40" s="251">
        <v>0.45192307692307693</v>
      </c>
      <c r="M40" s="251">
        <v>0.50168350168350195</v>
      </c>
      <c r="N40" s="251"/>
      <c r="O40" s="251"/>
      <c r="P40" s="251"/>
      <c r="Q40" s="251"/>
      <c r="R40" s="251"/>
      <c r="S40" s="251">
        <v>0.5107289575196553</v>
      </c>
    </row>
    <row r="41" spans="1:19">
      <c r="A41">
        <v>75</v>
      </c>
      <c r="B41" t="s">
        <v>476</v>
      </c>
      <c r="C41" t="s">
        <v>33</v>
      </c>
      <c r="D41" t="s">
        <v>14</v>
      </c>
      <c r="G41" s="251">
        <v>0.39600000000000002</v>
      </c>
      <c r="H41" s="251">
        <v>0.52100000000000002</v>
      </c>
      <c r="I41" s="251">
        <v>0.44</v>
      </c>
      <c r="J41" s="251">
        <v>0.47799999999999998</v>
      </c>
      <c r="K41" s="251">
        <v>0.55426356589147296</v>
      </c>
      <c r="L41" s="251">
        <v>0.56730769230769229</v>
      </c>
      <c r="M41" s="251">
        <v>0.64646464646464696</v>
      </c>
      <c r="N41" s="251"/>
      <c r="O41" s="251"/>
      <c r="P41" s="251"/>
      <c r="Q41" s="251"/>
      <c r="R41" s="251"/>
      <c r="S41" s="251">
        <v>0.51471941495197326</v>
      </c>
    </row>
    <row r="42" spans="1:19" hidden="1">
      <c r="A42">
        <v>2</v>
      </c>
      <c r="B42" t="s">
        <v>439</v>
      </c>
      <c r="C42" t="s">
        <v>29</v>
      </c>
      <c r="D42" t="s">
        <v>12</v>
      </c>
      <c r="G42" s="251">
        <v>0.52</v>
      </c>
      <c r="H42" s="251">
        <v>0.36</v>
      </c>
      <c r="I42" s="251">
        <v>0.35</v>
      </c>
      <c r="J42" s="251">
        <v>0.49</v>
      </c>
      <c r="K42" s="251">
        <v>0.546489563567362</v>
      </c>
      <c r="L42" s="251">
        <v>0.6</v>
      </c>
      <c r="M42" s="251">
        <v>0.74734982332155497</v>
      </c>
      <c r="N42" s="251"/>
      <c r="O42" s="251"/>
      <c r="P42" s="251"/>
      <c r="Q42" s="251"/>
      <c r="R42" s="251"/>
      <c r="S42" s="251">
        <v>0.51626276955555961</v>
      </c>
    </row>
    <row r="43" spans="1:19">
      <c r="A43">
        <v>1</v>
      </c>
      <c r="B43" t="s">
        <v>439</v>
      </c>
      <c r="C43" t="s">
        <v>29</v>
      </c>
      <c r="D43" t="s">
        <v>11</v>
      </c>
      <c r="G43" s="251">
        <v>0.52</v>
      </c>
      <c r="H43" s="251">
        <v>0.36</v>
      </c>
      <c r="I43" s="251">
        <v>0.35</v>
      </c>
      <c r="J43" s="251">
        <v>0.5</v>
      </c>
      <c r="K43" s="251">
        <v>0.55218216318785596</v>
      </c>
      <c r="L43" s="251">
        <v>0.61</v>
      </c>
      <c r="M43" s="251">
        <v>0.77031802120141302</v>
      </c>
      <c r="N43" s="251"/>
      <c r="O43" s="251"/>
      <c r="P43" s="251"/>
      <c r="Q43" s="251"/>
      <c r="R43" s="251"/>
      <c r="S43" s="251">
        <v>0.52321431205560986</v>
      </c>
    </row>
    <row r="44" spans="1:19" hidden="1">
      <c r="A44">
        <v>10</v>
      </c>
      <c r="B44" t="s">
        <v>443</v>
      </c>
      <c r="C44" t="s">
        <v>33</v>
      </c>
      <c r="D44" t="s">
        <v>16</v>
      </c>
      <c r="G44" s="251">
        <v>0.64</v>
      </c>
      <c r="H44" s="251">
        <v>0.53</v>
      </c>
      <c r="I44" s="251">
        <v>0.51</v>
      </c>
      <c r="J44" s="251">
        <v>0.49</v>
      </c>
      <c r="K44" s="251">
        <v>0.470873786407767</v>
      </c>
      <c r="L44" s="251">
        <v>0.53</v>
      </c>
      <c r="M44" s="251">
        <v>0.566596194503171</v>
      </c>
      <c r="N44" s="251"/>
      <c r="O44" s="251"/>
      <c r="P44" s="251"/>
      <c r="Q44" s="251"/>
      <c r="R44" s="251"/>
      <c r="S44" s="251">
        <v>0.53392428298727679</v>
      </c>
    </row>
    <row r="45" spans="1:19" hidden="1">
      <c r="A45">
        <v>36</v>
      </c>
      <c r="B45" t="s">
        <v>456</v>
      </c>
      <c r="C45" t="s">
        <v>29</v>
      </c>
      <c r="D45" t="s">
        <v>12</v>
      </c>
      <c r="G45" s="251">
        <v>1</v>
      </c>
      <c r="H45" s="251">
        <v>0.92</v>
      </c>
      <c r="I45" s="251">
        <v>0.54</v>
      </c>
      <c r="J45" s="251">
        <v>0.37</v>
      </c>
      <c r="K45" s="251">
        <v>0.47706422018348599</v>
      </c>
      <c r="L45" s="251">
        <v>0.21</v>
      </c>
      <c r="M45" s="251">
        <v>0.27979274611399002</v>
      </c>
      <c r="N45" s="251"/>
      <c r="O45" s="251"/>
      <c r="P45" s="251"/>
      <c r="Q45" s="251"/>
      <c r="R45" s="251"/>
      <c r="S45" s="251">
        <v>0.54240813804249666</v>
      </c>
    </row>
    <row r="46" spans="1:19">
      <c r="A46">
        <v>69</v>
      </c>
      <c r="B46" t="s">
        <v>473</v>
      </c>
      <c r="C46" t="s">
        <v>33</v>
      </c>
      <c r="D46" t="s">
        <v>14</v>
      </c>
      <c r="G46" s="251">
        <v>8.2000000000000003E-2</v>
      </c>
      <c r="H46" s="251">
        <v>0.183</v>
      </c>
      <c r="I46" s="251">
        <v>0.41399999999999998</v>
      </c>
      <c r="J46" s="251">
        <v>0.59599999999999997</v>
      </c>
      <c r="K46" s="251">
        <v>0.80327868852458995</v>
      </c>
      <c r="L46" s="251">
        <v>0.84259259259259256</v>
      </c>
      <c r="M46" s="251">
        <v>0.90140845070422504</v>
      </c>
      <c r="N46" s="251"/>
      <c r="O46" s="251"/>
      <c r="P46" s="251"/>
      <c r="Q46" s="251"/>
      <c r="R46" s="251"/>
      <c r="S46" s="251">
        <v>0.54603996168877245</v>
      </c>
    </row>
    <row r="47" spans="1:19">
      <c r="A47">
        <v>77</v>
      </c>
      <c r="B47" t="s">
        <v>477</v>
      </c>
      <c r="C47" t="s">
        <v>29</v>
      </c>
      <c r="D47" t="s">
        <v>11</v>
      </c>
      <c r="G47" s="251">
        <v>0.42199999999999999</v>
      </c>
      <c r="H47" s="251">
        <v>0.57499999999999996</v>
      </c>
      <c r="I47" s="251">
        <v>0.54</v>
      </c>
      <c r="J47" s="251">
        <v>0.58299999999999996</v>
      </c>
      <c r="K47" s="251">
        <v>0.56589147286821695</v>
      </c>
      <c r="L47" s="251">
        <v>0.57371794871794868</v>
      </c>
      <c r="M47" s="251">
        <v>0.60606060606060597</v>
      </c>
      <c r="N47" s="251"/>
      <c r="O47" s="251"/>
      <c r="P47" s="251"/>
      <c r="Q47" s="251"/>
      <c r="R47" s="251"/>
      <c r="S47" s="251">
        <v>0.55223857537811027</v>
      </c>
    </row>
    <row r="48" spans="1:19">
      <c r="A48">
        <v>33</v>
      </c>
      <c r="B48" t="s">
        <v>455</v>
      </c>
      <c r="C48" t="s">
        <v>33</v>
      </c>
      <c r="D48" t="s">
        <v>14</v>
      </c>
      <c r="G48" s="251">
        <v>0.28000000000000003</v>
      </c>
      <c r="H48" s="251">
        <v>0.14000000000000001</v>
      </c>
      <c r="I48" s="251">
        <v>0.34</v>
      </c>
      <c r="J48" s="251">
        <v>0.66</v>
      </c>
      <c r="K48" s="251">
        <v>0.70065789473684204</v>
      </c>
      <c r="L48" s="251">
        <v>0.87</v>
      </c>
      <c r="M48" s="251">
        <v>0.87788778877887796</v>
      </c>
      <c r="N48" s="251"/>
      <c r="O48" s="251"/>
      <c r="P48" s="251"/>
      <c r="Q48" s="251"/>
      <c r="R48" s="251"/>
      <c r="S48" s="251">
        <v>0.55264938335938862</v>
      </c>
    </row>
    <row r="49" spans="1:19" hidden="1">
      <c r="A49">
        <v>52</v>
      </c>
      <c r="B49" t="s">
        <v>464</v>
      </c>
      <c r="C49" t="s">
        <v>33</v>
      </c>
      <c r="D49" t="s">
        <v>16</v>
      </c>
      <c r="G49" s="251">
        <v>0.65100000000000002</v>
      </c>
      <c r="H49" s="251">
        <v>0.54800000000000004</v>
      </c>
      <c r="I49" s="251">
        <v>0.57999999999999996</v>
      </c>
      <c r="J49" s="251">
        <v>0.49</v>
      </c>
      <c r="K49" s="251">
        <v>0.59016393442622905</v>
      </c>
      <c r="L49" s="251">
        <v>0.48148148148148145</v>
      </c>
      <c r="M49" s="251">
        <v>0.53521126760563398</v>
      </c>
      <c r="N49" s="251"/>
      <c r="O49" s="251"/>
      <c r="P49" s="251"/>
      <c r="Q49" s="251"/>
      <c r="R49" s="251"/>
      <c r="S49" s="251">
        <v>0.55369381193047784</v>
      </c>
    </row>
    <row r="50" spans="1:19">
      <c r="A50">
        <v>35</v>
      </c>
      <c r="B50" t="s">
        <v>456</v>
      </c>
      <c r="C50" t="s">
        <v>29</v>
      </c>
      <c r="D50" t="s">
        <v>11</v>
      </c>
      <c r="G50" s="251">
        <v>1</v>
      </c>
      <c r="H50" s="251">
        <v>1</v>
      </c>
      <c r="I50" s="251">
        <v>0.56000000000000005</v>
      </c>
      <c r="J50" s="251">
        <v>0.42</v>
      </c>
      <c r="K50" s="251">
        <v>0.47706422018348599</v>
      </c>
      <c r="L50" s="251">
        <v>0.21</v>
      </c>
      <c r="M50" s="251">
        <v>0.29015544041450803</v>
      </c>
      <c r="N50" s="251"/>
      <c r="O50" s="251"/>
      <c r="P50" s="251"/>
      <c r="Q50" s="251"/>
      <c r="R50" s="251"/>
      <c r="S50" s="251">
        <v>0.56531709437114197</v>
      </c>
    </row>
    <row r="51" spans="1:19">
      <c r="A51">
        <v>15</v>
      </c>
      <c r="B51" t="s">
        <v>446</v>
      </c>
      <c r="C51" t="s">
        <v>33</v>
      </c>
      <c r="D51" t="s">
        <v>14</v>
      </c>
      <c r="G51" s="251">
        <v>0.7</v>
      </c>
      <c r="H51" s="251">
        <v>0.42</v>
      </c>
      <c r="I51" s="251">
        <v>0.42</v>
      </c>
      <c r="J51" s="251">
        <v>0.56999999999999995</v>
      </c>
      <c r="K51" s="251">
        <v>0.59466019417475702</v>
      </c>
      <c r="L51" s="251">
        <v>0.62</v>
      </c>
      <c r="M51" s="251">
        <v>0.68921775898520099</v>
      </c>
      <c r="N51" s="251"/>
      <c r="O51" s="251"/>
      <c r="P51" s="251"/>
      <c r="Q51" s="251"/>
      <c r="R51" s="251"/>
      <c r="S51" s="251">
        <v>0.57341113616570827</v>
      </c>
    </row>
    <row r="52" spans="1:19" hidden="1">
      <c r="A52">
        <v>14</v>
      </c>
      <c r="B52" t="s">
        <v>445</v>
      </c>
      <c r="C52" t="s">
        <v>33</v>
      </c>
      <c r="D52" t="s">
        <v>16</v>
      </c>
      <c r="G52" s="251">
        <v>0.51</v>
      </c>
      <c r="H52" s="251">
        <v>0.47</v>
      </c>
      <c r="I52" s="251">
        <v>0.48</v>
      </c>
      <c r="J52" s="251">
        <v>0.61</v>
      </c>
      <c r="K52" s="251">
        <v>0.61100569259962001</v>
      </c>
      <c r="L52" s="251">
        <v>0.67</v>
      </c>
      <c r="M52" s="251">
        <v>0.67314487632508802</v>
      </c>
      <c r="N52" s="251"/>
      <c r="O52" s="251"/>
      <c r="P52" s="251"/>
      <c r="Q52" s="251"/>
      <c r="R52" s="251"/>
      <c r="S52" s="251">
        <v>0.57487865270352967</v>
      </c>
    </row>
    <row r="53" spans="1:19" hidden="1">
      <c r="A53">
        <v>22</v>
      </c>
      <c r="B53" t="s">
        <v>449</v>
      </c>
      <c r="C53" t="s">
        <v>29</v>
      </c>
      <c r="D53" t="s">
        <v>12</v>
      </c>
      <c r="G53" s="251">
        <v>0.83</v>
      </c>
      <c r="H53" s="251">
        <v>0.55000000000000004</v>
      </c>
      <c r="I53" s="251">
        <v>0.52</v>
      </c>
      <c r="J53" s="251">
        <v>0.54</v>
      </c>
      <c r="K53" s="251">
        <v>0.49146110056926001</v>
      </c>
      <c r="L53" s="251">
        <v>0.57999999999999996</v>
      </c>
      <c r="M53" s="251">
        <v>0.63427561837455804</v>
      </c>
      <c r="N53" s="251"/>
      <c r="O53" s="251"/>
      <c r="P53" s="251"/>
      <c r="Q53" s="251"/>
      <c r="R53" s="251"/>
      <c r="S53" s="251">
        <v>0.59224810270625983</v>
      </c>
    </row>
    <row r="54" spans="1:19" hidden="1">
      <c r="A54">
        <v>82</v>
      </c>
      <c r="B54" t="s">
        <v>479</v>
      </c>
      <c r="C54" t="s">
        <v>33</v>
      </c>
      <c r="D54" t="s">
        <v>16</v>
      </c>
      <c r="G54" s="251">
        <v>0.25</v>
      </c>
      <c r="H54" s="251">
        <v>0.55600000000000005</v>
      </c>
      <c r="I54" s="251">
        <v>0.52</v>
      </c>
      <c r="J54" s="251">
        <v>0.625</v>
      </c>
      <c r="K54" s="251">
        <v>0.76923076923076905</v>
      </c>
      <c r="L54" s="251">
        <v>0.77922077922077926</v>
      </c>
      <c r="M54" s="251">
        <v>0.67500000000000004</v>
      </c>
      <c r="N54" s="251"/>
      <c r="O54" s="251"/>
      <c r="P54" s="251"/>
      <c r="Q54" s="251"/>
      <c r="R54" s="251"/>
      <c r="S54" s="251">
        <v>0.59635022120736403</v>
      </c>
    </row>
    <row r="55" spans="1:19">
      <c r="A55">
        <v>7</v>
      </c>
      <c r="B55" t="s">
        <v>442</v>
      </c>
      <c r="C55" t="s">
        <v>33</v>
      </c>
      <c r="D55" t="s">
        <v>14</v>
      </c>
      <c r="G55" s="251">
        <v>0.61</v>
      </c>
      <c r="H55" s="251">
        <v>0.37</v>
      </c>
      <c r="I55" s="251">
        <v>0.41</v>
      </c>
      <c r="J55" s="251">
        <v>0.61</v>
      </c>
      <c r="K55" s="251">
        <v>0.67741935483870996</v>
      </c>
      <c r="L55" s="251">
        <v>0.73</v>
      </c>
      <c r="M55" s="251">
        <v>0.82155477031802104</v>
      </c>
      <c r="N55" s="251"/>
      <c r="O55" s="251"/>
      <c r="P55" s="251"/>
      <c r="Q55" s="251"/>
      <c r="R55" s="251"/>
      <c r="S55" s="251">
        <v>0.60413916073667584</v>
      </c>
    </row>
    <row r="56" spans="1:19">
      <c r="A56">
        <v>31</v>
      </c>
      <c r="B56" t="s">
        <v>454</v>
      </c>
      <c r="C56" t="s">
        <v>33</v>
      </c>
      <c r="D56" t="s">
        <v>14</v>
      </c>
      <c r="G56" s="251">
        <v>0.28000000000000003</v>
      </c>
      <c r="H56" s="251">
        <v>0.34</v>
      </c>
      <c r="I56" s="251">
        <v>0.49</v>
      </c>
      <c r="J56" s="251">
        <v>0.73</v>
      </c>
      <c r="K56" s="251">
        <v>0.69736842105263197</v>
      </c>
      <c r="L56" s="251">
        <v>0.87</v>
      </c>
      <c r="M56" s="251">
        <v>0.84488448844884501</v>
      </c>
      <c r="N56" s="251"/>
      <c r="O56" s="251"/>
      <c r="P56" s="251"/>
      <c r="Q56" s="251"/>
      <c r="R56" s="251"/>
      <c r="S56" s="251">
        <v>0.60746470135735386</v>
      </c>
    </row>
    <row r="57" spans="1:19" hidden="1">
      <c r="A57">
        <v>54</v>
      </c>
      <c r="B57" t="s">
        <v>465</v>
      </c>
      <c r="C57" t="s">
        <v>33</v>
      </c>
      <c r="D57" t="s">
        <v>16</v>
      </c>
      <c r="G57" s="251">
        <v>0.70099999999999996</v>
      </c>
      <c r="H57" s="251">
        <v>0.71299999999999997</v>
      </c>
      <c r="I57" s="251">
        <v>0.67200000000000004</v>
      </c>
      <c r="J57" s="251">
        <v>0.65400000000000003</v>
      </c>
      <c r="K57" s="251">
        <v>0.70748299319727903</v>
      </c>
      <c r="L57" s="251">
        <v>0.49333333333333335</v>
      </c>
      <c r="M57" s="251">
        <v>0.42307692307692302</v>
      </c>
      <c r="N57" s="251"/>
      <c r="O57" s="251"/>
      <c r="P57" s="251"/>
      <c r="Q57" s="251"/>
      <c r="R57" s="251"/>
      <c r="S57" s="251">
        <v>0.62341332137250505</v>
      </c>
    </row>
    <row r="58" spans="1:19">
      <c r="A58">
        <v>81</v>
      </c>
      <c r="B58" t="s">
        <v>479</v>
      </c>
      <c r="C58" t="s">
        <v>33</v>
      </c>
      <c r="D58" t="s">
        <v>14</v>
      </c>
      <c r="G58" s="251">
        <v>0.35699999999999998</v>
      </c>
      <c r="H58" s="251">
        <v>0.66700000000000004</v>
      </c>
      <c r="I58" s="251">
        <v>0.62</v>
      </c>
      <c r="J58" s="251">
        <v>0.65600000000000003</v>
      </c>
      <c r="K58" s="251">
        <v>0.76923076923076905</v>
      </c>
      <c r="L58" s="251">
        <v>0.79220779220779225</v>
      </c>
      <c r="M58" s="251">
        <v>0.6875</v>
      </c>
      <c r="N58" s="251"/>
      <c r="O58" s="251"/>
      <c r="P58" s="251"/>
      <c r="Q58" s="251"/>
      <c r="R58" s="251"/>
      <c r="S58" s="251">
        <v>0.64984836591979445</v>
      </c>
    </row>
    <row r="59" spans="1:19">
      <c r="A59">
        <v>11</v>
      </c>
      <c r="B59" t="s">
        <v>444</v>
      </c>
      <c r="C59" t="s">
        <v>33</v>
      </c>
      <c r="D59" t="s">
        <v>14</v>
      </c>
      <c r="G59" s="251">
        <v>0.68</v>
      </c>
      <c r="H59" s="251">
        <v>0.44</v>
      </c>
      <c r="I59" s="251">
        <v>0.46</v>
      </c>
      <c r="J59" s="251">
        <v>0.68</v>
      </c>
      <c r="K59" s="251">
        <v>0.70873786407767003</v>
      </c>
      <c r="L59" s="251">
        <v>0.82</v>
      </c>
      <c r="M59" s="251">
        <v>0.88794926004228303</v>
      </c>
      <c r="N59" s="251"/>
      <c r="O59" s="251"/>
      <c r="P59" s="251"/>
      <c r="Q59" s="251"/>
      <c r="R59" s="251"/>
      <c r="S59" s="251">
        <v>0.66809816058856464</v>
      </c>
    </row>
    <row r="60" spans="1:19">
      <c r="A60">
        <v>79</v>
      </c>
      <c r="B60" t="s">
        <v>478</v>
      </c>
      <c r="C60" t="s">
        <v>29</v>
      </c>
      <c r="D60" t="s">
        <v>11</v>
      </c>
      <c r="G60" s="251">
        <v>0.72199999999999998</v>
      </c>
      <c r="H60" s="251">
        <v>0.76400000000000001</v>
      </c>
      <c r="I60" s="251">
        <v>0.69399999999999995</v>
      </c>
      <c r="J60" s="251">
        <v>0.70899999999999996</v>
      </c>
      <c r="K60" s="251">
        <v>0.67054263565891503</v>
      </c>
      <c r="L60" s="251">
        <v>0.64743589743589747</v>
      </c>
      <c r="M60" s="251">
        <v>0.65656565656565702</v>
      </c>
      <c r="N60" s="251"/>
      <c r="O60" s="251"/>
      <c r="P60" s="251"/>
      <c r="Q60" s="251"/>
      <c r="R60" s="251"/>
      <c r="S60" s="251">
        <v>0.69479202709435284</v>
      </c>
    </row>
    <row r="61" spans="1:19" hidden="1">
      <c r="A61">
        <v>85</v>
      </c>
      <c r="B61" t="s">
        <v>35</v>
      </c>
      <c r="C61" t="s">
        <v>29</v>
      </c>
      <c r="D61" t="s">
        <v>36</v>
      </c>
      <c r="G61" s="251">
        <v>0.71399999999999997</v>
      </c>
      <c r="H61" s="251">
        <v>0.63800000000000001</v>
      </c>
      <c r="I61" s="251">
        <v>0.72</v>
      </c>
      <c r="J61" s="251">
        <v>0.70199999999999996</v>
      </c>
      <c r="K61" s="251">
        <v>0.67900000000000005</v>
      </c>
      <c r="L61" s="251">
        <v>0.752</v>
      </c>
      <c r="M61" s="251">
        <v>0.77700000000000002</v>
      </c>
      <c r="N61" s="251"/>
      <c r="O61" s="251"/>
      <c r="P61" s="251"/>
      <c r="Q61" s="251"/>
      <c r="R61" s="251"/>
      <c r="S61" s="251">
        <v>0.71171428571428574</v>
      </c>
    </row>
    <row r="62" spans="1:19" hidden="1">
      <c r="A62">
        <v>40</v>
      </c>
      <c r="B62" t="s">
        <v>458</v>
      </c>
      <c r="C62" t="s">
        <v>29</v>
      </c>
      <c r="D62" t="s">
        <v>12</v>
      </c>
      <c r="G62" s="251">
        <v>0.8</v>
      </c>
      <c r="H62" s="251">
        <v>0.82</v>
      </c>
      <c r="I62" s="251">
        <v>0.7</v>
      </c>
      <c r="J62" s="251">
        <v>0.67</v>
      </c>
      <c r="K62" s="251">
        <v>0.68899521531100505</v>
      </c>
      <c r="L62" s="251">
        <v>0.67</v>
      </c>
      <c r="M62" s="251">
        <v>0.72654155495978601</v>
      </c>
      <c r="N62" s="251"/>
      <c r="O62" s="251"/>
      <c r="P62" s="251"/>
      <c r="Q62" s="251"/>
      <c r="R62" s="251"/>
      <c r="S62" s="251">
        <v>0.72507668146725579</v>
      </c>
    </row>
    <row r="63" spans="1:19" hidden="1">
      <c r="A63">
        <v>60</v>
      </c>
      <c r="B63" t="s">
        <v>468</v>
      </c>
      <c r="C63" t="s">
        <v>29</v>
      </c>
      <c r="D63" t="s">
        <v>12</v>
      </c>
      <c r="G63" s="251">
        <v>0.68799999999999994</v>
      </c>
      <c r="H63" s="251">
        <v>0.72399999999999998</v>
      </c>
      <c r="I63" s="251">
        <v>0.70599999999999996</v>
      </c>
      <c r="J63" s="251">
        <v>0.68100000000000005</v>
      </c>
      <c r="K63" s="251">
        <v>0.81212121212121202</v>
      </c>
      <c r="L63" s="251">
        <v>0.70765027322404372</v>
      </c>
      <c r="M63" s="251">
        <v>0.76093294460641403</v>
      </c>
      <c r="N63" s="251"/>
      <c r="O63" s="251"/>
      <c r="P63" s="251"/>
      <c r="Q63" s="251"/>
      <c r="R63" s="251"/>
      <c r="S63" s="251">
        <v>0.72567206142166707</v>
      </c>
    </row>
    <row r="64" spans="1:19">
      <c r="A64">
        <v>53</v>
      </c>
      <c r="B64" t="s">
        <v>465</v>
      </c>
      <c r="C64" t="s">
        <v>33</v>
      </c>
      <c r="D64" t="s">
        <v>14</v>
      </c>
      <c r="G64" s="251">
        <v>0.78500000000000003</v>
      </c>
      <c r="H64" s="251">
        <v>0.78300000000000003</v>
      </c>
      <c r="I64" s="251">
        <v>0.77600000000000002</v>
      </c>
      <c r="J64" s="251">
        <v>0.69299999999999995</v>
      </c>
      <c r="K64" s="251">
        <v>0.79591836734693899</v>
      </c>
      <c r="L64" s="251">
        <v>0.64</v>
      </c>
      <c r="M64" s="251">
        <v>0.60769230769230798</v>
      </c>
      <c r="N64" s="251"/>
      <c r="O64" s="251"/>
      <c r="P64" s="251"/>
      <c r="Q64" s="251"/>
      <c r="R64" s="251"/>
      <c r="S64" s="251">
        <v>0.7258015250056068</v>
      </c>
    </row>
    <row r="65" spans="1:19">
      <c r="A65">
        <v>13</v>
      </c>
      <c r="B65" t="s">
        <v>445</v>
      </c>
      <c r="C65" t="s">
        <v>33</v>
      </c>
      <c r="D65" t="s">
        <v>14</v>
      </c>
      <c r="G65" s="251">
        <v>0.71</v>
      </c>
      <c r="H65" s="251">
        <v>0.61</v>
      </c>
      <c r="I65" s="251">
        <v>0.61</v>
      </c>
      <c r="J65" s="251">
        <v>0.75</v>
      </c>
      <c r="K65" s="251">
        <v>0.76850094876660302</v>
      </c>
      <c r="L65" s="251">
        <v>0.79</v>
      </c>
      <c r="M65" s="251">
        <v>0.84275618374558303</v>
      </c>
      <c r="N65" s="251"/>
      <c r="O65" s="251"/>
      <c r="P65" s="251"/>
      <c r="Q65" s="251"/>
      <c r="R65" s="251"/>
      <c r="S65" s="251">
        <v>0.72589387607316946</v>
      </c>
    </row>
    <row r="66" spans="1:19">
      <c r="A66">
        <v>47</v>
      </c>
      <c r="B66" t="s">
        <v>462</v>
      </c>
      <c r="C66" t="s">
        <v>29</v>
      </c>
      <c r="D66" t="s">
        <v>11</v>
      </c>
      <c r="G66" s="251">
        <v>0.81299999999999994</v>
      </c>
      <c r="H66" s="251">
        <v>0.79200000000000004</v>
      </c>
      <c r="I66" s="251">
        <v>0.73</v>
      </c>
      <c r="J66" s="251">
        <v>0.79100000000000004</v>
      </c>
      <c r="K66" s="251">
        <v>0.75684931506849296</v>
      </c>
      <c r="L66" s="251">
        <v>0.78618421052631582</v>
      </c>
      <c r="M66" s="251">
        <v>0.77950310559006197</v>
      </c>
      <c r="N66" s="251"/>
      <c r="O66" s="251"/>
      <c r="P66" s="251"/>
      <c r="Q66" s="251"/>
      <c r="R66" s="251"/>
      <c r="S66" s="251">
        <v>0.77836237588355295</v>
      </c>
    </row>
    <row r="67" spans="1:19">
      <c r="A67">
        <v>17</v>
      </c>
      <c r="B67" t="s">
        <v>447</v>
      </c>
      <c r="C67" t="s">
        <v>33</v>
      </c>
      <c r="D67" t="s">
        <v>14</v>
      </c>
      <c r="G67" s="251">
        <v>0.9</v>
      </c>
      <c r="H67" s="251">
        <v>0.92</v>
      </c>
      <c r="I67" s="251">
        <v>0.77</v>
      </c>
      <c r="J67" s="251">
        <v>0.71</v>
      </c>
      <c r="K67" s="251">
        <v>0.78923766816143504</v>
      </c>
      <c r="L67" s="251">
        <v>0.67</v>
      </c>
      <c r="M67" s="251">
        <v>0.87072243346007605</v>
      </c>
      <c r="N67" s="251"/>
      <c r="O67" s="251"/>
      <c r="P67" s="251"/>
      <c r="Q67" s="251"/>
      <c r="R67" s="251"/>
      <c r="S67" s="251">
        <v>0.80428001451735853</v>
      </c>
    </row>
    <row r="68" spans="1:19">
      <c r="A68">
        <v>49</v>
      </c>
      <c r="B68" t="s">
        <v>463</v>
      </c>
      <c r="C68" t="s">
        <v>29</v>
      </c>
      <c r="D68" t="s">
        <v>11</v>
      </c>
      <c r="G68" s="251">
        <v>0.81299999999999994</v>
      </c>
      <c r="H68" s="251">
        <v>0.80900000000000005</v>
      </c>
      <c r="I68" s="251">
        <v>0.77700000000000002</v>
      </c>
      <c r="J68" s="251">
        <v>0.83899999999999997</v>
      </c>
      <c r="K68" s="251">
        <v>0.82995951417003999</v>
      </c>
      <c r="L68" s="251">
        <v>0.84883720930232553</v>
      </c>
      <c r="M68" s="251">
        <v>0.86434108527131803</v>
      </c>
      <c r="N68" s="251"/>
      <c r="O68" s="251"/>
      <c r="P68" s="251"/>
      <c r="Q68" s="251"/>
      <c r="R68" s="251"/>
      <c r="S68" s="251">
        <v>0.82587682982052613</v>
      </c>
    </row>
    <row r="69" spans="1:19">
      <c r="A69">
        <v>41</v>
      </c>
      <c r="B69" t="s">
        <v>459</v>
      </c>
      <c r="C69" t="s">
        <v>29</v>
      </c>
      <c r="D69" t="s">
        <v>11</v>
      </c>
      <c r="G69" s="251">
        <v>1</v>
      </c>
      <c r="H69" s="251">
        <v>1</v>
      </c>
      <c r="I69" s="251">
        <v>0.76</v>
      </c>
      <c r="J69" s="251">
        <v>0.83</v>
      </c>
      <c r="K69" s="251">
        <v>0.83971291866028697</v>
      </c>
      <c r="L69" s="251">
        <v>0.66</v>
      </c>
      <c r="M69" s="251">
        <v>0.715817694369973</v>
      </c>
      <c r="N69" s="251"/>
      <c r="O69" s="251"/>
      <c r="P69" s="251"/>
      <c r="Q69" s="251"/>
      <c r="R69" s="251"/>
      <c r="S69" s="251">
        <v>0.82936151614718001</v>
      </c>
    </row>
    <row r="70" spans="1:19" hidden="1">
      <c r="A70">
        <v>58</v>
      </c>
      <c r="B70" t="s">
        <v>467</v>
      </c>
      <c r="C70" t="s">
        <v>29</v>
      </c>
      <c r="D70" t="s">
        <v>12</v>
      </c>
      <c r="G70" s="251">
        <v>0.85799999999999998</v>
      </c>
      <c r="H70" s="251">
        <v>0.85799999999999998</v>
      </c>
      <c r="I70" s="251">
        <v>0.81699999999999995</v>
      </c>
      <c r="J70" s="251">
        <v>0.78100000000000003</v>
      </c>
      <c r="K70" s="251">
        <v>0.89090909090909098</v>
      </c>
      <c r="L70" s="251">
        <v>0.8306010928961749</v>
      </c>
      <c r="M70" s="251">
        <v>0.80758017492711398</v>
      </c>
      <c r="N70" s="251"/>
      <c r="O70" s="251"/>
      <c r="P70" s="251"/>
      <c r="Q70" s="251"/>
      <c r="R70" s="251"/>
      <c r="S70" s="251">
        <v>0.8347271941046257</v>
      </c>
    </row>
    <row r="71" spans="1:19" hidden="1">
      <c r="A71">
        <v>64</v>
      </c>
      <c r="B71" t="s">
        <v>470</v>
      </c>
      <c r="C71" t="s">
        <v>29</v>
      </c>
      <c r="D71" t="s">
        <v>12</v>
      </c>
      <c r="G71" s="251">
        <v>0.83399999999999996</v>
      </c>
      <c r="H71" s="251">
        <v>0.86399999999999999</v>
      </c>
      <c r="I71" s="251">
        <v>0.83</v>
      </c>
      <c r="J71" s="251">
        <v>0.82599999999999996</v>
      </c>
      <c r="K71" s="251">
        <v>0.89090909090909098</v>
      </c>
      <c r="L71" s="251">
        <v>0.82786885245901642</v>
      </c>
      <c r="M71" s="251">
        <v>0.79300291545189505</v>
      </c>
      <c r="N71" s="251"/>
      <c r="O71" s="251"/>
      <c r="P71" s="251"/>
      <c r="Q71" s="251"/>
      <c r="R71" s="251"/>
      <c r="S71" s="251">
        <v>0.83796869411714325</v>
      </c>
    </row>
    <row r="72" spans="1:19">
      <c r="A72">
        <v>25</v>
      </c>
      <c r="B72" t="s">
        <v>451</v>
      </c>
      <c r="C72" t="s">
        <v>29</v>
      </c>
      <c r="D72" t="s">
        <v>11</v>
      </c>
      <c r="G72" s="251">
        <v>0.83</v>
      </c>
      <c r="H72" s="251">
        <v>0.83</v>
      </c>
      <c r="I72" s="251">
        <v>0.81</v>
      </c>
      <c r="J72" s="251">
        <v>0.84</v>
      </c>
      <c r="K72" s="251">
        <v>0.817836812144213</v>
      </c>
      <c r="L72" s="251">
        <v>0.88</v>
      </c>
      <c r="M72" s="251">
        <v>0.86219081272084797</v>
      </c>
      <c r="N72" s="251"/>
      <c r="O72" s="251"/>
      <c r="P72" s="251"/>
      <c r="Q72" s="251"/>
      <c r="R72" s="251"/>
      <c r="S72" s="251">
        <v>0.83857537498072288</v>
      </c>
    </row>
    <row r="73" spans="1:19">
      <c r="A73">
        <v>57</v>
      </c>
      <c r="B73" t="s">
        <v>467</v>
      </c>
      <c r="C73" t="s">
        <v>29</v>
      </c>
      <c r="D73" t="s">
        <v>11</v>
      </c>
      <c r="G73" s="251">
        <v>0.86599999999999999</v>
      </c>
      <c r="H73" s="251">
        <v>0.86399999999999999</v>
      </c>
      <c r="I73" s="251">
        <v>0.84299999999999997</v>
      </c>
      <c r="J73" s="251">
        <v>0.80100000000000005</v>
      </c>
      <c r="K73" s="251">
        <v>0.912121212121212</v>
      </c>
      <c r="L73" s="251">
        <v>0.84972677595628421</v>
      </c>
      <c r="M73" s="251">
        <v>0.82507288629737596</v>
      </c>
      <c r="N73" s="251"/>
      <c r="O73" s="251"/>
      <c r="P73" s="251"/>
      <c r="Q73" s="251"/>
      <c r="R73" s="251"/>
      <c r="S73" s="251">
        <v>0.8515601249106961</v>
      </c>
    </row>
    <row r="74" spans="1:19">
      <c r="A74">
        <v>3</v>
      </c>
      <c r="B74" t="s">
        <v>440</v>
      </c>
      <c r="C74" t="s">
        <v>29</v>
      </c>
      <c r="D74" t="s">
        <v>11</v>
      </c>
      <c r="G74" s="251">
        <v>0.79</v>
      </c>
      <c r="H74" s="251">
        <v>0.83</v>
      </c>
      <c r="I74" s="251">
        <v>0.85</v>
      </c>
      <c r="J74" s="251">
        <v>0.87</v>
      </c>
      <c r="K74" s="251">
        <v>0.84673366834170805</v>
      </c>
      <c r="L74" s="251">
        <v>0.9</v>
      </c>
      <c r="M74" s="251">
        <v>0.88565022421524697</v>
      </c>
      <c r="N74" s="251"/>
      <c r="O74" s="251"/>
      <c r="P74" s="251"/>
      <c r="Q74" s="251"/>
      <c r="R74" s="251"/>
      <c r="S74" s="251">
        <v>0.85319769893670805</v>
      </c>
    </row>
    <row r="75" spans="1:19">
      <c r="A75">
        <v>59</v>
      </c>
      <c r="B75" t="s">
        <v>468</v>
      </c>
      <c r="C75" t="s">
        <v>29</v>
      </c>
      <c r="D75" t="s">
        <v>11</v>
      </c>
      <c r="G75" s="251">
        <v>0.86599999999999999</v>
      </c>
      <c r="H75" s="251">
        <v>0.89500000000000002</v>
      </c>
      <c r="I75" s="251">
        <v>0.86299999999999999</v>
      </c>
      <c r="J75" s="251">
        <v>0.84599999999999997</v>
      </c>
      <c r="K75" s="251">
        <v>0.912121212121212</v>
      </c>
      <c r="L75" s="251">
        <v>0.83879781420765032</v>
      </c>
      <c r="M75" s="251">
        <v>0.839650145772595</v>
      </c>
      <c r="N75" s="251"/>
      <c r="O75" s="251"/>
      <c r="P75" s="251"/>
      <c r="Q75" s="251"/>
      <c r="R75" s="251"/>
      <c r="S75" s="251">
        <v>0.86579559601449385</v>
      </c>
    </row>
    <row r="76" spans="1:19" hidden="1">
      <c r="A76">
        <v>62</v>
      </c>
      <c r="B76" t="s">
        <v>469</v>
      </c>
      <c r="C76" t="s">
        <v>29</v>
      </c>
      <c r="D76" t="s">
        <v>12</v>
      </c>
      <c r="G76" s="251">
        <v>0.88500000000000001</v>
      </c>
      <c r="H76" s="251">
        <v>0.88900000000000001</v>
      </c>
      <c r="I76" s="251">
        <v>0.85</v>
      </c>
      <c r="J76" s="251">
        <v>0.84899999999999998</v>
      </c>
      <c r="K76" s="251">
        <v>0.93030303030302997</v>
      </c>
      <c r="L76" s="251">
        <v>0.86338797814207646</v>
      </c>
      <c r="M76" s="251">
        <v>0.87755102040816302</v>
      </c>
      <c r="N76" s="251"/>
      <c r="O76" s="251"/>
      <c r="P76" s="251"/>
      <c r="Q76" s="251"/>
      <c r="R76" s="251"/>
      <c r="S76" s="251">
        <v>0.8777488612647526</v>
      </c>
    </row>
    <row r="77" spans="1:19">
      <c r="A77">
        <v>9</v>
      </c>
      <c r="B77" t="s">
        <v>443</v>
      </c>
      <c r="C77" t="s">
        <v>33</v>
      </c>
      <c r="D77" t="s">
        <v>14</v>
      </c>
      <c r="G77" s="251">
        <v>0.96</v>
      </c>
      <c r="H77" s="251">
        <v>0.91</v>
      </c>
      <c r="I77" s="251">
        <v>0.83</v>
      </c>
      <c r="J77" s="251">
        <v>0.88</v>
      </c>
      <c r="K77" s="251">
        <v>0.81310679611650505</v>
      </c>
      <c r="L77" s="251">
        <v>0.9</v>
      </c>
      <c r="M77" s="251">
        <v>0.91543340380549698</v>
      </c>
      <c r="N77" s="251"/>
      <c r="O77" s="251"/>
      <c r="P77" s="251"/>
      <c r="Q77" s="251"/>
      <c r="R77" s="251"/>
      <c r="S77" s="251">
        <v>0.88693431427457181</v>
      </c>
    </row>
    <row r="78" spans="1:19">
      <c r="A78">
        <v>61</v>
      </c>
      <c r="B78" t="s">
        <v>469</v>
      </c>
      <c r="C78" t="s">
        <v>29</v>
      </c>
      <c r="D78" t="s">
        <v>11</v>
      </c>
      <c r="G78" s="251">
        <v>0.90500000000000003</v>
      </c>
      <c r="H78" s="251">
        <v>0.90100000000000002</v>
      </c>
      <c r="I78" s="251">
        <v>0.86299999999999999</v>
      </c>
      <c r="J78" s="251">
        <v>0.86</v>
      </c>
      <c r="K78" s="251">
        <v>0.93333333333333302</v>
      </c>
      <c r="L78" s="251">
        <v>0.87431693989071035</v>
      </c>
      <c r="M78" s="251">
        <v>0.88338192419825101</v>
      </c>
      <c r="N78" s="251"/>
      <c r="O78" s="251"/>
      <c r="P78" s="251"/>
      <c r="Q78" s="251"/>
      <c r="R78" s="251"/>
      <c r="S78" s="251">
        <v>0.88857602820318493</v>
      </c>
    </row>
    <row r="79" spans="1:19">
      <c r="A79">
        <v>63</v>
      </c>
      <c r="B79" t="s">
        <v>470</v>
      </c>
      <c r="C79" t="s">
        <v>29</v>
      </c>
      <c r="D79" t="s">
        <v>11</v>
      </c>
      <c r="G79" s="251">
        <v>0.88100000000000001</v>
      </c>
      <c r="H79" s="251">
        <v>0.91300000000000003</v>
      </c>
      <c r="I79" s="251">
        <v>0.879</v>
      </c>
      <c r="J79" s="251">
        <v>0.86599999999999999</v>
      </c>
      <c r="K79" s="251">
        <v>0.93636363636363595</v>
      </c>
      <c r="L79" s="251">
        <v>0.88797814207650272</v>
      </c>
      <c r="M79" s="251">
        <v>0.88338192419825101</v>
      </c>
      <c r="N79" s="251"/>
      <c r="O79" s="251"/>
      <c r="P79" s="251"/>
      <c r="Q79" s="251"/>
      <c r="R79" s="251"/>
      <c r="S79" s="251">
        <v>0.89238910037691288</v>
      </c>
    </row>
    <row r="80" spans="1:19">
      <c r="A80">
        <v>21</v>
      </c>
      <c r="B80" t="s">
        <v>449</v>
      </c>
      <c r="C80" t="s">
        <v>29</v>
      </c>
      <c r="D80" t="s">
        <v>11</v>
      </c>
      <c r="G80" s="251">
        <v>0.96</v>
      </c>
      <c r="H80" s="251">
        <v>0.93</v>
      </c>
      <c r="I80" s="251">
        <v>0.83</v>
      </c>
      <c r="J80" s="251">
        <v>0.88</v>
      </c>
      <c r="K80" s="251">
        <v>0.89373814041745703</v>
      </c>
      <c r="L80" s="251">
        <v>0.88</v>
      </c>
      <c r="M80" s="251">
        <v>0.92756183745582999</v>
      </c>
      <c r="N80" s="251"/>
      <c r="O80" s="251"/>
      <c r="P80" s="251"/>
      <c r="Q80" s="251"/>
      <c r="R80" s="251"/>
      <c r="S80" s="251">
        <v>0.90018571112475521</v>
      </c>
    </row>
    <row r="81" spans="1:19">
      <c r="A81">
        <v>5</v>
      </c>
      <c r="B81" t="s">
        <v>441</v>
      </c>
      <c r="C81" t="s">
        <v>29</v>
      </c>
      <c r="D81" t="s">
        <v>11</v>
      </c>
      <c r="G81" s="251">
        <v>0.92</v>
      </c>
      <c r="H81" s="251">
        <v>0.95</v>
      </c>
      <c r="I81" s="251">
        <v>0.88</v>
      </c>
      <c r="J81" s="251">
        <v>0.9</v>
      </c>
      <c r="K81" s="251">
        <v>0.88944723618090404</v>
      </c>
      <c r="L81" s="251">
        <v>0.9</v>
      </c>
      <c r="M81" s="251">
        <v>0.90807174887892395</v>
      </c>
      <c r="N81" s="251"/>
      <c r="O81" s="251"/>
      <c r="P81" s="251"/>
      <c r="Q81" s="251"/>
      <c r="R81" s="251"/>
      <c r="S81" s="251">
        <v>0.90678842643711832</v>
      </c>
    </row>
    <row r="82" spans="1:19">
      <c r="A82">
        <v>51</v>
      </c>
      <c r="B82" t="s">
        <v>464</v>
      </c>
      <c r="C82" t="s">
        <v>33</v>
      </c>
      <c r="D82" t="s">
        <v>14</v>
      </c>
      <c r="G82" s="251">
        <v>0.94499999999999995</v>
      </c>
      <c r="H82" s="251">
        <v>0.93300000000000005</v>
      </c>
      <c r="I82" s="251">
        <v>0.89500000000000002</v>
      </c>
      <c r="J82" s="251">
        <v>0.88900000000000001</v>
      </c>
      <c r="K82" s="251">
        <v>0.93442622950819698</v>
      </c>
      <c r="L82" s="251">
        <v>0.90277777777777779</v>
      </c>
      <c r="M82" s="251">
        <v>0.90140845070422504</v>
      </c>
      <c r="N82" s="251"/>
      <c r="O82" s="251"/>
      <c r="P82" s="251"/>
      <c r="Q82" s="251"/>
      <c r="R82" s="251"/>
      <c r="S82" s="251">
        <v>0.91437320828431423</v>
      </c>
    </row>
    <row r="83" spans="1:19" hidden="1">
      <c r="A83">
        <v>44</v>
      </c>
      <c r="B83" t="s">
        <v>460</v>
      </c>
      <c r="C83" t="s">
        <v>33</v>
      </c>
      <c r="D83" t="s">
        <v>16</v>
      </c>
      <c r="G83" s="251">
        <v>0.93100000000000005</v>
      </c>
      <c r="H83" s="251">
        <v>0.91700000000000004</v>
      </c>
      <c r="I83" s="251">
        <v>0.92200000000000004</v>
      </c>
      <c r="J83" s="251">
        <v>0.93899999999999995</v>
      </c>
      <c r="K83" s="251">
        <v>0.92307692307692302</v>
      </c>
      <c r="L83" s="251">
        <v>0.92105263157894735</v>
      </c>
      <c r="M83" s="251">
        <v>0.90540540540540504</v>
      </c>
      <c r="N83" s="251"/>
      <c r="O83" s="251"/>
      <c r="P83" s="251"/>
      <c r="Q83" s="251"/>
      <c r="R83" s="251"/>
      <c r="S83" s="251">
        <v>0.92264785143732497</v>
      </c>
    </row>
    <row r="84" spans="1:19">
      <c r="A84">
        <v>43</v>
      </c>
      <c r="B84" t="s">
        <v>460</v>
      </c>
      <c r="C84" t="s">
        <v>33</v>
      </c>
      <c r="D84" t="s">
        <v>14</v>
      </c>
      <c r="G84" s="251">
        <v>0.93100000000000005</v>
      </c>
      <c r="H84" s="251">
        <v>0.91700000000000004</v>
      </c>
      <c r="I84" s="251">
        <v>0.92200000000000004</v>
      </c>
      <c r="J84" s="251">
        <v>0.95499999999999996</v>
      </c>
      <c r="K84" s="251">
        <v>0.92307692307692302</v>
      </c>
      <c r="L84" s="251">
        <v>0.92105263157894735</v>
      </c>
      <c r="M84" s="251">
        <v>0.93243243243243201</v>
      </c>
      <c r="N84" s="251"/>
      <c r="O84" s="251"/>
      <c r="P84" s="251"/>
      <c r="Q84" s="251"/>
      <c r="R84" s="251"/>
      <c r="S84" s="251">
        <v>0.92879456958404305</v>
      </c>
    </row>
    <row r="85" spans="1:19">
      <c r="A85">
        <v>23</v>
      </c>
      <c r="B85" t="s">
        <v>450</v>
      </c>
      <c r="C85" t="s">
        <v>29</v>
      </c>
      <c r="D85" t="s">
        <v>11</v>
      </c>
      <c r="G85" s="251">
        <v>1</v>
      </c>
      <c r="H85" s="251">
        <v>0.96</v>
      </c>
      <c r="I85" s="251">
        <v>0.93</v>
      </c>
      <c r="J85" s="251">
        <v>0.94</v>
      </c>
      <c r="K85" s="251">
        <v>0.92789373814041698</v>
      </c>
      <c r="L85" s="251">
        <v>0.96</v>
      </c>
      <c r="M85" s="251">
        <v>0.97526501766784501</v>
      </c>
      <c r="N85" s="251"/>
      <c r="O85" s="251"/>
      <c r="P85" s="251"/>
      <c r="Q85" s="251"/>
      <c r="R85" s="251"/>
      <c r="S85" s="251">
        <v>0.95616553654403746</v>
      </c>
    </row>
    <row r="86" spans="1:19">
      <c r="A86">
        <v>39</v>
      </c>
      <c r="B86" t="s">
        <v>458</v>
      </c>
      <c r="C86" t="s">
        <v>29</v>
      </c>
      <c r="D86" t="s">
        <v>11</v>
      </c>
      <c r="G86" s="251">
        <v>0.96</v>
      </c>
      <c r="H86" s="251">
        <v>0.99</v>
      </c>
      <c r="I86" s="251">
        <v>0.97</v>
      </c>
      <c r="J86" s="251">
        <v>0.98</v>
      </c>
      <c r="K86" s="251">
        <v>0.95693779904306198</v>
      </c>
      <c r="L86" s="251">
        <v>0.94</v>
      </c>
      <c r="M86" s="251">
        <v>0.95174262734584403</v>
      </c>
      <c r="N86" s="251"/>
      <c r="O86" s="251"/>
      <c r="P86" s="251"/>
      <c r="Q86" s="251"/>
      <c r="R86" s="251"/>
      <c r="S86" s="251">
        <v>0.96409720376984376</v>
      </c>
    </row>
    <row r="87" spans="1:19">
      <c r="A87">
        <v>19</v>
      </c>
      <c r="B87" t="s">
        <v>448</v>
      </c>
      <c r="C87" t="s">
        <v>29</v>
      </c>
      <c r="D87" t="s">
        <v>11</v>
      </c>
      <c r="G87" s="251">
        <v>0.99</v>
      </c>
      <c r="H87" s="251">
        <v>0.99</v>
      </c>
      <c r="I87" s="251">
        <v>0.96</v>
      </c>
      <c r="J87" s="251">
        <v>0.97</v>
      </c>
      <c r="K87" s="251">
        <v>0.95635673624288398</v>
      </c>
      <c r="L87" s="251">
        <v>0.97</v>
      </c>
      <c r="M87" s="251">
        <v>0.95759717314487602</v>
      </c>
      <c r="N87" s="251"/>
      <c r="O87" s="251"/>
      <c r="P87" s="251"/>
      <c r="Q87" s="251"/>
      <c r="R87" s="251"/>
      <c r="S87" s="251">
        <v>0.9705648441982514</v>
      </c>
    </row>
    <row r="88" spans="1:19" hidden="1">
      <c r="A88">
        <v>86</v>
      </c>
      <c r="B88" t="s">
        <v>38</v>
      </c>
      <c r="C88" t="s">
        <v>33</v>
      </c>
      <c r="D88" t="s">
        <v>39</v>
      </c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 t="e">
        <v>#DIV/0!</v>
      </c>
    </row>
  </sheetData>
  <autoFilter ref="A1:S88" xr:uid="{4FAFEC16-3D2A-0347-9E0A-873A7E97DFF5}">
    <filterColumn colId="3">
      <filters>
        <filter val="Completeness (All)"/>
        <filter val="Completeness (Critical)"/>
      </filters>
    </filterColumn>
    <sortState xmlns:xlrd2="http://schemas.microsoft.com/office/spreadsheetml/2017/richdata2" ref="A5:S87">
      <sortCondition ref="S1:S88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2275-98B9-2C4E-9AD5-99C089A0145F}">
  <dimension ref="B1:Y36"/>
  <sheetViews>
    <sheetView topLeftCell="C3" workbookViewId="0">
      <pane xSplit="3" ySplit="12" topLeftCell="J15" activePane="bottomRight" state="frozen"/>
      <selection activeCell="C3" sqref="C3"/>
      <selection pane="topRight" activeCell="F3" sqref="F3"/>
      <selection pane="bottomLeft" activeCell="C15" sqref="C15"/>
      <selection pane="bottomRight" activeCell="E19" sqref="E19"/>
    </sheetView>
  </sheetViews>
  <sheetFormatPr baseColWidth="10" defaultColWidth="8" defaultRowHeight="15"/>
  <cols>
    <col min="1" max="2" width="8" style="256"/>
    <col min="3" max="4" width="12.6640625" style="256" customWidth="1"/>
    <col min="5" max="13" width="32.6640625" style="256" customWidth="1"/>
    <col min="14" max="15" width="12.6640625" style="256" customWidth="1"/>
    <col min="16" max="18" width="8" style="256"/>
    <col min="19" max="19" width="8.1640625" style="256" bestFit="1" customWidth="1"/>
    <col min="20" max="16384" width="8" style="256"/>
  </cols>
  <sheetData>
    <row r="1" spans="2:15" ht="18">
      <c r="B1" s="255" t="s">
        <v>542</v>
      </c>
    </row>
    <row r="3" spans="2:15">
      <c r="C3" s="404" t="s">
        <v>543</v>
      </c>
      <c r="D3" s="404"/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404"/>
    </row>
    <row r="4" spans="2:15"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</row>
    <row r="5" spans="2:15"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404"/>
      <c r="N5" s="404"/>
      <c r="O5" s="404"/>
    </row>
    <row r="6" spans="2:15" ht="23">
      <c r="C6" s="257"/>
      <c r="D6" s="257"/>
      <c r="E6" s="257"/>
      <c r="F6" s="258"/>
      <c r="G6" s="258"/>
      <c r="H6" s="258"/>
      <c r="I6" s="258"/>
      <c r="J6" s="258"/>
      <c r="K6" s="258"/>
      <c r="L6" s="258"/>
      <c r="M6" s="258"/>
      <c r="N6" s="259"/>
      <c r="O6" s="259"/>
    </row>
    <row r="7" spans="2:15" s="260" customFormat="1" ht="16">
      <c r="C7" s="405" t="s">
        <v>544</v>
      </c>
      <c r="D7" s="406"/>
      <c r="E7" s="405"/>
      <c r="F7" s="407"/>
      <c r="G7" s="407"/>
      <c r="H7" s="406"/>
      <c r="I7" s="262"/>
      <c r="J7" s="261" t="s">
        <v>545</v>
      </c>
      <c r="K7" s="408"/>
      <c r="L7" s="408"/>
      <c r="M7" s="263"/>
      <c r="N7" s="403"/>
      <c r="O7" s="403"/>
    </row>
    <row r="8" spans="2:15" s="264" customFormat="1" ht="16">
      <c r="C8" s="403"/>
      <c r="D8" s="403"/>
      <c r="E8" s="403"/>
      <c r="F8" s="403"/>
      <c r="G8" s="403"/>
      <c r="H8" s="403"/>
      <c r="I8" s="403"/>
      <c r="J8" s="403"/>
      <c r="K8" s="403"/>
      <c r="L8" s="403"/>
      <c r="M8" s="403"/>
      <c r="N8" s="403"/>
      <c r="O8" s="403"/>
    </row>
    <row r="9" spans="2:15" s="260" customFormat="1" ht="16">
      <c r="C9" s="405" t="s">
        <v>546</v>
      </c>
      <c r="D9" s="406"/>
      <c r="E9" s="405"/>
      <c r="F9" s="407"/>
      <c r="G9" s="407"/>
      <c r="H9" s="406"/>
      <c r="I9" s="265"/>
      <c r="J9" s="261" t="s">
        <v>547</v>
      </c>
      <c r="K9" s="409"/>
      <c r="L9" s="409"/>
      <c r="M9" s="263"/>
      <c r="N9" s="403"/>
      <c r="O9" s="403"/>
    </row>
    <row r="10" spans="2:15" s="264" customFormat="1" ht="16">
      <c r="C10" s="403"/>
      <c r="D10" s="403"/>
      <c r="E10" s="403"/>
      <c r="F10" s="403"/>
      <c r="G10" s="403"/>
      <c r="H10" s="403"/>
      <c r="I10" s="403"/>
      <c r="J10" s="403"/>
      <c r="K10" s="403"/>
      <c r="L10" s="403"/>
      <c r="M10" s="403"/>
      <c r="N10" s="403"/>
      <c r="O10" s="403"/>
    </row>
    <row r="11" spans="2:15" s="260" customFormat="1" ht="16">
      <c r="C11" s="403"/>
      <c r="D11" s="403"/>
      <c r="E11" s="403"/>
      <c r="F11" s="403"/>
      <c r="G11" s="403"/>
      <c r="H11" s="403"/>
      <c r="I11" s="265"/>
      <c r="J11" s="261" t="s">
        <v>548</v>
      </c>
      <c r="K11" s="409"/>
      <c r="L11" s="409"/>
      <c r="M11" s="263"/>
      <c r="N11" s="403"/>
      <c r="O11" s="403"/>
    </row>
    <row r="12" spans="2:15" s="266" customFormat="1" ht="16">
      <c r="C12" s="267"/>
      <c r="D12" s="267"/>
      <c r="E12" s="267"/>
      <c r="F12" s="268"/>
      <c r="G12" s="268"/>
      <c r="H12" s="268"/>
      <c r="I12" s="268"/>
      <c r="M12" s="269"/>
      <c r="N12" s="267"/>
      <c r="O12" s="267"/>
    </row>
    <row r="13" spans="2:15" ht="18"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</row>
    <row r="14" spans="2:15" ht="57">
      <c r="B14" s="294"/>
      <c r="C14" s="410"/>
      <c r="D14" s="410"/>
      <c r="E14" s="295" t="s">
        <v>549</v>
      </c>
      <c r="F14" s="296" t="s">
        <v>550</v>
      </c>
      <c r="G14" s="296" t="s">
        <v>551</v>
      </c>
      <c r="H14" s="296" t="s">
        <v>552</v>
      </c>
      <c r="I14" s="296" t="s">
        <v>553</v>
      </c>
      <c r="J14" s="296" t="s">
        <v>554</v>
      </c>
      <c r="K14" s="296" t="s">
        <v>555</v>
      </c>
      <c r="L14" s="296" t="s">
        <v>556</v>
      </c>
      <c r="M14" s="297" t="s">
        <v>557</v>
      </c>
      <c r="N14" s="411" t="s">
        <v>558</v>
      </c>
      <c r="O14" s="411"/>
    </row>
    <row r="15" spans="2:15" ht="150" customHeight="1">
      <c r="B15" s="414" t="s">
        <v>575</v>
      </c>
      <c r="C15" s="414"/>
      <c r="D15" s="414"/>
      <c r="E15" s="302" t="s">
        <v>610</v>
      </c>
      <c r="F15" s="271" t="s">
        <v>560</v>
      </c>
      <c r="G15" s="271" t="s">
        <v>607</v>
      </c>
      <c r="H15" s="271" t="s">
        <v>608</v>
      </c>
      <c r="I15" s="271" t="s">
        <v>561</v>
      </c>
      <c r="J15" s="271" t="s">
        <v>584</v>
      </c>
      <c r="K15" s="271"/>
      <c r="L15" s="271"/>
      <c r="M15" s="298" t="s">
        <v>562</v>
      </c>
      <c r="N15" s="412" t="s">
        <v>563</v>
      </c>
      <c r="O15" s="413"/>
    </row>
    <row r="16" spans="2:15" ht="158" customHeight="1">
      <c r="B16" s="414"/>
      <c r="C16" s="414"/>
      <c r="D16" s="414"/>
      <c r="E16" s="198" t="s">
        <v>609</v>
      </c>
      <c r="F16" s="271" t="s">
        <v>612</v>
      </c>
      <c r="G16" s="271" t="s">
        <v>611</v>
      </c>
      <c r="H16" s="271" t="s">
        <v>613</v>
      </c>
      <c r="I16" s="271" t="s">
        <v>614</v>
      </c>
      <c r="J16" s="271"/>
      <c r="K16" s="299"/>
      <c r="L16" s="299"/>
      <c r="M16" s="300"/>
      <c r="N16" s="419"/>
      <c r="O16" s="420"/>
    </row>
    <row r="17" spans="2:25" ht="184" customHeight="1">
      <c r="B17" s="414"/>
      <c r="C17" s="414"/>
      <c r="D17" s="414"/>
      <c r="E17" s="301" t="s">
        <v>615</v>
      </c>
      <c r="F17" s="271" t="s">
        <v>616</v>
      </c>
      <c r="G17" s="271" t="s">
        <v>617</v>
      </c>
      <c r="H17" s="271" t="s">
        <v>618</v>
      </c>
      <c r="I17" s="271" t="s">
        <v>619</v>
      </c>
      <c r="J17" s="271" t="s">
        <v>620</v>
      </c>
      <c r="K17" s="299"/>
      <c r="L17" s="299"/>
      <c r="M17" s="300"/>
      <c r="N17" s="419"/>
      <c r="O17" s="420"/>
      <c r="P17" s="272"/>
      <c r="R17" s="272"/>
      <c r="S17" s="272"/>
      <c r="T17" s="272"/>
      <c r="U17" s="272"/>
      <c r="V17" s="272"/>
      <c r="W17" s="272"/>
      <c r="X17" s="272"/>
      <c r="Y17" s="272"/>
    </row>
    <row r="18" spans="2:25" ht="70">
      <c r="B18" s="414"/>
      <c r="C18" s="414"/>
      <c r="D18" s="414"/>
      <c r="E18" s="198" t="s">
        <v>625</v>
      </c>
      <c r="F18" s="271" t="s">
        <v>621</v>
      </c>
      <c r="G18" s="271" t="s">
        <v>622</v>
      </c>
      <c r="H18" s="271" t="s">
        <v>623</v>
      </c>
      <c r="I18" s="271" t="s">
        <v>624</v>
      </c>
      <c r="J18" s="271"/>
      <c r="K18" s="299"/>
      <c r="L18" s="299"/>
      <c r="M18" s="300"/>
      <c r="N18" s="417"/>
      <c r="O18" s="418"/>
      <c r="P18" s="272"/>
      <c r="R18" s="272"/>
      <c r="S18" s="272"/>
      <c r="T18" s="272"/>
      <c r="U18" s="272"/>
      <c r="V18" s="272"/>
      <c r="W18" s="272"/>
      <c r="X18" s="272"/>
      <c r="Y18" s="272"/>
    </row>
    <row r="19" spans="2:25" ht="350" customHeight="1">
      <c r="B19" s="414"/>
      <c r="C19" s="414"/>
      <c r="D19" s="414"/>
      <c r="E19" s="198" t="s">
        <v>40</v>
      </c>
      <c r="F19" s="271" t="s">
        <v>576</v>
      </c>
      <c r="G19" s="271" t="s">
        <v>577</v>
      </c>
      <c r="H19" s="271" t="s">
        <v>578</v>
      </c>
      <c r="I19" s="271" t="s">
        <v>579</v>
      </c>
      <c r="J19" s="271" t="s">
        <v>580</v>
      </c>
      <c r="K19" s="271" t="s">
        <v>581</v>
      </c>
      <c r="L19" s="271"/>
      <c r="M19" s="298" t="s">
        <v>582</v>
      </c>
      <c r="N19" s="415" t="s">
        <v>583</v>
      </c>
      <c r="O19" s="416"/>
      <c r="P19" s="272"/>
      <c r="R19" s="272"/>
      <c r="S19" s="272"/>
      <c r="T19" s="272"/>
      <c r="U19" s="272"/>
      <c r="V19" s="272"/>
      <c r="W19" s="272"/>
      <c r="X19" s="272"/>
      <c r="Y19" s="272"/>
    </row>
    <row r="20" spans="2:25" ht="80">
      <c r="B20" s="414"/>
      <c r="C20" s="414"/>
      <c r="D20" s="414"/>
      <c r="E20" s="198" t="s">
        <v>559</v>
      </c>
      <c r="F20" s="271" t="s">
        <v>564</v>
      </c>
      <c r="G20" s="271" t="s">
        <v>565</v>
      </c>
      <c r="H20" s="271" t="s">
        <v>566</v>
      </c>
      <c r="I20" s="271" t="s">
        <v>567</v>
      </c>
      <c r="J20" s="271" t="s">
        <v>568</v>
      </c>
      <c r="K20" s="271" t="s">
        <v>569</v>
      </c>
      <c r="L20" s="271" t="s">
        <v>570</v>
      </c>
      <c r="M20" s="298" t="s">
        <v>571</v>
      </c>
      <c r="N20" s="412" t="s">
        <v>572</v>
      </c>
      <c r="O20" s="413"/>
      <c r="P20" s="272"/>
      <c r="R20" s="272"/>
      <c r="S20" s="272"/>
      <c r="T20" s="272"/>
      <c r="U20" s="272"/>
      <c r="V20" s="272"/>
      <c r="W20" s="272"/>
      <c r="X20" s="272"/>
      <c r="Y20" s="272"/>
    </row>
    <row r="21" spans="2:25">
      <c r="P21" s="272"/>
      <c r="R21" s="272"/>
      <c r="S21" s="272"/>
      <c r="T21" s="272"/>
      <c r="U21" s="272"/>
      <c r="V21" s="272"/>
      <c r="W21" s="272"/>
      <c r="X21" s="272"/>
      <c r="Y21" s="272"/>
    </row>
    <row r="22" spans="2:25">
      <c r="P22" s="272"/>
      <c r="R22" s="272"/>
      <c r="S22" s="272"/>
      <c r="T22" s="272"/>
      <c r="U22" s="272"/>
      <c r="V22" s="272"/>
      <c r="W22" s="272"/>
      <c r="X22" s="272"/>
      <c r="Y22" s="272"/>
    </row>
    <row r="23" spans="2:25">
      <c r="P23" s="272"/>
      <c r="R23" s="272"/>
      <c r="S23" s="272"/>
      <c r="T23" s="272"/>
      <c r="U23" s="272"/>
      <c r="V23" s="272"/>
      <c r="W23" s="272"/>
      <c r="X23" s="272"/>
      <c r="Y23" s="272"/>
    </row>
    <row r="24" spans="2:25">
      <c r="P24" s="272"/>
      <c r="Q24" s="272"/>
      <c r="R24" s="272"/>
      <c r="S24" s="272"/>
      <c r="T24" s="272"/>
      <c r="U24" s="272"/>
      <c r="V24" s="272"/>
      <c r="W24" s="272"/>
      <c r="X24" s="272"/>
      <c r="Y24" s="272"/>
    </row>
    <row r="25" spans="2:25">
      <c r="P25" s="272"/>
      <c r="Q25" s="272"/>
      <c r="R25" s="272"/>
      <c r="S25" s="272"/>
      <c r="T25" s="272"/>
      <c r="U25" s="272"/>
      <c r="V25" s="272"/>
      <c r="W25" s="272"/>
      <c r="X25" s="272"/>
      <c r="Y25" s="272"/>
    </row>
    <row r="30" spans="2:25">
      <c r="P30" s="272"/>
      <c r="Q30" s="272"/>
      <c r="R30" s="272"/>
      <c r="S30" s="272"/>
      <c r="T30" s="272"/>
      <c r="U30" s="272"/>
      <c r="V30" s="272"/>
      <c r="W30" s="272"/>
      <c r="X30" s="272"/>
      <c r="Y30" s="272"/>
    </row>
    <row r="31" spans="2:25">
      <c r="P31" s="272"/>
      <c r="Q31" s="272"/>
      <c r="R31" s="272"/>
      <c r="S31" s="272"/>
      <c r="T31" s="272"/>
      <c r="U31" s="272"/>
      <c r="V31" s="272"/>
      <c r="W31" s="272"/>
      <c r="X31" s="272"/>
      <c r="Y31" s="272"/>
    </row>
    <row r="32" spans="2:25">
      <c r="P32" s="272"/>
      <c r="Q32" s="272"/>
      <c r="R32" s="272"/>
      <c r="S32" s="272"/>
      <c r="T32" s="272"/>
      <c r="U32" s="272"/>
      <c r="V32" s="272"/>
      <c r="W32" s="272"/>
      <c r="X32" s="272"/>
      <c r="Y32" s="272"/>
    </row>
    <row r="33" spans="16:25">
      <c r="P33" s="272"/>
      <c r="Q33" s="272"/>
      <c r="R33" s="272"/>
      <c r="S33" s="272"/>
      <c r="T33" s="272"/>
      <c r="U33" s="272"/>
      <c r="V33" s="272"/>
      <c r="W33" s="272"/>
      <c r="X33" s="272"/>
      <c r="Y33" s="272"/>
    </row>
    <row r="34" spans="16:25">
      <c r="P34" s="272"/>
      <c r="Q34" s="272"/>
      <c r="R34" s="272"/>
      <c r="S34" s="272"/>
      <c r="T34" s="272"/>
      <c r="U34" s="272"/>
      <c r="V34" s="272"/>
      <c r="W34" s="272"/>
      <c r="X34" s="272"/>
      <c r="Y34" s="272"/>
    </row>
    <row r="35" spans="16:25">
      <c r="P35" s="272"/>
      <c r="Q35" s="272"/>
      <c r="R35" s="272"/>
      <c r="S35" s="272"/>
      <c r="T35" s="272"/>
      <c r="U35" s="272"/>
      <c r="V35" s="272"/>
      <c r="W35" s="272"/>
      <c r="X35" s="272"/>
      <c r="Y35" s="272"/>
    </row>
    <row r="36" spans="16:25">
      <c r="P36" s="272"/>
      <c r="Q36" s="272"/>
      <c r="R36" s="272"/>
      <c r="S36" s="272"/>
      <c r="T36" s="272"/>
      <c r="U36" s="272"/>
      <c r="V36" s="272"/>
      <c r="W36" s="272"/>
      <c r="X36" s="272"/>
      <c r="Y36" s="272"/>
    </row>
  </sheetData>
  <mergeCells count="28">
    <mergeCell ref="N20:O20"/>
    <mergeCell ref="B15:D20"/>
    <mergeCell ref="N19:O19"/>
    <mergeCell ref="N18:O18"/>
    <mergeCell ref="N15:O15"/>
    <mergeCell ref="N16:O16"/>
    <mergeCell ref="N17:O17"/>
    <mergeCell ref="C11:D11"/>
    <mergeCell ref="E11:H11"/>
    <mergeCell ref="K11:L11"/>
    <mergeCell ref="N11:O11"/>
    <mergeCell ref="C14:D14"/>
    <mergeCell ref="N14:O14"/>
    <mergeCell ref="C9:D9"/>
    <mergeCell ref="E9:H9"/>
    <mergeCell ref="K9:L9"/>
    <mergeCell ref="N9:O9"/>
    <mergeCell ref="C10:F10"/>
    <mergeCell ref="G10:I10"/>
    <mergeCell ref="J10:O10"/>
    <mergeCell ref="C8:F8"/>
    <mergeCell ref="G8:I8"/>
    <mergeCell ref="J8:O8"/>
    <mergeCell ref="C3:O5"/>
    <mergeCell ref="C7:D7"/>
    <mergeCell ref="E7:H7"/>
    <mergeCell ref="K7:L7"/>
    <mergeCell ref="N7:O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30aad7-456a-42e9-8e07-bc5c585b97ce">
      <Terms xmlns="http://schemas.microsoft.com/office/infopath/2007/PartnerControls"/>
    </lcf76f155ced4ddcb4097134ff3c332f>
    <TaxCatchAll xmlns="752a3d3b-9083-45fe-931f-5125f3920c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E488A3548C340BD50A8EAE8DED499" ma:contentTypeVersion="15" ma:contentTypeDescription="Create a new document." ma:contentTypeScope="" ma:versionID="551c6e17545fbfedaf7e24722fab075a">
  <xsd:schema xmlns:xsd="http://www.w3.org/2001/XMLSchema" xmlns:xs="http://www.w3.org/2001/XMLSchema" xmlns:p="http://schemas.microsoft.com/office/2006/metadata/properties" xmlns:ns2="2b30aad7-456a-42e9-8e07-bc5c585b97ce" xmlns:ns3="752a3d3b-9083-45fe-931f-5125f3920c72" targetNamespace="http://schemas.microsoft.com/office/2006/metadata/properties" ma:root="true" ma:fieldsID="aaa8d339fb110e6b7c79f99f2a778f75" ns2:_="" ns3:_="">
    <xsd:import namespace="2b30aad7-456a-42e9-8e07-bc5c585b97ce"/>
    <xsd:import namespace="752a3d3b-9083-45fe-931f-5125f3920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aad7-456a-42e9-8e07-bc5c585b9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a3d3b-9083-45fe-931f-5125f3920c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2f63c55-8269-43a9-866d-41fc2454ba7f}" ma:internalName="TaxCatchAll" ma:showField="CatchAllData" ma:web="752a3d3b-9083-45fe-931f-5125f3920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555EE-ADC6-4BE7-8F78-DD54F1CB43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D667E7-DCB4-4676-9519-6AC34D7ABAB8}">
  <ds:schemaRefs>
    <ds:schemaRef ds:uri="http://purl.org/dc/elements/1.1/"/>
    <ds:schemaRef ds:uri="http://purl.org/dc/terms/"/>
    <ds:schemaRef ds:uri="2b30aad7-456a-42e9-8e07-bc5c585b97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752a3d3b-9083-45fe-931f-5125f3920c7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F061F31-6546-4A8C-B0CD-6E0723E02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30aad7-456a-42e9-8e07-bc5c585b97ce"/>
    <ds:schemaRef ds:uri="752a3d3b-9083-45fe-931f-5125f3920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PDCA Main Page</vt:lpstr>
      <vt:lpstr>SC4 Data</vt:lpstr>
      <vt:lpstr>SC3 Data</vt:lpstr>
      <vt:lpstr>Mapping Prob-Root</vt:lpstr>
      <vt:lpstr>Rootcauses</vt:lpstr>
      <vt:lpstr>Measures</vt:lpstr>
      <vt:lpstr>Current State</vt:lpstr>
      <vt:lpstr>Pareto Analysis</vt:lpstr>
      <vt:lpstr>Regional actions</vt:lpstr>
      <vt:lpstr>Targets</vt:lpstr>
      <vt:lpstr>ETA accuracy Port</vt:lpstr>
      <vt:lpstr>POD estimate Accuracy</vt:lpstr>
      <vt:lpstr>Evidence - Reference</vt:lpstr>
      <vt:lpstr>Evidence - Sync &amp; Plausibility</vt:lpstr>
      <vt:lpstr>SC4 Trend</vt:lpstr>
      <vt:lpstr>SC3 Trend</vt:lpstr>
      <vt:lpstr>SC3 vs SC4</vt:lpstr>
      <vt:lpstr>Sheet1</vt:lpstr>
      <vt:lpstr>5Why</vt:lpstr>
      <vt:lpstr>'PDCA Main Page'!Print_Area</vt:lpstr>
      <vt:lpstr>'Regional actions'!x_x__MailAutoSig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Wout Palsma</dc:creator>
  <cp:keywords/>
  <dc:description/>
  <cp:lastModifiedBy>Harsh Puri</cp:lastModifiedBy>
  <cp:revision/>
  <dcterms:created xsi:type="dcterms:W3CDTF">2026-01-15T13:44:53Z</dcterms:created>
  <dcterms:modified xsi:type="dcterms:W3CDTF">2026-03-10T20:16:06Z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2026-01-15T13:46:32Z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0e81c859-efb7-4b77-bc73-b628a915c21e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ContentTypeId">
    <vt:lpwstr>0x010100687E488A3548C340BD50A8EAE8DED499</vt:lpwstr>
  </property>
  <property fmtid="{D5CDD505-2E9C-101B-9397-08002B2CF9AE}" pid="11" name="MediaServiceImageTags">
    <vt:lpwstr/>
  </property>
</Properties>
</file>